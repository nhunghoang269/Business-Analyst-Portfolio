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panda/Downloads/"/>
    </mc:Choice>
  </mc:AlternateContent>
  <xr:revisionPtr revIDLastSave="0" documentId="8_{B6C3EB2D-42D5-4D45-BD96-6305791E7E67}" xr6:coauthVersionLast="47" xr6:coauthVersionMax="47" xr10:uidLastSave="{00000000-0000-0000-0000-000000000000}"/>
  <bookViews>
    <workbookView xWindow="1360" yWindow="1260" windowWidth="27360" windowHeight="16740" xr2:uid="{300C5E19-9E7C-CD47-ADD6-A1E8A30B3773}"/>
  </bookViews>
  <sheets>
    <sheet name="Optimization" sheetId="1" r:id="rId1"/>
    <sheet name="Pareto_Cost" sheetId="2" r:id="rId2"/>
    <sheet name="Pareto_Emission" sheetId="3" r:id="rId3"/>
  </sheets>
  <definedNames>
    <definedName name="solver_adj" localSheetId="0" hidden="1">Optimization!$M$3:$N$4</definedName>
    <definedName name="solver_adj" localSheetId="1" hidden="1">Pareto_Cost!$M$3:$N$4</definedName>
    <definedName name="solver_adj" localSheetId="2" hidden="1">Pareto_Emission!$M$3:$N$4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eng" localSheetId="0" hidden="1">2</definedName>
    <definedName name="solver_eng" localSheetId="1" hidden="1">2</definedName>
    <definedName name="solver_eng" localSheetId="2" hidden="1">2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lhs1" localSheetId="0" hidden="1">Optimization!$M$16:$M$17</definedName>
    <definedName name="solver_lhs1" localSheetId="1" hidden="1">Pareto_Cost!$M$16:$M$17</definedName>
    <definedName name="solver_lhs1" localSheetId="2" hidden="1">Pareto_Emission!$M$16:$M$17</definedName>
    <definedName name="solver_lhs10" localSheetId="1" hidden="1">Pareto_Cost!$M$24</definedName>
    <definedName name="solver_lhs11" localSheetId="1" hidden="1">Pareto_Cost!$M$26</definedName>
    <definedName name="solver_lhs12" localSheetId="1" hidden="1">Pareto_Cost!$M$28</definedName>
    <definedName name="solver_lhs13" localSheetId="1" hidden="1">Pareto_Cost!$M$30</definedName>
    <definedName name="solver_lhs14" localSheetId="1" hidden="1">Pareto_Cost!$M$32</definedName>
    <definedName name="solver_lhs15" localSheetId="1" hidden="1">Pareto_Cost!$M$16:$M$17</definedName>
    <definedName name="solver_lhs16" localSheetId="1" hidden="1">Pareto_Cost!$M$19:$M$22</definedName>
    <definedName name="solver_lhs17" localSheetId="1" hidden="1">Pareto_Cost!$M$24</definedName>
    <definedName name="solver_lhs18" localSheetId="1" hidden="1">Pareto_Cost!$M$26</definedName>
    <definedName name="solver_lhs19" localSheetId="1" hidden="1">Pareto_Cost!$M$28</definedName>
    <definedName name="solver_lhs2" localSheetId="0" hidden="1">Optimization!$M$19:$M$22</definedName>
    <definedName name="solver_lhs2" localSheetId="1" hidden="1">Pareto_Cost!$M$19:$M$22</definedName>
    <definedName name="solver_lhs2" localSheetId="2" hidden="1">Pareto_Emission!$M$19:$M$22</definedName>
    <definedName name="solver_lhs20" localSheetId="1" hidden="1">Pareto_Cost!$M$30</definedName>
    <definedName name="solver_lhs21" localSheetId="1" hidden="1">Pareto_Cost!$M$32</definedName>
    <definedName name="solver_lhs22" localSheetId="1" hidden="1">Pareto_Cost!$M$16:$M$17</definedName>
    <definedName name="solver_lhs23" localSheetId="1" hidden="1">Pareto_Cost!$M$19:$M$22</definedName>
    <definedName name="solver_lhs24" localSheetId="1" hidden="1">Pareto_Cost!$M$24</definedName>
    <definedName name="solver_lhs25" localSheetId="1" hidden="1">Pareto_Cost!$M$26</definedName>
    <definedName name="solver_lhs26" localSheetId="1" hidden="1">Pareto_Cost!$M$28</definedName>
    <definedName name="solver_lhs27" localSheetId="1" hidden="1">Pareto_Cost!$M$30</definedName>
    <definedName name="solver_lhs28" localSheetId="1" hidden="1">Pareto_Cost!$M$32</definedName>
    <definedName name="solver_lhs3" localSheetId="0" hidden="1">Optimization!$M$24</definedName>
    <definedName name="solver_lhs3" localSheetId="1" hidden="1">Pareto_Cost!$M$24</definedName>
    <definedName name="solver_lhs3" localSheetId="2" hidden="1">Pareto_Emission!$M$24</definedName>
    <definedName name="solver_lhs4" localSheetId="0" hidden="1">Optimization!$M$26</definedName>
    <definedName name="solver_lhs4" localSheetId="1" hidden="1">Pareto_Cost!$M$26</definedName>
    <definedName name="solver_lhs4" localSheetId="2" hidden="1">Pareto_Emission!$M$26</definedName>
    <definedName name="solver_lhs5" localSheetId="0" hidden="1">Optimization!$M$28</definedName>
    <definedName name="solver_lhs5" localSheetId="1" hidden="1">Pareto_Cost!$M$28</definedName>
    <definedName name="solver_lhs5" localSheetId="2" hidden="1">Pareto_Emission!$M$28</definedName>
    <definedName name="solver_lhs6" localSheetId="0" hidden="1">Optimization!$M$30</definedName>
    <definedName name="solver_lhs6" localSheetId="1" hidden="1">Pareto_Cost!$M$30</definedName>
    <definedName name="solver_lhs6" localSheetId="2" hidden="1">Pareto_Emission!$M$30</definedName>
    <definedName name="solver_lhs7" localSheetId="0" hidden="1">Optimization!$M$3:$N$4</definedName>
    <definedName name="solver_lhs7" localSheetId="1" hidden="1">Pareto_Cost!$M$31</definedName>
    <definedName name="solver_lhs7" localSheetId="2" hidden="1">Pareto_Emission!$M$31</definedName>
    <definedName name="solver_lhs8" localSheetId="1" hidden="1">Pareto_Cost!$M$3:$N$4</definedName>
    <definedName name="solver_lhs8" localSheetId="2" hidden="1">Pareto_Emission!$M$3:$N$4</definedName>
    <definedName name="solver_lhs9" localSheetId="1" hidden="1">Pareto_Cost!$M$19:$M$22</definedName>
    <definedName name="solver_lin" localSheetId="0" hidden="1">1</definedName>
    <definedName name="solver_lin" localSheetId="1" hidden="1">1</definedName>
    <definedName name="solver_lin" localSheetId="2" hidden="1">1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um" localSheetId="0" hidden="1">7</definedName>
    <definedName name="solver_num" localSheetId="1" hidden="1">8</definedName>
    <definedName name="solver_num" localSheetId="2" hidden="1">8</definedName>
    <definedName name="solver_opt" localSheetId="0" hidden="1">Optimization!$N$9</definedName>
    <definedName name="solver_opt" localSheetId="1" hidden="1">Pareto_Cost!$K$22</definedName>
    <definedName name="solver_opt" localSheetId="2" hidden="1">Pareto_Emission!$N$10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rbv" localSheetId="0" hidden="1">1</definedName>
    <definedName name="solver_rbv" localSheetId="1" hidden="1">1</definedName>
    <definedName name="solver_rbv" localSheetId="2" hidden="1">1</definedName>
    <definedName name="solver_rel1" localSheetId="0" hidden="1">1</definedName>
    <definedName name="solver_rel1" localSheetId="1" hidden="1">1</definedName>
    <definedName name="solver_rel1" localSheetId="2" hidden="1">1</definedName>
    <definedName name="solver_rel10" localSheetId="1" hidden="1">1</definedName>
    <definedName name="solver_rel11" localSheetId="1" hidden="1">1</definedName>
    <definedName name="solver_rel12" localSheetId="1" hidden="1">2</definedName>
    <definedName name="solver_rel13" localSheetId="1" hidden="1">1</definedName>
    <definedName name="solver_rel14" localSheetId="1" hidden="1">1</definedName>
    <definedName name="solver_rel15" localSheetId="1" hidden="1">1</definedName>
    <definedName name="solver_rel16" localSheetId="1" hidden="1">1</definedName>
    <definedName name="solver_rel17" localSheetId="1" hidden="1">1</definedName>
    <definedName name="solver_rel18" localSheetId="1" hidden="1">1</definedName>
    <definedName name="solver_rel19" localSheetId="1" hidden="1">2</definedName>
    <definedName name="solver_rel2" localSheetId="0" hidden="1">1</definedName>
    <definedName name="solver_rel2" localSheetId="1" hidden="1">1</definedName>
    <definedName name="solver_rel2" localSheetId="2" hidden="1">1</definedName>
    <definedName name="solver_rel20" localSheetId="1" hidden="1">1</definedName>
    <definedName name="solver_rel21" localSheetId="1" hidden="1">1</definedName>
    <definedName name="solver_rel22" localSheetId="1" hidden="1">1</definedName>
    <definedName name="solver_rel23" localSheetId="1" hidden="1">1</definedName>
    <definedName name="solver_rel24" localSheetId="1" hidden="1">1</definedName>
    <definedName name="solver_rel25" localSheetId="1" hidden="1">1</definedName>
    <definedName name="solver_rel26" localSheetId="1" hidden="1">2</definedName>
    <definedName name="solver_rel27" localSheetId="1" hidden="1">1</definedName>
    <definedName name="solver_rel28" localSheetId="1" hidden="1">1</definedName>
    <definedName name="solver_rel3" localSheetId="0" hidden="1">1</definedName>
    <definedName name="solver_rel3" localSheetId="1" hidden="1">1</definedName>
    <definedName name="solver_rel3" localSheetId="2" hidden="1">1</definedName>
    <definedName name="solver_rel4" localSheetId="0" hidden="1">1</definedName>
    <definedName name="solver_rel4" localSheetId="1" hidden="1">1</definedName>
    <definedName name="solver_rel4" localSheetId="2" hidden="1">1</definedName>
    <definedName name="solver_rel5" localSheetId="0" hidden="1">2</definedName>
    <definedName name="solver_rel5" localSheetId="1" hidden="1">2</definedName>
    <definedName name="solver_rel5" localSheetId="2" hidden="1">2</definedName>
    <definedName name="solver_rel6" localSheetId="0" hidden="1">1</definedName>
    <definedName name="solver_rel6" localSheetId="1" hidden="1">1</definedName>
    <definedName name="solver_rel6" localSheetId="2" hidden="1">1</definedName>
    <definedName name="solver_rel7" localSheetId="0" hidden="1">4</definedName>
    <definedName name="solver_rel7" localSheetId="1" hidden="1">1</definedName>
    <definedName name="solver_rel7" localSheetId="2" hidden="1">1</definedName>
    <definedName name="solver_rel8" localSheetId="1" hidden="1">4</definedName>
    <definedName name="solver_rel8" localSheetId="2" hidden="1">4</definedName>
    <definedName name="solver_rel9" localSheetId="1" hidden="1">1</definedName>
    <definedName name="solver_rhs1" localSheetId="0" hidden="1">Optimization!$N$16:$N$17</definedName>
    <definedName name="solver_rhs1" localSheetId="1" hidden="1">Pareto_Cost!$N$16:$N$17</definedName>
    <definedName name="solver_rhs1" localSheetId="2" hidden="1">Pareto_Emission!$N$16:$N$17</definedName>
    <definedName name="solver_rhs10" localSheetId="1" hidden="1">Pareto_Cost!$N$24</definedName>
    <definedName name="solver_rhs11" localSheetId="1" hidden="1">Pareto_Cost!$N$26</definedName>
    <definedName name="solver_rhs12" localSheetId="1" hidden="1">Pareto_Cost!$N$28</definedName>
    <definedName name="solver_rhs13" localSheetId="1" hidden="1">Pareto_Cost!$N$30</definedName>
    <definedName name="solver_rhs14" localSheetId="1" hidden="1">Pareto_Cost!$N$32</definedName>
    <definedName name="solver_rhs15" localSheetId="1" hidden="1">Pareto_Cost!$N$16:$N$17</definedName>
    <definedName name="solver_rhs16" localSheetId="1" hidden="1">Pareto_Cost!$N$19:$N$22</definedName>
    <definedName name="solver_rhs17" localSheetId="1" hidden="1">Pareto_Cost!$N$24</definedName>
    <definedName name="solver_rhs18" localSheetId="1" hidden="1">Pareto_Cost!$N$26</definedName>
    <definedName name="solver_rhs19" localSheetId="1" hidden="1">Pareto_Cost!$N$28</definedName>
    <definedName name="solver_rhs2" localSheetId="0" hidden="1">Optimization!$N$19:$N$22</definedName>
    <definedName name="solver_rhs2" localSheetId="1" hidden="1">Pareto_Cost!$N$19:$N$22</definedName>
    <definedName name="solver_rhs2" localSheetId="2" hidden="1">Pareto_Emission!$N$19:$N$22</definedName>
    <definedName name="solver_rhs20" localSheetId="1" hidden="1">Pareto_Cost!$N$30</definedName>
    <definedName name="solver_rhs21" localSheetId="1" hidden="1">Pareto_Cost!$N$32</definedName>
    <definedName name="solver_rhs22" localSheetId="1" hidden="1">Pareto_Cost!$N$16:$N$17</definedName>
    <definedName name="solver_rhs23" localSheetId="1" hidden="1">Pareto_Cost!$N$19:$N$22</definedName>
    <definedName name="solver_rhs24" localSheetId="1" hidden="1">Pareto_Cost!$N$24</definedName>
    <definedName name="solver_rhs25" localSheetId="1" hidden="1">Pareto_Cost!$N$26</definedName>
    <definedName name="solver_rhs26" localSheetId="1" hidden="1">Pareto_Cost!$N$28</definedName>
    <definedName name="solver_rhs27" localSheetId="1" hidden="1">Pareto_Cost!$N$30</definedName>
    <definedName name="solver_rhs28" localSheetId="1" hidden="1">Pareto_Cost!$N$32</definedName>
    <definedName name="solver_rhs3" localSheetId="0" hidden="1">Optimization!$N$24</definedName>
    <definedName name="solver_rhs3" localSheetId="1" hidden="1">Pareto_Cost!$N$24</definedName>
    <definedName name="solver_rhs3" localSheetId="2" hidden="1">Pareto_Emission!$N$24</definedName>
    <definedName name="solver_rhs4" localSheetId="0" hidden="1">Optimization!$N$26</definedName>
    <definedName name="solver_rhs4" localSheetId="1" hidden="1">Pareto_Cost!$N$26</definedName>
    <definedName name="solver_rhs4" localSheetId="2" hidden="1">Pareto_Emission!$N$26</definedName>
    <definedName name="solver_rhs5" localSheetId="0" hidden="1">Optimization!$N$28</definedName>
    <definedName name="solver_rhs5" localSheetId="1" hidden="1">Pareto_Cost!$N$28</definedName>
    <definedName name="solver_rhs5" localSheetId="2" hidden="1">Pareto_Emission!$N$28</definedName>
    <definedName name="solver_rhs6" localSheetId="0" hidden="1">Optimization!$N$30</definedName>
    <definedName name="solver_rhs6" localSheetId="1" hidden="1">Pareto_Cost!$N$30</definedName>
    <definedName name="solver_rhs6" localSheetId="2" hidden="1">Pareto_Emission!$N$30</definedName>
    <definedName name="solver_rhs7" localSheetId="0" hidden="1">"integer"</definedName>
    <definedName name="solver_rhs7" localSheetId="1" hidden="1">Pareto_Cost!$N$31</definedName>
    <definedName name="solver_rhs7" localSheetId="2" hidden="1">Pareto_Emission!$N$31</definedName>
    <definedName name="solver_rhs8" localSheetId="1" hidden="1">"integer"</definedName>
    <definedName name="solver_rhs8" localSheetId="2" hidden="1">"integer"</definedName>
    <definedName name="solver_rhs9" localSheetId="1" hidden="1">Pareto_Cost!$N$19:$N$22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yp" localSheetId="0" hidden="1">2</definedName>
    <definedName name="solver_typ" localSheetId="1" hidden="1">2</definedName>
    <definedName name="solver_typ" localSheetId="2" hidden="1">2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0" hidden="1">2</definedName>
    <definedName name="solver_ver" localSheetId="1" hidden="1">2</definedName>
    <definedName name="solver_ver" localSheetId="2" hidden="1">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0" i="1" l="1"/>
  <c r="N10" i="3"/>
  <c r="N9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N31" i="3" s="1"/>
  <c r="R2" i="3"/>
  <c r="M31" i="3"/>
  <c r="N30" i="3"/>
  <c r="M30" i="3"/>
  <c r="M28" i="3"/>
  <c r="M26" i="3"/>
  <c r="M24" i="3"/>
  <c r="M22" i="3"/>
  <c r="M21" i="3"/>
  <c r="M20" i="3"/>
  <c r="M19" i="3"/>
  <c r="M17" i="3"/>
  <c r="M16" i="3"/>
  <c r="M31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N31" i="2" s="1"/>
  <c r="S2" i="2"/>
  <c r="N30" i="2"/>
  <c r="M30" i="2"/>
  <c r="M28" i="2"/>
  <c r="M26" i="2"/>
  <c r="M24" i="2"/>
  <c r="M22" i="2"/>
  <c r="M21" i="2"/>
  <c r="M20" i="2"/>
  <c r="M19" i="2"/>
  <c r="M17" i="2"/>
  <c r="M16" i="2"/>
  <c r="N10" i="2"/>
  <c r="N9" i="2"/>
  <c r="M30" i="1"/>
  <c r="M24" i="1"/>
  <c r="M28" i="1"/>
  <c r="N10" i="1"/>
  <c r="N9" i="1"/>
  <c r="M26" i="1"/>
  <c r="M22" i="1"/>
  <c r="M21" i="1"/>
  <c r="M20" i="1"/>
  <c r="M19" i="1"/>
  <c r="M17" i="1"/>
  <c r="M16" i="1"/>
</calcChain>
</file>

<file path=xl/sharedStrings.xml><?xml version="1.0" encoding="utf-8"?>
<sst xmlns="http://schemas.openxmlformats.org/spreadsheetml/2006/main" count="269" uniqueCount="57">
  <si>
    <t>Procurement Cost (£/unit)</t>
  </si>
  <si>
    <t>Supplier</t>
  </si>
  <si>
    <t>Road</t>
  </si>
  <si>
    <t>Rail</t>
  </si>
  <si>
    <t>A (Overseas)</t>
  </si>
  <si>
    <t>B (Local)</t>
  </si>
  <si>
    <t>Transportation Cost (£/unit)</t>
  </si>
  <si>
    <t>A</t>
  </si>
  <si>
    <t>B</t>
  </si>
  <si>
    <t>Total Cost per Unit (Procurement + Transport)</t>
  </si>
  <si>
    <t>CO₂ Emissions (kg per unit)</t>
  </si>
  <si>
    <t>Production + Transportation</t>
  </si>
  <si>
    <t>(Overseas supplier has higher production emissions; road transport emits more than rail.)</t>
  </si>
  <si>
    <t>Transportation Lead Time (days)</t>
  </si>
  <si>
    <t>Capacity Constraints (monthly)</t>
  </si>
  <si>
    <t>Transportation capacity</t>
  </si>
  <si>
    <t>Total Supplier Capacity</t>
  </si>
  <si>
    <t>Labour Requirements (hours per unit of item arrivals from suppliers)</t>
  </si>
  <si>
    <t>Labour hours</t>
  </si>
  <si>
    <t>Total monthly available labour hours: 3,200</t>
  </si>
  <si>
    <t>Raw Material Requirements (kg per unit of item arrivals from suppliers)</t>
  </si>
  <si>
    <t>Material kg</t>
  </si>
  <si>
    <t>Total monthly available raw material: 3,600 kg</t>
  </si>
  <si>
    <t>Demand</t>
  </si>
  <si>
    <t>Total monthly motors required: 5,000 units</t>
  </si>
  <si>
    <t>Decision Variables</t>
  </si>
  <si>
    <t>Objective Functions</t>
  </si>
  <si>
    <t>Obj 1</t>
  </si>
  <si>
    <t>Obj 2</t>
  </si>
  <si>
    <t>Constraints</t>
  </si>
  <si>
    <t>The average lead-time (per unit) of all (5000 units) orders should be less than 13 days.</t>
  </si>
  <si>
    <t>Minimise Cost</t>
  </si>
  <si>
    <t>Minimise Carbon Emisson</t>
  </si>
  <si>
    <t>Scatter Pareto for Carbon Emission &amp; Cost</t>
  </si>
  <si>
    <t>Xar + Xal &lt;= 4,000</t>
  </si>
  <si>
    <t>Xar &lt;= 1,300</t>
  </si>
  <si>
    <t>Xal &lt;= 1,800</t>
  </si>
  <si>
    <t>Labour Requirements</t>
  </si>
  <si>
    <t>Raw Material Requirements</t>
  </si>
  <si>
    <t>Transportation Lead Time</t>
  </si>
  <si>
    <t>Xbr + Xbl &lt;=3,000</t>
  </si>
  <si>
    <t>Xbr &lt;= 1,500</t>
  </si>
  <si>
    <t>Xbl &lt;=2,000</t>
  </si>
  <si>
    <t>0.5*(Xar+Xal)+0.7*(Xbr+Xbl) &lt;= 3,200</t>
  </si>
  <si>
    <t>0.8*(Xar+Xal)+0.6*(Xbr+Xbl) &lt;= 3,600</t>
  </si>
  <si>
    <t>Xar+Xal+Xbr+Xbl = 5,000</t>
  </si>
  <si>
    <t>18*Xar+25*Xal+4*Xbr+7*Xbl &lt;= 13*5,000</t>
  </si>
  <si>
    <t>Xar</t>
  </si>
  <si>
    <t>Xal</t>
  </si>
  <si>
    <t>Xbr</t>
  </si>
  <si>
    <t>Xbl</t>
  </si>
  <si>
    <t>Cost</t>
  </si>
  <si>
    <t>Emission</t>
  </si>
  <si>
    <t>Emission Constraint</t>
  </si>
  <si>
    <t>Cost Constraint</t>
  </si>
  <si>
    <t>Xar + Xal &lt;= 3,000</t>
  </si>
  <si>
    <t>Xbr + Xbl &lt;=4,000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</si>
</sst>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sz val="12"/>
      <color theme="1"/>
      <name val="Aptos"/>
    </font>
    <font>
      <b/>
      <sz val="12"/>
      <color theme="1"/>
      <name val="Aptos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b/>
      <i/>
      <sz val="12"/>
      <color theme="1"/>
      <name val="Aptos Narrow"/>
      <scheme val="minor"/>
    </font>
    <font>
      <sz val="12"/>
      <color rgb="FF00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2" fillId="0" borderId="0" xfId="0" applyFont="1"/>
    <xf numFmtId="0" fontId="2" fillId="0" borderId="1" xfId="0" applyFont="1" applyBorder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3" fontId="0" fillId="0" borderId="1" xfId="0" applyNumberFormat="1" applyBorder="1"/>
    <xf numFmtId="0" fontId="2" fillId="0" borderId="1" xfId="0" applyFont="1" applyBorder="1" applyAlignment="1">
      <alignment vertical="center"/>
    </xf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3" fillId="0" borderId="0" xfId="0" applyFont="1"/>
    <xf numFmtId="0" fontId="4" fillId="2" borderId="0" xfId="0" applyFont="1" applyFill="1"/>
    <xf numFmtId="0" fontId="4" fillId="4" borderId="0" xfId="0" applyFont="1" applyFill="1"/>
    <xf numFmtId="0" fontId="0" fillId="4" borderId="0" xfId="0" applyFill="1"/>
    <xf numFmtId="0" fontId="0" fillId="5" borderId="0" xfId="0" applyFill="1"/>
    <xf numFmtId="0" fontId="5" fillId="5" borderId="0" xfId="0" applyFont="1" applyFill="1"/>
    <xf numFmtId="0" fontId="3" fillId="6" borderId="0" xfId="0" applyFont="1" applyFill="1"/>
    <xf numFmtId="0" fontId="0" fillId="6" borderId="0" xfId="0" applyFill="1"/>
    <xf numFmtId="0" fontId="3" fillId="7" borderId="0" xfId="0" applyFont="1" applyFill="1"/>
    <xf numFmtId="0" fontId="0" fillId="7" borderId="0" xfId="0" applyFill="1"/>
    <xf numFmtId="0" fontId="0" fillId="8" borderId="0" xfId="0" applyFill="1"/>
    <xf numFmtId="0" fontId="3" fillId="8" borderId="0" xfId="0" applyFont="1" applyFill="1"/>
    <xf numFmtId="0" fontId="6" fillId="0" borderId="1" xfId="0" applyFont="1" applyBorder="1"/>
    <xf numFmtId="0" fontId="6" fillId="0" borderId="4" xfId="0" applyFont="1" applyBorder="1"/>
    <xf numFmtId="0" fontId="6" fillId="0" borderId="5" xfId="0" applyFont="1" applyBorder="1"/>
    <xf numFmtId="0" fontId="6" fillId="9" borderId="6" xfId="0" applyFont="1" applyFill="1" applyBorder="1"/>
    <xf numFmtId="0" fontId="0" fillId="10" borderId="0" xfId="0" applyFill="1"/>
    <xf numFmtId="0" fontId="3" fillId="10" borderId="0" xfId="0" applyFont="1" applyFill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B79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Pareto</a:t>
            </a:r>
            <a:r>
              <a:rPr lang="en-US" baseline="0"/>
              <a:t> Frontier - Cost and Emission Trade-off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Pareto_Cost!$S$1</c:f>
              <c:strCache>
                <c:ptCount val="1"/>
                <c:pt idx="0">
                  <c:v>Emission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Pareto_Cost!$R$2:$R$21</c:f>
              <c:numCache>
                <c:formatCode>General</c:formatCode>
                <c:ptCount val="20"/>
                <c:pt idx="0">
                  <c:v>263465</c:v>
                </c:pt>
                <c:pt idx="1">
                  <c:v>263619</c:v>
                </c:pt>
                <c:pt idx="2">
                  <c:v>263762</c:v>
                </c:pt>
                <c:pt idx="3">
                  <c:v>263916</c:v>
                </c:pt>
                <c:pt idx="4">
                  <c:v>264059</c:v>
                </c:pt>
                <c:pt idx="5">
                  <c:v>264213</c:v>
                </c:pt>
                <c:pt idx="6">
                  <c:v>264356</c:v>
                </c:pt>
                <c:pt idx="7">
                  <c:v>264689</c:v>
                </c:pt>
                <c:pt idx="8">
                  <c:v>265097</c:v>
                </c:pt>
                <c:pt idx="9">
                  <c:v>265488</c:v>
                </c:pt>
                <c:pt idx="10">
                  <c:v>265896</c:v>
                </c:pt>
                <c:pt idx="11">
                  <c:v>266304</c:v>
                </c:pt>
                <c:pt idx="12">
                  <c:v>266695</c:v>
                </c:pt>
                <c:pt idx="13">
                  <c:v>267103</c:v>
                </c:pt>
                <c:pt idx="14">
                  <c:v>267494</c:v>
                </c:pt>
                <c:pt idx="15">
                  <c:v>267902</c:v>
                </c:pt>
                <c:pt idx="16">
                  <c:v>268310</c:v>
                </c:pt>
                <c:pt idx="17">
                  <c:v>268701</c:v>
                </c:pt>
                <c:pt idx="18">
                  <c:v>269109</c:v>
                </c:pt>
                <c:pt idx="19">
                  <c:v>269500</c:v>
                </c:pt>
              </c:numCache>
            </c:numRef>
          </c:xVal>
          <c:yVal>
            <c:numRef>
              <c:f>Pareto_Cost!$S$2:$S$21</c:f>
              <c:numCache>
                <c:formatCode>General</c:formatCode>
                <c:ptCount val="20"/>
                <c:pt idx="0">
                  <c:v>38795</c:v>
                </c:pt>
                <c:pt idx="1">
                  <c:v>38700.526315789473</c:v>
                </c:pt>
                <c:pt idx="2">
                  <c:v>38606.052631578947</c:v>
                </c:pt>
                <c:pt idx="3">
                  <c:v>38511.57894736842</c:v>
                </c:pt>
                <c:pt idx="4">
                  <c:v>38417.105263157893</c:v>
                </c:pt>
                <c:pt idx="5">
                  <c:v>38322.631578947367</c:v>
                </c:pt>
                <c:pt idx="6">
                  <c:v>38228.15789473684</c:v>
                </c:pt>
                <c:pt idx="7">
                  <c:v>38133.684210526313</c:v>
                </c:pt>
                <c:pt idx="8">
                  <c:v>38039.210526315786</c:v>
                </c:pt>
                <c:pt idx="9">
                  <c:v>37944.73684210526</c:v>
                </c:pt>
                <c:pt idx="10">
                  <c:v>37850.26315789474</c:v>
                </c:pt>
                <c:pt idx="11">
                  <c:v>37755.789473684214</c:v>
                </c:pt>
                <c:pt idx="12">
                  <c:v>37661.315789473687</c:v>
                </c:pt>
                <c:pt idx="13">
                  <c:v>37566.84210526316</c:v>
                </c:pt>
                <c:pt idx="14">
                  <c:v>37472.368421052633</c:v>
                </c:pt>
                <c:pt idx="15">
                  <c:v>37377.894736842107</c:v>
                </c:pt>
                <c:pt idx="16">
                  <c:v>37283.42105263158</c:v>
                </c:pt>
                <c:pt idx="17">
                  <c:v>37188.947368421053</c:v>
                </c:pt>
                <c:pt idx="18">
                  <c:v>37094.473684210527</c:v>
                </c:pt>
                <c:pt idx="19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C-974F-8CF5-D67E95B58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489983"/>
        <c:axId val="273531999"/>
      </c:scatterChart>
      <c:valAx>
        <c:axId val="273489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531999"/>
        <c:crosses val="autoZero"/>
        <c:crossBetween val="midCat"/>
      </c:valAx>
      <c:valAx>
        <c:axId val="27353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Emission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489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Number of</a:t>
            </a:r>
            <a:r>
              <a:rPr lang="en-GB" baseline="0"/>
              <a:t> units by modes and suppliers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Pareto_Cost!$L$3</c:f>
              <c:strCache>
                <c:ptCount val="1"/>
                <c:pt idx="0">
                  <c:v>A (Overseas)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Pareto_Cost!$M$2:$N$2</c:f>
              <c:strCache>
                <c:ptCount val="2"/>
                <c:pt idx="0">
                  <c:v>Road</c:v>
                </c:pt>
                <c:pt idx="1">
                  <c:v>Rail</c:v>
                </c:pt>
              </c:strCache>
            </c:strRef>
          </c:cat>
          <c:val>
            <c:numRef>
              <c:f>Pareto_Cost!$M$3:$N$3</c:f>
              <c:numCache>
                <c:formatCode>General</c:formatCode>
                <c:ptCount val="2"/>
                <c:pt idx="0">
                  <c:v>0</c:v>
                </c:pt>
                <c:pt idx="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C1-D442-BAB5-E903906AAF14}"/>
            </c:ext>
          </c:extLst>
        </c:ser>
        <c:ser>
          <c:idx val="1"/>
          <c:order val="1"/>
          <c:tx>
            <c:strRef>
              <c:f>Pareto_Cost!$L$4</c:f>
              <c:strCache>
                <c:ptCount val="1"/>
                <c:pt idx="0">
                  <c:v>B (Local)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Pareto_Cost!$M$2:$N$2</c:f>
              <c:strCache>
                <c:ptCount val="2"/>
                <c:pt idx="0">
                  <c:v>Road</c:v>
                </c:pt>
                <c:pt idx="1">
                  <c:v>Rail</c:v>
                </c:pt>
              </c:strCache>
            </c:strRef>
          </c:cat>
          <c:val>
            <c:numRef>
              <c:f>Pareto_Cost!$M$4:$N$4</c:f>
              <c:numCache>
                <c:formatCode>General</c:formatCode>
                <c:ptCount val="2"/>
                <c:pt idx="0">
                  <c:v>1500</c:v>
                </c:pt>
                <c:pt idx="1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C1-D442-BAB5-E903906AA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6268144"/>
        <c:axId val="638414832"/>
      </c:barChart>
      <c:catAx>
        <c:axId val="172626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414832"/>
        <c:crosses val="autoZero"/>
        <c:auto val="1"/>
        <c:lblAlgn val="ctr"/>
        <c:lblOffset val="100"/>
        <c:noMultiLvlLbl val="0"/>
      </c:catAx>
      <c:valAx>
        <c:axId val="63841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26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</a:t>
            </a:r>
            <a:r>
              <a:rPr lang="en-US" baseline="0"/>
              <a:t> with Emission constraint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Pareto_Cost!$S$1</c:f>
              <c:strCache>
                <c:ptCount val="1"/>
                <c:pt idx="0">
                  <c:v>Emission</c:v>
                </c:pt>
              </c:strCache>
            </c:strRef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Pareto_Cost!$R$2:$R$21</c:f>
              <c:numCache>
                <c:formatCode>General</c:formatCode>
                <c:ptCount val="20"/>
                <c:pt idx="0">
                  <c:v>263465</c:v>
                </c:pt>
                <c:pt idx="1">
                  <c:v>263619</c:v>
                </c:pt>
                <c:pt idx="2">
                  <c:v>263762</c:v>
                </c:pt>
                <c:pt idx="3">
                  <c:v>263916</c:v>
                </c:pt>
                <c:pt idx="4">
                  <c:v>264059</c:v>
                </c:pt>
                <c:pt idx="5">
                  <c:v>264213</c:v>
                </c:pt>
                <c:pt idx="6">
                  <c:v>264356</c:v>
                </c:pt>
                <c:pt idx="7">
                  <c:v>264689</c:v>
                </c:pt>
                <c:pt idx="8">
                  <c:v>265097</c:v>
                </c:pt>
                <c:pt idx="9">
                  <c:v>265488</c:v>
                </c:pt>
                <c:pt idx="10">
                  <c:v>265896</c:v>
                </c:pt>
                <c:pt idx="11">
                  <c:v>266304</c:v>
                </c:pt>
                <c:pt idx="12">
                  <c:v>266695</c:v>
                </c:pt>
                <c:pt idx="13">
                  <c:v>267103</c:v>
                </c:pt>
                <c:pt idx="14">
                  <c:v>267494</c:v>
                </c:pt>
                <c:pt idx="15">
                  <c:v>267902</c:v>
                </c:pt>
                <c:pt idx="16">
                  <c:v>268310</c:v>
                </c:pt>
                <c:pt idx="17">
                  <c:v>268701</c:v>
                </c:pt>
                <c:pt idx="18">
                  <c:v>269109</c:v>
                </c:pt>
                <c:pt idx="19">
                  <c:v>269500</c:v>
                </c:pt>
              </c:numCache>
            </c:numRef>
          </c:xVal>
          <c:yVal>
            <c:numRef>
              <c:f>Pareto_Cost!$S$2:$S$21</c:f>
              <c:numCache>
                <c:formatCode>General</c:formatCode>
                <c:ptCount val="20"/>
                <c:pt idx="0">
                  <c:v>38795</c:v>
                </c:pt>
                <c:pt idx="1">
                  <c:v>38700.526315789473</c:v>
                </c:pt>
                <c:pt idx="2">
                  <c:v>38606.052631578947</c:v>
                </c:pt>
                <c:pt idx="3">
                  <c:v>38511.57894736842</c:v>
                </c:pt>
                <c:pt idx="4">
                  <c:v>38417.105263157893</c:v>
                </c:pt>
                <c:pt idx="5">
                  <c:v>38322.631578947367</c:v>
                </c:pt>
                <c:pt idx="6">
                  <c:v>38228.15789473684</c:v>
                </c:pt>
                <c:pt idx="7">
                  <c:v>38133.684210526313</c:v>
                </c:pt>
                <c:pt idx="8">
                  <c:v>38039.210526315786</c:v>
                </c:pt>
                <c:pt idx="9">
                  <c:v>37944.73684210526</c:v>
                </c:pt>
                <c:pt idx="10">
                  <c:v>37850.26315789474</c:v>
                </c:pt>
                <c:pt idx="11">
                  <c:v>37755.789473684214</c:v>
                </c:pt>
                <c:pt idx="12">
                  <c:v>37661.315789473687</c:v>
                </c:pt>
                <c:pt idx="13">
                  <c:v>37566.84210526316</c:v>
                </c:pt>
                <c:pt idx="14">
                  <c:v>37472.368421052633</c:v>
                </c:pt>
                <c:pt idx="15">
                  <c:v>37377.894736842107</c:v>
                </c:pt>
                <c:pt idx="16">
                  <c:v>37283.42105263158</c:v>
                </c:pt>
                <c:pt idx="17">
                  <c:v>37188.947368421053</c:v>
                </c:pt>
                <c:pt idx="18">
                  <c:v>37094.473684210527</c:v>
                </c:pt>
                <c:pt idx="19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C4-DF4C-B6D7-E56E69E0A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489983"/>
        <c:axId val="273531999"/>
      </c:scatterChart>
      <c:valAx>
        <c:axId val="273489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531999"/>
        <c:crosses val="autoZero"/>
        <c:crossBetween val="midCat"/>
      </c:valAx>
      <c:valAx>
        <c:axId val="27353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Emission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489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Number of</a:t>
            </a:r>
            <a:r>
              <a:rPr lang="en-GB" baseline="0"/>
              <a:t> units by modes and suppliers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Pareto_Emission!$L$3</c:f>
              <c:strCache>
                <c:ptCount val="1"/>
                <c:pt idx="0">
                  <c:v>A (Overseas)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Pareto_Emission!$M$2:$N$2</c:f>
              <c:strCache>
                <c:ptCount val="2"/>
                <c:pt idx="0">
                  <c:v>Road</c:v>
                </c:pt>
                <c:pt idx="1">
                  <c:v>Rail</c:v>
                </c:pt>
              </c:strCache>
            </c:strRef>
          </c:cat>
          <c:val>
            <c:numRef>
              <c:f>Pareto_Emission!$M$3:$N$3</c:f>
              <c:numCache>
                <c:formatCode>General</c:formatCode>
                <c:ptCount val="2"/>
                <c:pt idx="0">
                  <c:v>85</c:v>
                </c:pt>
                <c:pt idx="1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CA-DB4D-B8EC-95E3194B52D1}"/>
            </c:ext>
          </c:extLst>
        </c:ser>
        <c:ser>
          <c:idx val="1"/>
          <c:order val="1"/>
          <c:tx>
            <c:strRef>
              <c:f>Pareto_Emission!$L$4</c:f>
              <c:strCache>
                <c:ptCount val="1"/>
                <c:pt idx="0">
                  <c:v>B (Local)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Pareto_Emission!$M$2:$N$2</c:f>
              <c:strCache>
                <c:ptCount val="2"/>
                <c:pt idx="0">
                  <c:v>Road</c:v>
                </c:pt>
                <c:pt idx="1">
                  <c:v>Rail</c:v>
                </c:pt>
              </c:strCache>
            </c:strRef>
          </c:cat>
          <c:val>
            <c:numRef>
              <c:f>Pareto_Emission!$M$4:$N$4</c:f>
              <c:numCache>
                <c:formatCode>General</c:formatCode>
                <c:ptCount val="2"/>
                <c:pt idx="0">
                  <c:v>1115</c:v>
                </c:pt>
                <c:pt idx="1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CA-DB4D-B8EC-95E3194B5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87568"/>
        <c:axId val="24941008"/>
      </c:barChart>
      <c:catAx>
        <c:axId val="3558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41008"/>
        <c:crosses val="autoZero"/>
        <c:auto val="1"/>
        <c:lblAlgn val="ctr"/>
        <c:lblOffset val="100"/>
        <c:noMultiLvlLbl val="0"/>
      </c:catAx>
      <c:valAx>
        <c:axId val="2494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87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607391</xdr:colOff>
      <xdr:row>22</xdr:row>
      <xdr:rowOff>179457</xdr:rowOff>
    </xdr:from>
    <xdr:ext cx="490262" cy="264560"/>
    <xdr:sp macro="[0]!Macro4" textlink="">
      <xdr:nvSpPr>
        <xdr:cNvPr id="2" name="TextBox 1">
          <a:extLst>
            <a:ext uri="{FF2B5EF4-FFF2-40B4-BE49-F238E27FC236}">
              <a16:creationId xmlns:a16="http://schemas.microsoft.com/office/drawing/2014/main" id="{61F80C0A-677B-0A60-5220-1BFB839DF775}"/>
            </a:ext>
          </a:extLst>
        </xdr:cNvPr>
        <xdr:cNvSpPr txBox="1"/>
      </xdr:nvSpPr>
      <xdr:spPr>
        <a:xfrm>
          <a:off x="7233478" y="5190435"/>
          <a:ext cx="49026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Solve</a:t>
          </a:r>
        </a:p>
      </xdr:txBody>
    </xdr:sp>
    <xdr:clientData/>
  </xdr:oneCellAnchor>
  <xdr:twoCellAnchor>
    <xdr:from>
      <xdr:col>16</xdr:col>
      <xdr:colOff>214217</xdr:colOff>
      <xdr:row>1</xdr:row>
      <xdr:rowOff>275422</xdr:rowOff>
    </xdr:from>
    <xdr:to>
      <xdr:col>21</xdr:col>
      <xdr:colOff>654892</xdr:colOff>
      <xdr:row>15</xdr:row>
      <xdr:rowOff>4285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13E172C-6DCB-9949-AAE5-40A0CE1230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342900</xdr:colOff>
      <xdr:row>1</xdr:row>
      <xdr:rowOff>393700</xdr:rowOff>
    </xdr:from>
    <xdr:ext cx="490262" cy="264560"/>
    <xdr:sp macro="[0]!MacroElimit" textlink="">
      <xdr:nvSpPr>
        <xdr:cNvPr id="6" name="TextBox 5">
          <a:extLst>
            <a:ext uri="{FF2B5EF4-FFF2-40B4-BE49-F238E27FC236}">
              <a16:creationId xmlns:a16="http://schemas.microsoft.com/office/drawing/2014/main" id="{59307D5C-8C2B-81F8-5F04-B1AACFB30686}"/>
            </a:ext>
          </a:extLst>
        </xdr:cNvPr>
        <xdr:cNvSpPr txBox="1"/>
      </xdr:nvSpPr>
      <xdr:spPr>
        <a:xfrm>
          <a:off x="16675100" y="596900"/>
          <a:ext cx="490262" cy="26456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Solve</a:t>
          </a:r>
        </a:p>
      </xdr:txBody>
    </xdr:sp>
    <xdr:clientData/>
  </xdr:oneCellAnchor>
  <xdr:twoCellAnchor>
    <xdr:from>
      <xdr:col>17</xdr:col>
      <xdr:colOff>217188</xdr:colOff>
      <xdr:row>21</xdr:row>
      <xdr:rowOff>164548</xdr:rowOff>
    </xdr:from>
    <xdr:to>
      <xdr:col>22</xdr:col>
      <xdr:colOff>661688</xdr:colOff>
      <xdr:row>34</xdr:row>
      <xdr:rowOff>24848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FE1DD8-55E9-1CE5-0F29-0C6A8F36A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349250</xdr:colOff>
      <xdr:row>1</xdr:row>
      <xdr:rowOff>152400</xdr:rowOff>
    </xdr:from>
    <xdr:to>
      <xdr:col>29</xdr:col>
      <xdr:colOff>793750</xdr:colOff>
      <xdr:row>14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AAD9C5B-B471-AA61-F011-FD535F36A4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607391</xdr:colOff>
      <xdr:row>22</xdr:row>
      <xdr:rowOff>179457</xdr:rowOff>
    </xdr:from>
    <xdr:ext cx="490262" cy="264560"/>
    <xdr:sp macro="[0]!Macro4" textlink="">
      <xdr:nvSpPr>
        <xdr:cNvPr id="2" name="TextBox 1">
          <a:extLst>
            <a:ext uri="{FF2B5EF4-FFF2-40B4-BE49-F238E27FC236}">
              <a16:creationId xmlns:a16="http://schemas.microsoft.com/office/drawing/2014/main" id="{C3AF6F0A-6794-1E4A-86E9-933AB2E3D07B}"/>
            </a:ext>
          </a:extLst>
        </xdr:cNvPr>
        <xdr:cNvSpPr txBox="1"/>
      </xdr:nvSpPr>
      <xdr:spPr>
        <a:xfrm>
          <a:off x="7211391" y="5119757"/>
          <a:ext cx="49026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Solve</a:t>
          </a:r>
        </a:p>
      </xdr:txBody>
    </xdr:sp>
    <xdr:clientData/>
  </xdr:oneCellAnchor>
  <xdr:oneCellAnchor>
    <xdr:from>
      <xdr:col>15</xdr:col>
      <xdr:colOff>254000</xdr:colOff>
      <xdr:row>2</xdr:row>
      <xdr:rowOff>101600</xdr:rowOff>
    </xdr:from>
    <xdr:ext cx="490262" cy="264560"/>
    <xdr:sp macro="[0]!Module3.MacroClimit" textlink="">
      <xdr:nvSpPr>
        <xdr:cNvPr id="3" name="TextBox 2">
          <a:extLst>
            <a:ext uri="{FF2B5EF4-FFF2-40B4-BE49-F238E27FC236}">
              <a16:creationId xmlns:a16="http://schemas.microsoft.com/office/drawing/2014/main" id="{255DB6F7-21B2-21DC-C197-4AFAD2CBF1FB}"/>
            </a:ext>
          </a:extLst>
        </xdr:cNvPr>
        <xdr:cNvSpPr txBox="1"/>
      </xdr:nvSpPr>
      <xdr:spPr>
        <a:xfrm>
          <a:off x="16586200" y="736600"/>
          <a:ext cx="490262" cy="26456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Solve</a:t>
          </a:r>
        </a:p>
      </xdr:txBody>
    </xdr:sp>
    <xdr:clientData/>
  </xdr:oneCellAnchor>
  <xdr:twoCellAnchor>
    <xdr:from>
      <xdr:col>17</xdr:col>
      <xdr:colOff>12700</xdr:colOff>
      <xdr:row>21</xdr:row>
      <xdr:rowOff>203200</xdr:rowOff>
    </xdr:from>
    <xdr:to>
      <xdr:col>22</xdr:col>
      <xdr:colOff>457200</xdr:colOff>
      <xdr:row>34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D0C5D63-74BA-8E6C-740E-23C7154F7B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DC5EB-77E4-3845-A699-3E05E55A34FE}">
  <sheetPr codeName="Sheet1">
    <tabColor theme="9" tint="0.79998168889431442"/>
  </sheetPr>
  <dimension ref="A1:Q30"/>
  <sheetViews>
    <sheetView tabSelected="1" zoomScale="86" workbookViewId="0">
      <selection activeCell="I26" sqref="I26"/>
    </sheetView>
  </sheetViews>
  <sheetFormatPr baseColWidth="10" defaultRowHeight="16" x14ac:dyDescent="0.2"/>
  <cols>
    <col min="9" max="9" width="21.5" customWidth="1"/>
    <col min="12" max="12" width="35.1640625" customWidth="1"/>
    <col min="13" max="13" width="27.6640625" customWidth="1"/>
  </cols>
  <sheetData>
    <row r="1" spans="1:17" x14ac:dyDescent="0.2">
      <c r="A1" s="30" t="s">
        <v>0</v>
      </c>
      <c r="B1" s="31"/>
      <c r="C1" s="32"/>
      <c r="F1" s="3" t="s">
        <v>14</v>
      </c>
      <c r="G1" s="1"/>
      <c r="H1" s="1"/>
      <c r="I1" s="1"/>
      <c r="L1" s="12" t="s">
        <v>25</v>
      </c>
      <c r="Q1" t="s">
        <v>33</v>
      </c>
    </row>
    <row r="2" spans="1:17" ht="34" customHeight="1" x14ac:dyDescent="0.2">
      <c r="A2" s="1" t="s">
        <v>1</v>
      </c>
      <c r="B2" s="1" t="s">
        <v>2</v>
      </c>
      <c r="C2" s="1" t="s">
        <v>3</v>
      </c>
      <c r="F2" s="1"/>
      <c r="G2" s="1" t="s">
        <v>15</v>
      </c>
      <c r="H2" s="1"/>
      <c r="I2" s="1"/>
      <c r="L2" s="24" t="s">
        <v>1</v>
      </c>
      <c r="M2" s="25" t="s">
        <v>2</v>
      </c>
      <c r="N2" s="25" t="s">
        <v>3</v>
      </c>
    </row>
    <row r="3" spans="1:17" x14ac:dyDescent="0.2">
      <c r="A3" s="1" t="s">
        <v>4</v>
      </c>
      <c r="B3" s="1">
        <v>40</v>
      </c>
      <c r="C3" s="1">
        <v>38</v>
      </c>
      <c r="F3" s="1" t="s">
        <v>1</v>
      </c>
      <c r="G3" s="1" t="s">
        <v>2</v>
      </c>
      <c r="H3" s="1" t="s">
        <v>3</v>
      </c>
      <c r="I3" s="1" t="s">
        <v>16</v>
      </c>
      <c r="L3" s="26" t="s">
        <v>4</v>
      </c>
      <c r="M3" s="27">
        <v>85</v>
      </c>
      <c r="N3" s="27">
        <v>1800</v>
      </c>
    </row>
    <row r="4" spans="1:17" x14ac:dyDescent="0.2">
      <c r="A4" s="1" t="s">
        <v>5</v>
      </c>
      <c r="B4" s="1">
        <v>55</v>
      </c>
      <c r="C4" s="1">
        <v>52</v>
      </c>
      <c r="F4" s="1" t="s">
        <v>7</v>
      </c>
      <c r="G4" s="7">
        <v>1300</v>
      </c>
      <c r="H4" s="7">
        <v>1800</v>
      </c>
      <c r="I4" s="7">
        <v>3000</v>
      </c>
      <c r="L4" s="26" t="s">
        <v>5</v>
      </c>
      <c r="M4" s="27">
        <v>1115</v>
      </c>
      <c r="N4" s="27">
        <v>2000</v>
      </c>
    </row>
    <row r="5" spans="1:17" x14ac:dyDescent="0.2">
      <c r="F5" s="1" t="s">
        <v>8</v>
      </c>
      <c r="G5" s="7">
        <v>1500</v>
      </c>
      <c r="H5" s="7">
        <v>2000</v>
      </c>
      <c r="I5" s="7">
        <v>4000</v>
      </c>
      <c r="L5" s="4"/>
      <c r="M5" s="9"/>
    </row>
    <row r="6" spans="1:17" x14ac:dyDescent="0.2">
      <c r="A6" s="30" t="s">
        <v>6</v>
      </c>
      <c r="B6" s="31"/>
      <c r="C6" s="32"/>
    </row>
    <row r="7" spans="1:17" x14ac:dyDescent="0.2">
      <c r="A7" s="1" t="s">
        <v>1</v>
      </c>
      <c r="B7" s="1" t="s">
        <v>2</v>
      </c>
      <c r="C7" s="1" t="s">
        <v>3</v>
      </c>
      <c r="F7" s="3" t="s">
        <v>17</v>
      </c>
      <c r="G7" s="1"/>
    </row>
    <row r="8" spans="1:17" x14ac:dyDescent="0.2">
      <c r="A8" s="1" t="s">
        <v>7</v>
      </c>
      <c r="B8" s="1">
        <v>10</v>
      </c>
      <c r="C8" s="1">
        <v>6</v>
      </c>
      <c r="F8" s="1" t="s">
        <v>1</v>
      </c>
      <c r="G8" s="1" t="s">
        <v>18</v>
      </c>
      <c r="L8" s="12" t="s">
        <v>26</v>
      </c>
    </row>
    <row r="9" spans="1:17" x14ac:dyDescent="0.2">
      <c r="A9" s="1" t="s">
        <v>8</v>
      </c>
      <c r="B9" s="1">
        <v>6</v>
      </c>
      <c r="C9" s="1">
        <v>4</v>
      </c>
      <c r="F9" s="1" t="s">
        <v>7</v>
      </c>
      <c r="G9" s="1">
        <v>0.5</v>
      </c>
      <c r="L9" t="s">
        <v>27</v>
      </c>
      <c r="M9" t="s">
        <v>31</v>
      </c>
      <c r="N9" s="11">
        <f>SUMPRODUCT(B13:C14,M3:N4)</f>
        <v>263465</v>
      </c>
      <c r="O9">
        <v>263465</v>
      </c>
      <c r="P9">
        <v>269500</v>
      </c>
    </row>
    <row r="10" spans="1:17" x14ac:dyDescent="0.2">
      <c r="F10" s="1" t="s">
        <v>8</v>
      </c>
      <c r="G10" s="1">
        <v>0.7</v>
      </c>
      <c r="L10" t="s">
        <v>28</v>
      </c>
      <c r="M10" t="s">
        <v>32</v>
      </c>
      <c r="N10" s="11">
        <f>SUMPRODUCT(B20:C21,M3:N4)</f>
        <v>38795</v>
      </c>
      <c r="O10">
        <v>38795</v>
      </c>
      <c r="P10">
        <v>37000</v>
      </c>
    </row>
    <row r="11" spans="1:17" x14ac:dyDescent="0.2">
      <c r="A11" s="3" t="s">
        <v>9</v>
      </c>
      <c r="B11" s="1"/>
      <c r="C11" s="1"/>
      <c r="F11" t="s">
        <v>19</v>
      </c>
    </row>
    <row r="12" spans="1:17" x14ac:dyDescent="0.2">
      <c r="A12" s="1" t="s">
        <v>1</v>
      </c>
      <c r="B12" s="1" t="s">
        <v>2</v>
      </c>
      <c r="C12" s="1" t="s">
        <v>3</v>
      </c>
    </row>
    <row r="13" spans="1:17" x14ac:dyDescent="0.2">
      <c r="A13" s="1" t="s">
        <v>7</v>
      </c>
      <c r="B13" s="1">
        <v>50</v>
      </c>
      <c r="C13" s="1">
        <v>44</v>
      </c>
      <c r="F13" s="8" t="s">
        <v>20</v>
      </c>
      <c r="G13" s="1"/>
      <c r="L13" s="12" t="s">
        <v>29</v>
      </c>
    </row>
    <row r="14" spans="1:17" x14ac:dyDescent="0.2">
      <c r="A14" s="1" t="s">
        <v>8</v>
      </c>
      <c r="B14" s="1">
        <v>61</v>
      </c>
      <c r="C14" s="1">
        <v>56</v>
      </c>
      <c r="F14" s="1" t="s">
        <v>1</v>
      </c>
      <c r="G14" s="1" t="s">
        <v>21</v>
      </c>
      <c r="L14" s="12" t="s">
        <v>14</v>
      </c>
    </row>
    <row r="15" spans="1:17" x14ac:dyDescent="0.2">
      <c r="F15" s="1" t="s">
        <v>7</v>
      </c>
      <c r="G15" s="1">
        <v>0.8</v>
      </c>
      <c r="L15" s="13" t="s">
        <v>16</v>
      </c>
      <c r="M15" s="10"/>
      <c r="N15" s="10"/>
    </row>
    <row r="16" spans="1:17" x14ac:dyDescent="0.2">
      <c r="F16" s="1" t="s">
        <v>8</v>
      </c>
      <c r="G16" s="1">
        <v>0.6</v>
      </c>
      <c r="L16" s="10" t="s">
        <v>55</v>
      </c>
      <c r="M16" s="10">
        <f>M3+N3</f>
        <v>1885</v>
      </c>
      <c r="N16" s="10">
        <v>3000</v>
      </c>
    </row>
    <row r="17" spans="1:14" x14ac:dyDescent="0.2">
      <c r="A17" s="3" t="s">
        <v>10</v>
      </c>
      <c r="B17" s="1"/>
      <c r="C17" s="1"/>
      <c r="F17" t="s">
        <v>22</v>
      </c>
      <c r="L17" s="10" t="s">
        <v>56</v>
      </c>
      <c r="M17" s="10">
        <f>M4+N4</f>
        <v>3115</v>
      </c>
      <c r="N17" s="10">
        <v>4000</v>
      </c>
    </row>
    <row r="18" spans="1:14" x14ac:dyDescent="0.2">
      <c r="A18" s="5" t="s">
        <v>11</v>
      </c>
      <c r="B18" s="1"/>
      <c r="C18" s="1"/>
      <c r="L18" s="14" t="s">
        <v>15</v>
      </c>
      <c r="M18" s="15"/>
      <c r="N18" s="15"/>
    </row>
    <row r="19" spans="1:14" x14ac:dyDescent="0.2">
      <c r="A19" s="1" t="s">
        <v>1</v>
      </c>
      <c r="B19" s="1" t="s">
        <v>2</v>
      </c>
      <c r="C19" s="1" t="s">
        <v>3</v>
      </c>
      <c r="F19" s="2" t="s">
        <v>23</v>
      </c>
      <c r="L19" s="15" t="s">
        <v>35</v>
      </c>
      <c r="M19" s="15">
        <f>M3</f>
        <v>85</v>
      </c>
      <c r="N19" s="15">
        <v>1300</v>
      </c>
    </row>
    <row r="20" spans="1:14" x14ac:dyDescent="0.2">
      <c r="A20" s="1" t="s">
        <v>7</v>
      </c>
      <c r="B20" s="1">
        <v>14</v>
      </c>
      <c r="C20" s="1">
        <v>11</v>
      </c>
      <c r="F20" t="s">
        <v>24</v>
      </c>
      <c r="L20" s="15" t="s">
        <v>36</v>
      </c>
      <c r="M20" s="15">
        <f>N3</f>
        <v>1800</v>
      </c>
      <c r="N20" s="15">
        <v>1800</v>
      </c>
    </row>
    <row r="21" spans="1:14" x14ac:dyDescent="0.2">
      <c r="A21" s="1" t="s">
        <v>8</v>
      </c>
      <c r="B21" s="1">
        <v>7</v>
      </c>
      <c r="C21" s="1">
        <v>5</v>
      </c>
      <c r="L21" s="15" t="s">
        <v>41</v>
      </c>
      <c r="M21" s="15">
        <f>M4</f>
        <v>1115</v>
      </c>
      <c r="N21" s="15">
        <v>1500</v>
      </c>
    </row>
    <row r="22" spans="1:14" ht="35" customHeight="1" x14ac:dyDescent="0.2">
      <c r="A22" s="33" t="s">
        <v>12</v>
      </c>
      <c r="B22" s="33"/>
      <c r="C22" s="33"/>
      <c r="D22" s="33"/>
      <c r="L22" s="15" t="s">
        <v>42</v>
      </c>
      <c r="M22" s="15">
        <f>N4</f>
        <v>2000</v>
      </c>
      <c r="N22" s="15">
        <v>2000</v>
      </c>
    </row>
    <row r="23" spans="1:14" x14ac:dyDescent="0.2">
      <c r="L23" s="17" t="s">
        <v>37</v>
      </c>
      <c r="M23" s="16"/>
      <c r="N23" s="16"/>
    </row>
    <row r="24" spans="1:14" x14ac:dyDescent="0.2">
      <c r="A24" s="3" t="s">
        <v>13</v>
      </c>
      <c r="B24" s="1"/>
      <c r="C24" s="1"/>
      <c r="L24" s="16" t="s">
        <v>43</v>
      </c>
      <c r="M24" s="16">
        <f>G9*SUM(M3:N3)+G10*SUM(M4:N4)</f>
        <v>3123</v>
      </c>
      <c r="N24" s="16">
        <v>3200</v>
      </c>
    </row>
    <row r="25" spans="1:14" x14ac:dyDescent="0.2">
      <c r="A25" s="1" t="s">
        <v>1</v>
      </c>
      <c r="B25" s="1" t="s">
        <v>2</v>
      </c>
      <c r="C25" s="1" t="s">
        <v>3</v>
      </c>
      <c r="L25" s="18" t="s">
        <v>38</v>
      </c>
      <c r="M25" s="19"/>
      <c r="N25" s="19"/>
    </row>
    <row r="26" spans="1:14" x14ac:dyDescent="0.2">
      <c r="A26" s="1" t="s">
        <v>7</v>
      </c>
      <c r="B26" s="1">
        <v>18</v>
      </c>
      <c r="C26" s="1">
        <v>25</v>
      </c>
      <c r="L26" s="19" t="s">
        <v>44</v>
      </c>
      <c r="M26" s="19">
        <f>G15*SUM(M3:N3)+G16*SUM(M4:N4)</f>
        <v>3377</v>
      </c>
      <c r="N26" s="19">
        <v>3600</v>
      </c>
    </row>
    <row r="27" spans="1:14" x14ac:dyDescent="0.2">
      <c r="A27" s="1" t="s">
        <v>8</v>
      </c>
      <c r="B27" s="1">
        <v>4</v>
      </c>
      <c r="C27" s="1">
        <v>7</v>
      </c>
      <c r="L27" s="20" t="s">
        <v>23</v>
      </c>
      <c r="M27" s="21"/>
      <c r="N27" s="21"/>
    </row>
    <row r="28" spans="1:14" x14ac:dyDescent="0.2">
      <c r="A28" s="6" t="s">
        <v>30</v>
      </c>
      <c r="L28" s="21" t="s">
        <v>45</v>
      </c>
      <c r="M28" s="21">
        <f>SUM(M3:N4)</f>
        <v>5000</v>
      </c>
      <c r="N28" s="21">
        <v>5000</v>
      </c>
    </row>
    <row r="29" spans="1:14" x14ac:dyDescent="0.2">
      <c r="L29" s="23" t="s">
        <v>39</v>
      </c>
      <c r="M29" s="22"/>
      <c r="N29" s="22"/>
    </row>
    <row r="30" spans="1:14" x14ac:dyDescent="0.2">
      <c r="L30" s="22" t="s">
        <v>46</v>
      </c>
      <c r="M30" s="22">
        <f>SUMPRODUCT(B26:C27,M3:N4)</f>
        <v>64990</v>
      </c>
      <c r="N30" s="22">
        <f>13*5000</f>
        <v>65000</v>
      </c>
    </row>
  </sheetData>
  <mergeCells count="3">
    <mergeCell ref="A1:C1"/>
    <mergeCell ref="A6:C6"/>
    <mergeCell ref="A22:D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6A125-4D6C-8B48-ACE6-020DE8DF3FD9}">
  <sheetPr codeName="Sheet2"/>
  <dimension ref="A1:AA31"/>
  <sheetViews>
    <sheetView topLeftCell="L1" zoomScale="69" workbookViewId="0">
      <selection activeCell="Y28" sqref="Y28"/>
    </sheetView>
  </sheetViews>
  <sheetFormatPr baseColWidth="10" defaultRowHeight="16" x14ac:dyDescent="0.2"/>
  <cols>
    <col min="9" max="9" width="21.5" customWidth="1"/>
    <col min="12" max="12" width="35.1640625" customWidth="1"/>
    <col min="13" max="13" width="27.6640625" customWidth="1"/>
  </cols>
  <sheetData>
    <row r="1" spans="1:27" x14ac:dyDescent="0.2">
      <c r="A1" s="30" t="s">
        <v>0</v>
      </c>
      <c r="B1" s="31"/>
      <c r="C1" s="32"/>
      <c r="F1" s="3" t="s">
        <v>14</v>
      </c>
      <c r="G1" s="1"/>
      <c r="H1" s="1"/>
      <c r="I1" s="1"/>
      <c r="L1" s="12" t="s">
        <v>25</v>
      </c>
      <c r="R1" t="s">
        <v>51</v>
      </c>
      <c r="S1" t="s">
        <v>52</v>
      </c>
      <c r="T1" t="s">
        <v>47</v>
      </c>
      <c r="U1" t="s">
        <v>48</v>
      </c>
      <c r="V1" t="s">
        <v>49</v>
      </c>
      <c r="W1" t="s">
        <v>50</v>
      </c>
      <c r="AA1" t="s">
        <v>33</v>
      </c>
    </row>
    <row r="2" spans="1:27" ht="34" customHeight="1" x14ac:dyDescent="0.2">
      <c r="A2" s="1" t="s">
        <v>1</v>
      </c>
      <c r="B2" s="1" t="s">
        <v>2</v>
      </c>
      <c r="C2" s="1" t="s">
        <v>3</v>
      </c>
      <c r="F2" s="1"/>
      <c r="G2" s="1" t="s">
        <v>15</v>
      </c>
      <c r="H2" s="1"/>
      <c r="I2" s="1"/>
      <c r="L2" s="24" t="s">
        <v>1</v>
      </c>
      <c r="M2" s="25" t="s">
        <v>2</v>
      </c>
      <c r="N2" s="25" t="s">
        <v>3</v>
      </c>
      <c r="R2">
        <v>263465</v>
      </c>
      <c r="S2">
        <f>38795 - (ROW()-ROW($S$2)) * (38795 - 37000) / 19</f>
        <v>38795</v>
      </c>
      <c r="T2">
        <v>85</v>
      </c>
      <c r="U2">
        <v>1800</v>
      </c>
      <c r="V2">
        <v>1115</v>
      </c>
      <c r="W2">
        <v>2000</v>
      </c>
    </row>
    <row r="3" spans="1:27" x14ac:dyDescent="0.2">
      <c r="A3" s="1" t="s">
        <v>4</v>
      </c>
      <c r="B3" s="1">
        <v>40</v>
      </c>
      <c r="C3" s="1">
        <v>38</v>
      </c>
      <c r="F3" s="1" t="s">
        <v>1</v>
      </c>
      <c r="G3" s="1" t="s">
        <v>2</v>
      </c>
      <c r="H3" s="1" t="s">
        <v>3</v>
      </c>
      <c r="I3" s="1" t="s">
        <v>16</v>
      </c>
      <c r="L3" s="26" t="s">
        <v>4</v>
      </c>
      <c r="M3" s="27">
        <v>0</v>
      </c>
      <c r="N3" s="27">
        <v>1500</v>
      </c>
      <c r="R3">
        <v>263619</v>
      </c>
      <c r="S3">
        <f t="shared" ref="S3:S21" si="0">38795 - (ROW()-ROW($S$2)) * (38795 - 37000) / 19</f>
        <v>38700.526315789473</v>
      </c>
      <c r="T3">
        <v>71</v>
      </c>
      <c r="U3">
        <v>1800</v>
      </c>
      <c r="V3">
        <v>1129</v>
      </c>
      <c r="W3">
        <v>2000</v>
      </c>
    </row>
    <row r="4" spans="1:27" x14ac:dyDescent="0.2">
      <c r="A4" s="1" t="s">
        <v>5</v>
      </c>
      <c r="B4" s="1">
        <v>55</v>
      </c>
      <c r="C4" s="1">
        <v>52</v>
      </c>
      <c r="F4" s="1" t="s">
        <v>7</v>
      </c>
      <c r="G4" s="7">
        <v>1300</v>
      </c>
      <c r="H4" s="7">
        <v>1800</v>
      </c>
      <c r="I4" s="7">
        <v>3000</v>
      </c>
      <c r="L4" s="26" t="s">
        <v>5</v>
      </c>
      <c r="M4" s="27">
        <v>1500</v>
      </c>
      <c r="N4" s="27">
        <v>2000</v>
      </c>
      <c r="R4">
        <v>263762</v>
      </c>
      <c r="S4">
        <f t="shared" si="0"/>
        <v>38606.052631578947</v>
      </c>
      <c r="T4">
        <v>58</v>
      </c>
      <c r="U4">
        <v>1800</v>
      </c>
      <c r="V4">
        <v>1142</v>
      </c>
      <c r="W4">
        <v>2000</v>
      </c>
    </row>
    <row r="5" spans="1:27" x14ac:dyDescent="0.2">
      <c r="F5" s="1" t="s">
        <v>8</v>
      </c>
      <c r="G5" s="7">
        <v>1500</v>
      </c>
      <c r="H5" s="7">
        <v>2000</v>
      </c>
      <c r="I5" s="7">
        <v>4000</v>
      </c>
      <c r="L5" s="4"/>
      <c r="M5" s="9"/>
      <c r="R5">
        <v>263916</v>
      </c>
      <c r="S5">
        <f t="shared" si="0"/>
        <v>38511.57894736842</v>
      </c>
      <c r="T5">
        <v>44</v>
      </c>
      <c r="U5">
        <v>1800</v>
      </c>
      <c r="V5">
        <v>1156</v>
      </c>
      <c r="W5">
        <v>2000</v>
      </c>
    </row>
    <row r="6" spans="1:27" x14ac:dyDescent="0.2">
      <c r="A6" s="30" t="s">
        <v>6</v>
      </c>
      <c r="B6" s="31"/>
      <c r="C6" s="32"/>
      <c r="R6">
        <v>264059</v>
      </c>
      <c r="S6">
        <f t="shared" si="0"/>
        <v>38417.105263157893</v>
      </c>
      <c r="T6">
        <v>31</v>
      </c>
      <c r="U6">
        <v>1800</v>
      </c>
      <c r="V6">
        <v>1169</v>
      </c>
      <c r="W6">
        <v>2000</v>
      </c>
    </row>
    <row r="7" spans="1:27" x14ac:dyDescent="0.2">
      <c r="A7" s="1" t="s">
        <v>1</v>
      </c>
      <c r="B7" s="1" t="s">
        <v>2</v>
      </c>
      <c r="C7" s="1" t="s">
        <v>3</v>
      </c>
      <c r="F7" s="3" t="s">
        <v>17</v>
      </c>
      <c r="G7" s="1"/>
      <c r="R7">
        <v>264213</v>
      </c>
      <c r="S7">
        <f t="shared" si="0"/>
        <v>38322.631578947367</v>
      </c>
      <c r="T7">
        <v>17</v>
      </c>
      <c r="U7">
        <v>1800</v>
      </c>
      <c r="V7">
        <v>1183</v>
      </c>
      <c r="W7">
        <v>2000</v>
      </c>
    </row>
    <row r="8" spans="1:27" x14ac:dyDescent="0.2">
      <c r="A8" s="1" t="s">
        <v>7</v>
      </c>
      <c r="B8" s="1">
        <v>10</v>
      </c>
      <c r="C8" s="1">
        <v>6</v>
      </c>
      <c r="F8" s="1" t="s">
        <v>1</v>
      </c>
      <c r="G8" s="1" t="s">
        <v>18</v>
      </c>
      <c r="L8" s="12" t="s">
        <v>26</v>
      </c>
      <c r="R8">
        <v>264356</v>
      </c>
      <c r="S8">
        <f t="shared" si="0"/>
        <v>38228.15789473684</v>
      </c>
      <c r="T8">
        <v>4</v>
      </c>
      <c r="U8">
        <v>1800</v>
      </c>
      <c r="V8">
        <v>1196</v>
      </c>
      <c r="W8">
        <v>2000</v>
      </c>
    </row>
    <row r="9" spans="1:27" x14ac:dyDescent="0.2">
      <c r="A9" s="1" t="s">
        <v>8</v>
      </c>
      <c r="B9" s="1">
        <v>6</v>
      </c>
      <c r="C9" s="1">
        <v>4</v>
      </c>
      <c r="F9" s="1" t="s">
        <v>7</v>
      </c>
      <c r="G9" s="1">
        <v>0.5</v>
      </c>
      <c r="L9" t="s">
        <v>27</v>
      </c>
      <c r="M9" t="s">
        <v>31</v>
      </c>
      <c r="N9" s="11">
        <f>SUMPRODUCT(B13:C14,M3:N4)</f>
        <v>269500</v>
      </c>
      <c r="O9">
        <v>263465</v>
      </c>
      <c r="P9">
        <v>269500</v>
      </c>
      <c r="R9">
        <v>264689</v>
      </c>
      <c r="S9">
        <f t="shared" si="0"/>
        <v>38133.684210526313</v>
      </c>
      <c r="T9">
        <v>0</v>
      </c>
      <c r="U9">
        <v>1783</v>
      </c>
      <c r="V9">
        <v>1217</v>
      </c>
      <c r="W9">
        <v>2000</v>
      </c>
    </row>
    <row r="10" spans="1:27" x14ac:dyDescent="0.2">
      <c r="F10" s="1" t="s">
        <v>8</v>
      </c>
      <c r="G10" s="1">
        <v>0.7</v>
      </c>
      <c r="L10" t="s">
        <v>28</v>
      </c>
      <c r="M10" t="s">
        <v>32</v>
      </c>
      <c r="N10" s="11">
        <f>SUMPRODUCT(B20:C21,M3:N4)</f>
        <v>37000</v>
      </c>
      <c r="O10">
        <v>38795</v>
      </c>
      <c r="P10">
        <v>37000</v>
      </c>
      <c r="R10">
        <v>265097</v>
      </c>
      <c r="S10">
        <f t="shared" si="0"/>
        <v>38039.210526315786</v>
      </c>
      <c r="T10">
        <v>0</v>
      </c>
      <c r="U10">
        <v>1759</v>
      </c>
      <c r="V10">
        <v>1241</v>
      </c>
      <c r="W10">
        <v>2000</v>
      </c>
    </row>
    <row r="11" spans="1:27" x14ac:dyDescent="0.2">
      <c r="A11" s="3" t="s">
        <v>9</v>
      </c>
      <c r="B11" s="1"/>
      <c r="C11" s="1"/>
      <c r="F11" t="s">
        <v>19</v>
      </c>
      <c r="R11">
        <v>265488</v>
      </c>
      <c r="S11">
        <f t="shared" si="0"/>
        <v>37944.73684210526</v>
      </c>
      <c r="T11">
        <v>0</v>
      </c>
      <c r="U11">
        <v>1736</v>
      </c>
      <c r="V11">
        <v>1264</v>
      </c>
      <c r="W11">
        <v>2000</v>
      </c>
    </row>
    <row r="12" spans="1:27" x14ac:dyDescent="0.2">
      <c r="A12" s="1" t="s">
        <v>1</v>
      </c>
      <c r="B12" s="1" t="s">
        <v>2</v>
      </c>
      <c r="C12" s="1" t="s">
        <v>3</v>
      </c>
      <c r="R12">
        <v>265896</v>
      </c>
      <c r="S12">
        <f t="shared" si="0"/>
        <v>37850.26315789474</v>
      </c>
      <c r="T12">
        <v>0</v>
      </c>
      <c r="U12">
        <v>1712</v>
      </c>
      <c r="V12">
        <v>1288</v>
      </c>
      <c r="W12">
        <v>2000</v>
      </c>
    </row>
    <row r="13" spans="1:27" x14ac:dyDescent="0.2">
      <c r="A13" s="1" t="s">
        <v>7</v>
      </c>
      <c r="B13" s="1">
        <v>50</v>
      </c>
      <c r="C13" s="1">
        <v>44</v>
      </c>
      <c r="F13" s="8" t="s">
        <v>20</v>
      </c>
      <c r="G13" s="1"/>
      <c r="L13" s="12" t="s">
        <v>29</v>
      </c>
      <c r="R13">
        <v>266304</v>
      </c>
      <c r="S13">
        <f t="shared" si="0"/>
        <v>37755.789473684214</v>
      </c>
      <c r="T13">
        <v>0</v>
      </c>
      <c r="U13">
        <v>1688</v>
      </c>
      <c r="V13">
        <v>1312</v>
      </c>
      <c r="W13">
        <v>2000</v>
      </c>
    </row>
    <row r="14" spans="1:27" x14ac:dyDescent="0.2">
      <c r="A14" s="1" t="s">
        <v>8</v>
      </c>
      <c r="B14" s="1">
        <v>61</v>
      </c>
      <c r="C14" s="1">
        <v>56</v>
      </c>
      <c r="F14" s="1" t="s">
        <v>1</v>
      </c>
      <c r="G14" s="1" t="s">
        <v>21</v>
      </c>
      <c r="L14" s="12" t="s">
        <v>14</v>
      </c>
      <c r="R14">
        <v>266695</v>
      </c>
      <c r="S14">
        <f t="shared" si="0"/>
        <v>37661.315789473687</v>
      </c>
      <c r="T14">
        <v>0</v>
      </c>
      <c r="U14">
        <v>1665</v>
      </c>
      <c r="V14">
        <v>1335</v>
      </c>
      <c r="W14">
        <v>2000</v>
      </c>
    </row>
    <row r="15" spans="1:27" x14ac:dyDescent="0.2">
      <c r="F15" s="1" t="s">
        <v>7</v>
      </c>
      <c r="G15" s="1">
        <v>0.8</v>
      </c>
      <c r="L15" s="13" t="s">
        <v>16</v>
      </c>
      <c r="M15" s="10"/>
      <c r="N15" s="10"/>
      <c r="R15">
        <v>267103</v>
      </c>
      <c r="S15">
        <f t="shared" si="0"/>
        <v>37566.84210526316</v>
      </c>
      <c r="T15">
        <v>0</v>
      </c>
      <c r="U15">
        <v>1641</v>
      </c>
      <c r="V15">
        <v>1359</v>
      </c>
      <c r="W15">
        <v>2000</v>
      </c>
    </row>
    <row r="16" spans="1:27" x14ac:dyDescent="0.2">
      <c r="F16" s="1" t="s">
        <v>8</v>
      </c>
      <c r="G16" s="1">
        <v>0.6</v>
      </c>
      <c r="L16" s="10" t="s">
        <v>55</v>
      </c>
      <c r="M16" s="10">
        <f>M3+N3</f>
        <v>1500</v>
      </c>
      <c r="N16" s="10">
        <v>3000</v>
      </c>
      <c r="R16">
        <v>267494</v>
      </c>
      <c r="S16">
        <f t="shared" si="0"/>
        <v>37472.368421052633</v>
      </c>
      <c r="T16">
        <v>0</v>
      </c>
      <c r="U16">
        <v>1618</v>
      </c>
      <c r="V16">
        <v>1382</v>
      </c>
      <c r="W16">
        <v>2000</v>
      </c>
    </row>
    <row r="17" spans="1:23" x14ac:dyDescent="0.2">
      <c r="A17" s="3" t="s">
        <v>10</v>
      </c>
      <c r="B17" s="1"/>
      <c r="C17" s="1"/>
      <c r="F17" t="s">
        <v>22</v>
      </c>
      <c r="L17" s="10" t="s">
        <v>56</v>
      </c>
      <c r="M17" s="10">
        <f>M4+N4</f>
        <v>3500</v>
      </c>
      <c r="N17" s="10">
        <v>4000</v>
      </c>
      <c r="R17">
        <v>267902</v>
      </c>
      <c r="S17">
        <f t="shared" si="0"/>
        <v>37377.894736842107</v>
      </c>
      <c r="T17">
        <v>0</v>
      </c>
      <c r="U17">
        <v>1594</v>
      </c>
      <c r="V17">
        <v>1406</v>
      </c>
      <c r="W17">
        <v>2000</v>
      </c>
    </row>
    <row r="18" spans="1:23" x14ac:dyDescent="0.2">
      <c r="A18" s="5" t="s">
        <v>11</v>
      </c>
      <c r="B18" s="1"/>
      <c r="C18" s="1"/>
      <c r="L18" s="14" t="s">
        <v>15</v>
      </c>
      <c r="M18" s="15"/>
      <c r="N18" s="15"/>
      <c r="R18">
        <v>268310</v>
      </c>
      <c r="S18">
        <f t="shared" si="0"/>
        <v>37283.42105263158</v>
      </c>
      <c r="T18">
        <v>0</v>
      </c>
      <c r="U18">
        <v>1570</v>
      </c>
      <c r="V18">
        <v>1430</v>
      </c>
      <c r="W18">
        <v>2000</v>
      </c>
    </row>
    <row r="19" spans="1:23" x14ac:dyDescent="0.2">
      <c r="A19" s="1" t="s">
        <v>1</v>
      </c>
      <c r="B19" s="1" t="s">
        <v>2</v>
      </c>
      <c r="C19" s="1" t="s">
        <v>3</v>
      </c>
      <c r="F19" s="2" t="s">
        <v>23</v>
      </c>
      <c r="L19" s="15" t="s">
        <v>35</v>
      </c>
      <c r="M19" s="15">
        <f>M3</f>
        <v>0</v>
      </c>
      <c r="N19" s="15">
        <v>1300</v>
      </c>
      <c r="R19">
        <v>268701</v>
      </c>
      <c r="S19">
        <f t="shared" si="0"/>
        <v>37188.947368421053</v>
      </c>
      <c r="T19">
        <v>0</v>
      </c>
      <c r="U19">
        <v>1547</v>
      </c>
      <c r="V19">
        <v>1453</v>
      </c>
      <c r="W19">
        <v>2000</v>
      </c>
    </row>
    <row r="20" spans="1:23" x14ac:dyDescent="0.2">
      <c r="A20" s="1" t="s">
        <v>7</v>
      </c>
      <c r="B20" s="1">
        <v>14</v>
      </c>
      <c r="C20" s="1">
        <v>11</v>
      </c>
      <c r="F20" t="s">
        <v>24</v>
      </c>
      <c r="L20" s="15" t="s">
        <v>36</v>
      </c>
      <c r="M20" s="15">
        <f>N3</f>
        <v>1500</v>
      </c>
      <c r="N20" s="15">
        <v>1800</v>
      </c>
      <c r="R20">
        <v>269109</v>
      </c>
      <c r="S20">
        <f t="shared" si="0"/>
        <v>37094.473684210527</v>
      </c>
      <c r="T20">
        <v>0</v>
      </c>
      <c r="U20">
        <v>1523</v>
      </c>
      <c r="V20">
        <v>1477</v>
      </c>
      <c r="W20">
        <v>2000</v>
      </c>
    </row>
    <row r="21" spans="1:23" x14ac:dyDescent="0.2">
      <c r="A21" s="1" t="s">
        <v>8</v>
      </c>
      <c r="B21" s="1">
        <v>7</v>
      </c>
      <c r="C21" s="1">
        <v>5</v>
      </c>
      <c r="L21" s="15" t="s">
        <v>41</v>
      </c>
      <c r="M21" s="15">
        <f>M4</f>
        <v>1500</v>
      </c>
      <c r="N21" s="15">
        <v>1500</v>
      </c>
      <c r="R21">
        <v>269500</v>
      </c>
      <c r="S21">
        <f t="shared" si="0"/>
        <v>37000</v>
      </c>
      <c r="T21">
        <v>0</v>
      </c>
      <c r="U21">
        <v>1500</v>
      </c>
      <c r="V21">
        <v>1500</v>
      </c>
      <c r="W21">
        <v>2000</v>
      </c>
    </row>
    <row r="22" spans="1:23" ht="35" customHeight="1" x14ac:dyDescent="0.2">
      <c r="A22" s="33" t="s">
        <v>12</v>
      </c>
      <c r="B22" s="33"/>
      <c r="C22" s="33"/>
      <c r="D22" s="33"/>
      <c r="L22" s="15" t="s">
        <v>42</v>
      </c>
      <c r="M22" s="15">
        <f>N4</f>
        <v>2000</v>
      </c>
      <c r="N22" s="15">
        <v>2000</v>
      </c>
    </row>
    <row r="23" spans="1:23" x14ac:dyDescent="0.2">
      <c r="L23" s="17" t="s">
        <v>37</v>
      </c>
      <c r="M23" s="16"/>
      <c r="N23" s="16"/>
    </row>
    <row r="24" spans="1:23" x14ac:dyDescent="0.2">
      <c r="A24" s="3" t="s">
        <v>13</v>
      </c>
      <c r="B24" s="1"/>
      <c r="C24" s="1"/>
      <c r="L24" s="16" t="s">
        <v>43</v>
      </c>
      <c r="M24" s="16">
        <f>G9*SUM(M3:N3)+G10*SUM(M4:N4)</f>
        <v>3200</v>
      </c>
      <c r="N24" s="16">
        <v>3200</v>
      </c>
    </row>
    <row r="25" spans="1:23" x14ac:dyDescent="0.2">
      <c r="A25" s="1" t="s">
        <v>1</v>
      </c>
      <c r="B25" s="1" t="s">
        <v>2</v>
      </c>
      <c r="C25" s="1" t="s">
        <v>3</v>
      </c>
      <c r="L25" s="18" t="s">
        <v>38</v>
      </c>
      <c r="M25" s="19"/>
      <c r="N25" s="19"/>
    </row>
    <row r="26" spans="1:23" x14ac:dyDescent="0.2">
      <c r="A26" s="1" t="s">
        <v>7</v>
      </c>
      <c r="B26" s="1">
        <v>18</v>
      </c>
      <c r="C26" s="1">
        <v>25</v>
      </c>
      <c r="L26" s="19" t="s">
        <v>44</v>
      </c>
      <c r="M26" s="19">
        <f>G15*SUM(M3:N3)+G16*SUM(M4:N4)</f>
        <v>3300</v>
      </c>
      <c r="N26" s="19">
        <v>3600</v>
      </c>
    </row>
    <row r="27" spans="1:23" x14ac:dyDescent="0.2">
      <c r="A27" s="1" t="s">
        <v>8</v>
      </c>
      <c r="B27" s="1">
        <v>4</v>
      </c>
      <c r="C27" s="1">
        <v>7</v>
      </c>
      <c r="L27" s="20" t="s">
        <v>23</v>
      </c>
      <c r="M27" s="21"/>
      <c r="N27" s="21"/>
    </row>
    <row r="28" spans="1:23" x14ac:dyDescent="0.2">
      <c r="A28" s="6" t="s">
        <v>30</v>
      </c>
      <c r="L28" s="21" t="s">
        <v>45</v>
      </c>
      <c r="M28" s="21">
        <f>SUM(M3:N4)</f>
        <v>5000</v>
      </c>
      <c r="N28" s="21">
        <v>5000</v>
      </c>
    </row>
    <row r="29" spans="1:23" x14ac:dyDescent="0.2">
      <c r="L29" s="23" t="s">
        <v>39</v>
      </c>
      <c r="M29" s="22"/>
      <c r="N29" s="22"/>
    </row>
    <row r="30" spans="1:23" x14ac:dyDescent="0.2">
      <c r="L30" s="22" t="s">
        <v>46</v>
      </c>
      <c r="M30" s="22">
        <f>SUMPRODUCT(B26:C27,M3:N4)</f>
        <v>57500</v>
      </c>
      <c r="N30" s="22">
        <f>13*5000</f>
        <v>65000</v>
      </c>
    </row>
    <row r="31" spans="1:23" x14ac:dyDescent="0.2">
      <c r="L31" s="29" t="s">
        <v>53</v>
      </c>
      <c r="M31" s="28">
        <f>SUMPRODUCT(B20:C21,M3:N4)</f>
        <v>37000</v>
      </c>
      <c r="N31" s="28">
        <f>S21</f>
        <v>37000</v>
      </c>
    </row>
  </sheetData>
  <mergeCells count="3">
    <mergeCell ref="A1:C1"/>
    <mergeCell ref="A6:C6"/>
    <mergeCell ref="A22:D2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E0C9B-4C1B-B341-9240-4EF3530CE602}">
  <dimension ref="A1:AA31"/>
  <sheetViews>
    <sheetView workbookViewId="0">
      <selection activeCell="Y24" sqref="Y24"/>
    </sheetView>
  </sheetViews>
  <sheetFormatPr baseColWidth="10" defaultRowHeight="16" x14ac:dyDescent="0.2"/>
  <cols>
    <col min="9" max="9" width="21.5" customWidth="1"/>
    <col min="12" max="12" width="35.1640625" customWidth="1"/>
    <col min="13" max="13" width="27.6640625" customWidth="1"/>
  </cols>
  <sheetData>
    <row r="1" spans="1:27" x14ac:dyDescent="0.2">
      <c r="A1" s="30" t="s">
        <v>0</v>
      </c>
      <c r="B1" s="31"/>
      <c r="C1" s="32"/>
      <c r="F1" s="3" t="s">
        <v>14</v>
      </c>
      <c r="G1" s="1"/>
      <c r="H1" s="1"/>
      <c r="I1" s="1"/>
      <c r="L1" s="12" t="s">
        <v>25</v>
      </c>
      <c r="R1" t="s">
        <v>51</v>
      </c>
      <c r="S1" t="s">
        <v>52</v>
      </c>
      <c r="T1" t="s">
        <v>47</v>
      </c>
      <c r="U1" t="s">
        <v>48</v>
      </c>
      <c r="V1" t="s">
        <v>49</v>
      </c>
      <c r="W1" t="s">
        <v>50</v>
      </c>
      <c r="AA1" t="s">
        <v>33</v>
      </c>
    </row>
    <row r="2" spans="1:27" ht="34" customHeight="1" x14ac:dyDescent="0.2">
      <c r="A2" s="1" t="s">
        <v>1</v>
      </c>
      <c r="B2" s="1" t="s">
        <v>2</v>
      </c>
      <c r="C2" s="1" t="s">
        <v>3</v>
      </c>
      <c r="F2" s="1"/>
      <c r="G2" s="1" t="s">
        <v>15</v>
      </c>
      <c r="H2" s="1"/>
      <c r="I2" s="1"/>
      <c r="L2" s="24" t="s">
        <v>1</v>
      </c>
      <c r="M2" s="25" t="s">
        <v>2</v>
      </c>
      <c r="N2" s="25" t="s">
        <v>3</v>
      </c>
      <c r="R2">
        <f>269500 - (ROW()-ROW($R$2)) * (269500 - 263465) / 19</f>
        <v>269500</v>
      </c>
      <c r="S2">
        <v>37000</v>
      </c>
      <c r="T2">
        <v>0</v>
      </c>
      <c r="U2">
        <v>1500</v>
      </c>
      <c r="V2">
        <v>1500</v>
      </c>
      <c r="W2">
        <v>2000</v>
      </c>
    </row>
    <row r="3" spans="1:27" x14ac:dyDescent="0.2">
      <c r="A3" s="1" t="s">
        <v>4</v>
      </c>
      <c r="B3" s="1">
        <v>40</v>
      </c>
      <c r="C3" s="1">
        <v>38</v>
      </c>
      <c r="F3" s="1" t="s">
        <v>1</v>
      </c>
      <c r="G3" s="1" t="s">
        <v>2</v>
      </c>
      <c r="H3" s="1" t="s">
        <v>3</v>
      </c>
      <c r="I3" s="1" t="s">
        <v>16</v>
      </c>
      <c r="L3" s="26" t="s">
        <v>4</v>
      </c>
      <c r="M3" s="27">
        <v>85</v>
      </c>
      <c r="N3" s="27">
        <v>1800</v>
      </c>
      <c r="R3">
        <f t="shared" ref="R3:R21" si="0">269500 - (ROW()-ROW($R$2)) * (269500 - 263465) / 19</f>
        <v>269182.36842105264</v>
      </c>
      <c r="S3">
        <v>37076</v>
      </c>
      <c r="T3">
        <v>0</v>
      </c>
      <c r="U3">
        <v>1519</v>
      </c>
      <c r="V3">
        <v>1481</v>
      </c>
      <c r="W3">
        <v>2000</v>
      </c>
    </row>
    <row r="4" spans="1:27" x14ac:dyDescent="0.2">
      <c r="A4" s="1" t="s">
        <v>5</v>
      </c>
      <c r="B4" s="1">
        <v>55</v>
      </c>
      <c r="C4" s="1">
        <v>52</v>
      </c>
      <c r="F4" s="1" t="s">
        <v>7</v>
      </c>
      <c r="G4" s="7">
        <v>1300</v>
      </c>
      <c r="H4" s="7">
        <v>1800</v>
      </c>
      <c r="I4" s="7">
        <v>3000</v>
      </c>
      <c r="L4" s="26" t="s">
        <v>5</v>
      </c>
      <c r="M4" s="27">
        <v>1115</v>
      </c>
      <c r="N4" s="27">
        <v>2000</v>
      </c>
      <c r="R4">
        <f t="shared" si="0"/>
        <v>268864.73684210528</v>
      </c>
      <c r="S4">
        <v>37152</v>
      </c>
      <c r="T4">
        <v>0</v>
      </c>
      <c r="U4">
        <v>1538</v>
      </c>
      <c r="V4">
        <v>1462</v>
      </c>
      <c r="W4">
        <v>2000</v>
      </c>
    </row>
    <row r="5" spans="1:27" x14ac:dyDescent="0.2">
      <c r="F5" s="1" t="s">
        <v>8</v>
      </c>
      <c r="G5" s="7">
        <v>1500</v>
      </c>
      <c r="H5" s="7">
        <v>2000</v>
      </c>
      <c r="I5" s="7">
        <v>4000</v>
      </c>
      <c r="L5" s="4"/>
      <c r="M5" s="9"/>
      <c r="R5">
        <f t="shared" si="0"/>
        <v>268547.10526315792</v>
      </c>
      <c r="S5">
        <v>37228</v>
      </c>
      <c r="T5">
        <v>0</v>
      </c>
      <c r="U5">
        <v>1557</v>
      </c>
      <c r="V5">
        <v>1443</v>
      </c>
      <c r="W5">
        <v>2000</v>
      </c>
    </row>
    <row r="6" spans="1:27" x14ac:dyDescent="0.2">
      <c r="A6" s="30" t="s">
        <v>6</v>
      </c>
      <c r="B6" s="31"/>
      <c r="C6" s="32"/>
      <c r="R6">
        <f t="shared" si="0"/>
        <v>268229.4736842105</v>
      </c>
      <c r="S6">
        <v>37300</v>
      </c>
      <c r="T6">
        <v>0</v>
      </c>
      <c r="U6">
        <v>1575</v>
      </c>
      <c r="V6">
        <v>1425</v>
      </c>
      <c r="W6">
        <v>2000</v>
      </c>
    </row>
    <row r="7" spans="1:27" x14ac:dyDescent="0.2">
      <c r="A7" s="1" t="s">
        <v>1</v>
      </c>
      <c r="B7" s="1" t="s">
        <v>2</v>
      </c>
      <c r="C7" s="1" t="s">
        <v>3</v>
      </c>
      <c r="F7" s="3" t="s">
        <v>17</v>
      </c>
      <c r="G7" s="1"/>
      <c r="R7">
        <f t="shared" si="0"/>
        <v>267911.84210526315</v>
      </c>
      <c r="S7">
        <v>37376</v>
      </c>
      <c r="T7">
        <v>0</v>
      </c>
      <c r="U7">
        <v>1594</v>
      </c>
      <c r="V7">
        <v>1406</v>
      </c>
      <c r="W7">
        <v>2000</v>
      </c>
    </row>
    <row r="8" spans="1:27" x14ac:dyDescent="0.2">
      <c r="A8" s="1" t="s">
        <v>7</v>
      </c>
      <c r="B8" s="1">
        <v>10</v>
      </c>
      <c r="C8" s="1">
        <v>6</v>
      </c>
      <c r="F8" s="1" t="s">
        <v>1</v>
      </c>
      <c r="G8" s="1" t="s">
        <v>18</v>
      </c>
      <c r="L8" s="12" t="s">
        <v>26</v>
      </c>
      <c r="R8">
        <f t="shared" si="0"/>
        <v>267594.21052631579</v>
      </c>
      <c r="S8">
        <v>37452</v>
      </c>
      <c r="T8">
        <v>0</v>
      </c>
      <c r="U8">
        <v>1613</v>
      </c>
      <c r="V8">
        <v>1387</v>
      </c>
      <c r="W8">
        <v>2000</v>
      </c>
    </row>
    <row r="9" spans="1:27" x14ac:dyDescent="0.2">
      <c r="A9" s="1" t="s">
        <v>8</v>
      </c>
      <c r="B9" s="1">
        <v>6</v>
      </c>
      <c r="C9" s="1">
        <v>4</v>
      </c>
      <c r="F9" s="1" t="s">
        <v>7</v>
      </c>
      <c r="G9" s="1">
        <v>0.5</v>
      </c>
      <c r="L9" t="s">
        <v>27</v>
      </c>
      <c r="M9" t="s">
        <v>31</v>
      </c>
      <c r="N9" s="11">
        <f>SUMPRODUCT(M3:N4,B13:C14)</f>
        <v>263465</v>
      </c>
      <c r="O9">
        <v>263465</v>
      </c>
      <c r="P9">
        <v>269500</v>
      </c>
      <c r="R9">
        <f t="shared" si="0"/>
        <v>267276.57894736843</v>
      </c>
      <c r="S9">
        <v>37524</v>
      </c>
      <c r="T9">
        <v>0</v>
      </c>
      <c r="U9">
        <v>1631</v>
      </c>
      <c r="V9">
        <v>1369</v>
      </c>
      <c r="W9">
        <v>2000</v>
      </c>
    </row>
    <row r="10" spans="1:27" x14ac:dyDescent="0.2">
      <c r="F10" s="1" t="s">
        <v>8</v>
      </c>
      <c r="G10" s="1">
        <v>0.7</v>
      </c>
      <c r="L10" t="s">
        <v>28</v>
      </c>
      <c r="M10" t="s">
        <v>32</v>
      </c>
      <c r="N10" s="11">
        <f>SUMPRODUCT(B20:C21,M3:N4)</f>
        <v>38795</v>
      </c>
      <c r="O10">
        <v>38795</v>
      </c>
      <c r="P10">
        <v>37000</v>
      </c>
      <c r="R10">
        <f t="shared" si="0"/>
        <v>266958.94736842107</v>
      </c>
      <c r="S10">
        <v>37600</v>
      </c>
      <c r="T10">
        <v>0</v>
      </c>
      <c r="U10">
        <v>1650</v>
      </c>
      <c r="V10">
        <v>1350</v>
      </c>
      <c r="W10">
        <v>2000</v>
      </c>
    </row>
    <row r="11" spans="1:27" x14ac:dyDescent="0.2">
      <c r="A11" s="3" t="s">
        <v>9</v>
      </c>
      <c r="B11" s="1"/>
      <c r="C11" s="1"/>
      <c r="F11" t="s">
        <v>19</v>
      </c>
      <c r="R11">
        <f t="shared" si="0"/>
        <v>266641.31578947371</v>
      </c>
      <c r="S11">
        <v>37676</v>
      </c>
      <c r="T11">
        <v>0</v>
      </c>
      <c r="U11">
        <v>1669</v>
      </c>
      <c r="V11">
        <v>1331</v>
      </c>
      <c r="W11">
        <v>2000</v>
      </c>
    </row>
    <row r="12" spans="1:27" x14ac:dyDescent="0.2">
      <c r="A12" s="1" t="s">
        <v>1</v>
      </c>
      <c r="B12" s="1" t="s">
        <v>2</v>
      </c>
      <c r="C12" s="1" t="s">
        <v>3</v>
      </c>
      <c r="R12">
        <f t="shared" si="0"/>
        <v>266323.68421052629</v>
      </c>
      <c r="S12">
        <v>37748</v>
      </c>
      <c r="T12">
        <v>0</v>
      </c>
      <c r="U12">
        <v>1687</v>
      </c>
      <c r="V12">
        <v>1313</v>
      </c>
      <c r="W12">
        <v>2000</v>
      </c>
    </row>
    <row r="13" spans="1:27" x14ac:dyDescent="0.2">
      <c r="A13" s="1" t="s">
        <v>7</v>
      </c>
      <c r="B13" s="1">
        <v>50</v>
      </c>
      <c r="C13" s="1">
        <v>44</v>
      </c>
      <c r="F13" s="8" t="s">
        <v>20</v>
      </c>
      <c r="G13" s="1"/>
      <c r="L13" s="12" t="s">
        <v>29</v>
      </c>
      <c r="R13">
        <f t="shared" si="0"/>
        <v>266006.05263157893</v>
      </c>
      <c r="S13">
        <v>37824</v>
      </c>
      <c r="T13">
        <v>0</v>
      </c>
      <c r="U13">
        <v>1706</v>
      </c>
      <c r="V13">
        <v>1294</v>
      </c>
      <c r="W13">
        <v>2000</v>
      </c>
    </row>
    <row r="14" spans="1:27" x14ac:dyDescent="0.2">
      <c r="A14" s="1" t="s">
        <v>8</v>
      </c>
      <c r="B14" s="1">
        <v>61</v>
      </c>
      <c r="C14" s="1">
        <v>56</v>
      </c>
      <c r="F14" s="1" t="s">
        <v>1</v>
      </c>
      <c r="G14" s="1" t="s">
        <v>21</v>
      </c>
      <c r="L14" s="12" t="s">
        <v>14</v>
      </c>
      <c r="R14">
        <f t="shared" si="0"/>
        <v>265688.42105263157</v>
      </c>
      <c r="S14">
        <v>37900</v>
      </c>
      <c r="T14">
        <v>0</v>
      </c>
      <c r="U14">
        <v>1725</v>
      </c>
      <c r="V14">
        <v>1275</v>
      </c>
      <c r="W14">
        <v>2000</v>
      </c>
    </row>
    <row r="15" spans="1:27" x14ac:dyDescent="0.2">
      <c r="F15" s="1" t="s">
        <v>7</v>
      </c>
      <c r="G15" s="1">
        <v>0.8</v>
      </c>
      <c r="L15" s="13" t="s">
        <v>16</v>
      </c>
      <c r="M15" s="10"/>
      <c r="N15" s="10"/>
      <c r="R15">
        <f t="shared" si="0"/>
        <v>265370.78947368421</v>
      </c>
      <c r="S15">
        <v>37972</v>
      </c>
      <c r="T15">
        <v>0</v>
      </c>
      <c r="U15">
        <v>1743</v>
      </c>
      <c r="V15">
        <v>1257</v>
      </c>
      <c r="W15">
        <v>2000</v>
      </c>
    </row>
    <row r="16" spans="1:27" x14ac:dyDescent="0.2">
      <c r="F16" s="1" t="s">
        <v>8</v>
      </c>
      <c r="G16" s="1">
        <v>0.6</v>
      </c>
      <c r="L16" s="10" t="s">
        <v>34</v>
      </c>
      <c r="M16" s="10">
        <f>M3+N3</f>
        <v>1885</v>
      </c>
      <c r="N16" s="10">
        <v>3000</v>
      </c>
      <c r="R16">
        <f t="shared" si="0"/>
        <v>265053.15789473685</v>
      </c>
      <c r="S16">
        <v>38048</v>
      </c>
      <c r="T16">
        <v>0</v>
      </c>
      <c r="U16">
        <v>1762</v>
      </c>
      <c r="V16">
        <v>1238</v>
      </c>
      <c r="W16">
        <v>2000</v>
      </c>
    </row>
    <row r="17" spans="1:23" x14ac:dyDescent="0.2">
      <c r="A17" s="3" t="s">
        <v>10</v>
      </c>
      <c r="B17" s="1"/>
      <c r="C17" s="1"/>
      <c r="F17" t="s">
        <v>22</v>
      </c>
      <c r="L17" s="10" t="s">
        <v>40</v>
      </c>
      <c r="M17" s="10">
        <f>M4+N4</f>
        <v>3115</v>
      </c>
      <c r="N17" s="10">
        <v>4000</v>
      </c>
      <c r="R17">
        <f t="shared" si="0"/>
        <v>264735.5263157895</v>
      </c>
      <c r="S17">
        <v>38124</v>
      </c>
      <c r="T17">
        <v>0</v>
      </c>
      <c r="U17">
        <v>1781</v>
      </c>
      <c r="V17">
        <v>1219</v>
      </c>
      <c r="W17">
        <v>2000</v>
      </c>
    </row>
    <row r="18" spans="1:23" x14ac:dyDescent="0.2">
      <c r="A18" s="5" t="s">
        <v>11</v>
      </c>
      <c r="B18" s="1"/>
      <c r="C18" s="1"/>
      <c r="L18" s="14" t="s">
        <v>15</v>
      </c>
      <c r="M18" s="15"/>
      <c r="N18" s="15"/>
      <c r="R18">
        <f t="shared" si="0"/>
        <v>264417.89473684208</v>
      </c>
      <c r="S18">
        <v>38196</v>
      </c>
      <c r="T18">
        <v>0</v>
      </c>
      <c r="U18">
        <v>1799</v>
      </c>
      <c r="V18">
        <v>1201</v>
      </c>
      <c r="W18">
        <v>2000</v>
      </c>
    </row>
    <row r="19" spans="1:23" x14ac:dyDescent="0.2">
      <c r="A19" s="1" t="s">
        <v>1</v>
      </c>
      <c r="B19" s="1" t="s">
        <v>2</v>
      </c>
      <c r="C19" s="1" t="s">
        <v>3</v>
      </c>
      <c r="F19" s="2" t="s">
        <v>23</v>
      </c>
      <c r="L19" s="15" t="s">
        <v>35</v>
      </c>
      <c r="M19" s="15">
        <f>M3</f>
        <v>85</v>
      </c>
      <c r="N19" s="15">
        <v>1300</v>
      </c>
      <c r="R19">
        <f t="shared" si="0"/>
        <v>264100.26315789472</v>
      </c>
      <c r="S19">
        <v>38396</v>
      </c>
      <c r="T19">
        <v>28</v>
      </c>
      <c r="U19">
        <v>1800</v>
      </c>
      <c r="V19">
        <v>1172</v>
      </c>
      <c r="W19">
        <v>2000</v>
      </c>
    </row>
    <row r="20" spans="1:23" x14ac:dyDescent="0.2">
      <c r="A20" s="1" t="s">
        <v>7</v>
      </c>
      <c r="B20" s="1">
        <v>14</v>
      </c>
      <c r="C20" s="1">
        <v>11</v>
      </c>
      <c r="F20" t="s">
        <v>24</v>
      </c>
      <c r="L20" s="15" t="s">
        <v>36</v>
      </c>
      <c r="M20" s="15">
        <f>N3</f>
        <v>1800</v>
      </c>
      <c r="N20" s="15">
        <v>1800</v>
      </c>
      <c r="R20">
        <f t="shared" si="0"/>
        <v>263782.63157894736</v>
      </c>
      <c r="S20">
        <v>38599</v>
      </c>
      <c r="T20">
        <v>57</v>
      </c>
      <c r="U20">
        <v>1800</v>
      </c>
      <c r="V20">
        <v>1143</v>
      </c>
      <c r="W20">
        <v>2000</v>
      </c>
    </row>
    <row r="21" spans="1:23" x14ac:dyDescent="0.2">
      <c r="A21" s="1" t="s">
        <v>8</v>
      </c>
      <c r="B21" s="1">
        <v>7</v>
      </c>
      <c r="C21" s="1">
        <v>5</v>
      </c>
      <c r="L21" s="15" t="s">
        <v>41</v>
      </c>
      <c r="M21" s="15">
        <f>M4</f>
        <v>1115</v>
      </c>
      <c r="N21" s="15">
        <v>1500</v>
      </c>
      <c r="R21">
        <f t="shared" si="0"/>
        <v>263465</v>
      </c>
      <c r="S21">
        <v>38795</v>
      </c>
      <c r="T21">
        <v>85</v>
      </c>
      <c r="U21">
        <v>1800</v>
      </c>
      <c r="V21">
        <v>1115</v>
      </c>
      <c r="W21">
        <v>2000</v>
      </c>
    </row>
    <row r="22" spans="1:23" ht="35" customHeight="1" x14ac:dyDescent="0.2">
      <c r="A22" s="33" t="s">
        <v>12</v>
      </c>
      <c r="B22" s="33"/>
      <c r="C22" s="33"/>
      <c r="D22" s="33"/>
      <c r="L22" s="15" t="s">
        <v>42</v>
      </c>
      <c r="M22" s="15">
        <f>N4</f>
        <v>2000</v>
      </c>
      <c r="N22" s="15">
        <v>2000</v>
      </c>
    </row>
    <row r="23" spans="1:23" x14ac:dyDescent="0.2">
      <c r="L23" s="17" t="s">
        <v>37</v>
      </c>
      <c r="M23" s="16"/>
      <c r="N23" s="16"/>
    </row>
    <row r="24" spans="1:23" x14ac:dyDescent="0.2">
      <c r="A24" s="3" t="s">
        <v>13</v>
      </c>
      <c r="B24" s="1"/>
      <c r="C24" s="1"/>
      <c r="L24" s="16" t="s">
        <v>43</v>
      </c>
      <c r="M24" s="16">
        <f>G9*SUM(M3:N3)+G10*SUM(M4:N4)</f>
        <v>3123</v>
      </c>
      <c r="N24" s="16">
        <v>3200</v>
      </c>
    </row>
    <row r="25" spans="1:23" x14ac:dyDescent="0.2">
      <c r="A25" s="1" t="s">
        <v>1</v>
      </c>
      <c r="B25" s="1" t="s">
        <v>2</v>
      </c>
      <c r="C25" s="1" t="s">
        <v>3</v>
      </c>
      <c r="L25" s="18" t="s">
        <v>38</v>
      </c>
      <c r="M25" s="19"/>
      <c r="N25" s="19"/>
    </row>
    <row r="26" spans="1:23" x14ac:dyDescent="0.2">
      <c r="A26" s="1" t="s">
        <v>7</v>
      </c>
      <c r="B26" s="1">
        <v>18</v>
      </c>
      <c r="C26" s="1">
        <v>25</v>
      </c>
      <c r="L26" s="19" t="s">
        <v>44</v>
      </c>
      <c r="M26" s="19">
        <f>G15*SUM(M3:N3)+G16*SUM(M4:N4)</f>
        <v>3377</v>
      </c>
      <c r="N26" s="19">
        <v>3600</v>
      </c>
    </row>
    <row r="27" spans="1:23" x14ac:dyDescent="0.2">
      <c r="A27" s="1" t="s">
        <v>8</v>
      </c>
      <c r="B27" s="1">
        <v>4</v>
      </c>
      <c r="C27" s="1">
        <v>7</v>
      </c>
      <c r="L27" s="20" t="s">
        <v>23</v>
      </c>
      <c r="M27" s="21"/>
      <c r="N27" s="21"/>
    </row>
    <row r="28" spans="1:23" x14ac:dyDescent="0.2">
      <c r="A28" s="6" t="s">
        <v>30</v>
      </c>
      <c r="L28" s="21" t="s">
        <v>45</v>
      </c>
      <c r="M28" s="21">
        <f>SUM(M3:N4)</f>
        <v>5000</v>
      </c>
      <c r="N28" s="21">
        <v>5000</v>
      </c>
    </row>
    <row r="29" spans="1:23" x14ac:dyDescent="0.2">
      <c r="L29" s="23" t="s">
        <v>39</v>
      </c>
      <c r="M29" s="22"/>
      <c r="N29" s="22"/>
    </row>
    <row r="30" spans="1:23" x14ac:dyDescent="0.2">
      <c r="L30" s="22" t="s">
        <v>46</v>
      </c>
      <c r="M30" s="22">
        <f>SUMPRODUCT(B26:C27,M3:N4)</f>
        <v>64990</v>
      </c>
      <c r="N30" s="22">
        <f>13*5000</f>
        <v>65000</v>
      </c>
    </row>
    <row r="31" spans="1:23" x14ac:dyDescent="0.2">
      <c r="L31" s="29" t="s">
        <v>54</v>
      </c>
      <c r="M31" s="28">
        <f>SUMPRODUCT(M3:N4,B13:C14)</f>
        <v>263465</v>
      </c>
      <c r="N31" s="28">
        <f>R21</f>
        <v>263465</v>
      </c>
    </row>
  </sheetData>
  <mergeCells count="3">
    <mergeCell ref="A1:C1"/>
    <mergeCell ref="A6:C6"/>
    <mergeCell ref="A22:D2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Optimization</vt:lpstr>
      <vt:lpstr>Pareto_Cost</vt:lpstr>
      <vt:lpstr>Pareto_Emission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 Tuyet Nhung Hoang 2025 (N1432180)</dc:creator>
  <cp:lastModifiedBy>Thi Tuyet Nhung Hoang 2025 (N1432180)</cp:lastModifiedBy>
  <dcterms:created xsi:type="dcterms:W3CDTF">2026-02-03T23:51:47Z</dcterms:created>
  <dcterms:modified xsi:type="dcterms:W3CDTF">2026-02-22T20:52:15Z</dcterms:modified>
</cp:coreProperties>
</file>