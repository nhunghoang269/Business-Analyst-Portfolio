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3.xml" ContentType="application/vnd.openxmlformats-officedocument.spreadsheetml.pivotTab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0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ml.chartshapes+xml"/>
  <Override PartName="/xl/pivotTables/pivotTable4.xml" ContentType="application/vnd.openxmlformats-officedocument.spreadsheetml.pivotTab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3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4.xml" ContentType="application/vnd.openxmlformats-officedocument.drawingml.chartshapes+xml"/>
  <Override PartName="/xl/pivotTables/pivotTable5.xml" ContentType="application/vnd.openxmlformats-officedocument.spreadsheetml.pivotTable+xml"/>
  <Override PartName="/xl/drawings/drawing1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6.xml" ContentType="application/vnd.openxmlformats-officedocument.drawingml.chartshape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8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9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0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1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2.xml" ContentType="application/vnd.openxmlformats-officedocument.drawing+xml"/>
  <Override PartName="/xl/charts/chartEx1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drawings/drawing23.xml" ContentType="application/vnd.openxmlformats-officedocument.drawing+xml"/>
  <Override PartName="/xl/charts/chartEx2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drawings/drawing24.xml" ContentType="application/vnd.openxmlformats-officedocument.drawing+xml"/>
  <Override PartName="/xl/charts/chart30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25.xml" ContentType="application/vnd.openxmlformats-officedocument.drawing+xml"/>
  <Override PartName="/xl/charts/chart31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6.xml" ContentType="application/vnd.openxmlformats-officedocument.drawing+xml"/>
  <Override PartName="/xl/charts/chart32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27.xml" ContentType="application/vnd.openxmlformats-officedocument.drawing+xml"/>
  <Override PartName="/xl/charts/chartEx3.xml" ContentType="application/vnd.ms-office.chartex+xml"/>
  <Override PartName="/xl/charts/style35.xml" ContentType="application/vnd.ms-office.chartstyle+xml"/>
  <Override PartName="/xl/charts/colors35.xml" ContentType="application/vnd.ms-office.chartcolorstyle+xml"/>
  <Override PartName="/xl/drawings/drawing28.xml" ContentType="application/vnd.openxmlformats-officedocument.drawing+xml"/>
  <Override PartName="/xl/charts/chartEx4.xml" ContentType="application/vnd.ms-office.chartex+xml"/>
  <Override PartName="/xl/charts/style36.xml" ContentType="application/vnd.ms-office.chartstyle+xml"/>
  <Override PartName="/xl/charts/colors36.xml" ContentType="application/vnd.ms-office.chartcolorstyle+xml"/>
  <Override PartName="/xl/drawings/drawing29.xml" ContentType="application/vnd.openxmlformats-officedocument.drawing+xml"/>
  <Override PartName="/xl/charts/chartEx5.xml" ContentType="application/vnd.ms-office.chartex+xml"/>
  <Override PartName="/xl/charts/style37.xml" ContentType="application/vnd.ms-office.chartstyle+xml"/>
  <Override PartName="/xl/charts/colors37.xml" ContentType="application/vnd.ms-office.chartcolorstyle+xml"/>
  <Override PartName="/xl/drawings/drawing30.xml" ContentType="application/vnd.openxmlformats-officedocument.drawing+xml"/>
  <Override PartName="/xl/charts/chartEx6.xml" ContentType="application/vnd.ms-office.chartex+xml"/>
  <Override PartName="/xl/charts/style38.xml" ContentType="application/vnd.ms-office.chartstyle+xml"/>
  <Override PartName="/xl/charts/colors38.xml" ContentType="application/vnd.ms-office.chartcolorstyle+xml"/>
  <Override PartName="/xl/drawings/drawing31.xml" ContentType="application/vnd.openxmlformats-officedocument.drawing+xml"/>
  <Override PartName="/xl/charts/chartEx7.xml" ContentType="application/vnd.ms-office.chartex+xml"/>
  <Override PartName="/xl/charts/style39.xml" ContentType="application/vnd.ms-office.chartstyle+xml"/>
  <Override PartName="/xl/charts/colors39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nda/Downloads/"/>
    </mc:Choice>
  </mc:AlternateContent>
  <xr:revisionPtr revIDLastSave="0" documentId="8_{906DA132-4962-EB47-B8C6-B1E15DBCD806}" xr6:coauthVersionLast="47" xr6:coauthVersionMax="47" xr10:uidLastSave="{00000000-0000-0000-0000-000000000000}"/>
  <bookViews>
    <workbookView xWindow="460" yWindow="760" windowWidth="24460" windowHeight="17600" xr2:uid="{00000000-000D-0000-FFFF-FFFF00000000}"/>
  </bookViews>
  <sheets>
    <sheet name="1. Raw Data" sheetId="13" r:id="rId1"/>
    <sheet name="2. Descriptive" sheetId="1" r:id="rId2"/>
    <sheet name="3. Predictive" sheetId="51" r:id="rId3"/>
    <sheet name="2.1 Regression" sheetId="38" r:id="rId4"/>
    <sheet name="2.2 Pivot Churn rate" sheetId="43" r:id="rId5"/>
    <sheet name="3.1 Classifer" sheetId="70" r:id="rId6"/>
    <sheet name="3.2 Thresholds" sheetId="60" r:id="rId7"/>
    <sheet name="3.3 Calibration" sheetId="62" r:id="rId8"/>
    <sheet name="2.3 Tenure &lt;&gt; Sat" sheetId="30" r:id="rId9"/>
    <sheet name="2.4 Sat &lt;&gt; MonthlyCharge" sheetId="26" r:id="rId10"/>
    <sheet name="2.5 Payment&lt;&gt;Churn" sheetId="68" r:id="rId11"/>
    <sheet name="2.6 Age_Churn" sheetId="67" r:id="rId12"/>
    <sheet name="2.7 SatChurn" sheetId="64" r:id="rId13"/>
    <sheet name="2.8 Diagnostic - Tenure, Sat" sheetId="45" r:id="rId14"/>
    <sheet name="2.9Diagnostic - MonthlyQ,UsageQ" sheetId="49" r:id="rId15"/>
    <sheet name="2.10 Diagnostic-Contractype" sheetId="50" r:id="rId16"/>
    <sheet name="2.11 Usage &lt;&gt; Sat" sheetId="29" r:id="rId17"/>
    <sheet name="2.12 Support Ticket &lt;&gt; Sat" sheetId="32" r:id="rId18"/>
    <sheet name="2.13 Tenure &lt;&gt; MonthlyCharges" sheetId="35" r:id="rId19"/>
    <sheet name="2.14 Age &lt;&gt; SatisfactionScore" sheetId="36" r:id="rId20"/>
    <sheet name="2. 15 Tickets MonthlyCharges" sheetId="33" r:id="rId21"/>
    <sheet name="2.16AgeChurn" sheetId="18" r:id="rId22"/>
    <sheet name="2.17 TenureChurn" sheetId="19" r:id="rId23"/>
    <sheet name="2.18 Tenure &lt;&gt; Churn" sheetId="40" r:id="rId24"/>
    <sheet name="2.19 MonthlyChurnST" sheetId="63" r:id="rId25"/>
    <sheet name="2.20 UsageChurnST" sheetId="65" r:id="rId26"/>
    <sheet name="2.21 MonthlychargeChurn" sheetId="20" r:id="rId27"/>
    <sheet name="2.22 SupportticketChurn" sheetId="21" r:id="rId28"/>
    <sheet name="2.23 UsageChurn" sheetId="22" r:id="rId29"/>
    <sheet name="2.24 SasScoreChurn" sheetId="23" r:id="rId30"/>
    <sheet name="2.25 Churn0 " sheetId="16" r:id="rId31"/>
    <sheet name="2.26 Churn1" sheetId="17" r:id="rId32"/>
    <sheet name="2.27 SpendChurn" sheetId="24" r:id="rId33"/>
    <sheet name="2.28 FiveNumber_Churn0" sheetId="2" r:id="rId34"/>
    <sheet name="2.29 FiveNumber_Churn1" sheetId="3" r:id="rId35"/>
    <sheet name="3.4 Predict - ContractType" sheetId="52" r:id="rId36"/>
    <sheet name="3.5 Predict - Tenure" sheetId="53" r:id="rId37"/>
    <sheet name="3.6 Predict - monthly" sheetId="54" r:id="rId38"/>
    <sheet name="3.7 Predict - Usage" sheetId="55" r:id="rId39"/>
    <sheet name="3.8 Predict - Sat" sheetId="56" r:id="rId40"/>
    <sheet name="3.9 Train Churn rate" sheetId="57" r:id="rId41"/>
  </sheets>
  <definedNames>
    <definedName name="_xlnm._FilterDatabase" localSheetId="0" hidden="1">'1. Raw Data'!$A$1:$L$251</definedName>
    <definedName name="_xlnm._FilterDatabase" localSheetId="2" hidden="1">'3. Predictive'!$A$1:$AO$749</definedName>
    <definedName name="_xlchart.v1.0" hidden="1">'2.16AgeChurn'!$A$1</definedName>
    <definedName name="_xlchart.v1.1" hidden="1">'2.16AgeChurn'!$A$2:$A$133</definedName>
    <definedName name="_xlchart.v1.10" hidden="1">'2.21 MonthlychargeChurn'!$B$1</definedName>
    <definedName name="_xlchart.v1.11" hidden="1">'2.21 MonthlychargeChurn'!$B$2:$B$133</definedName>
    <definedName name="_xlchart.v1.12" hidden="1">'2.22 SupportticketChurn'!$A$1</definedName>
    <definedName name="_xlchart.v1.13" hidden="1">'2.22 SupportticketChurn'!$A$2:$A$133</definedName>
    <definedName name="_xlchart.v1.14" hidden="1">'2.22 SupportticketChurn'!$B$1</definedName>
    <definedName name="_xlchart.v1.15" hidden="1">'2.22 SupportticketChurn'!$B$2:$B$133</definedName>
    <definedName name="_xlchart.v1.16" hidden="1">'2.23 UsageChurn'!$A$1</definedName>
    <definedName name="_xlchart.v1.17" hidden="1">'2.23 UsageChurn'!$A$2:$A$133</definedName>
    <definedName name="_xlchart.v1.18" hidden="1">'2.23 UsageChurn'!$B$1</definedName>
    <definedName name="_xlchart.v1.19" hidden="1">'2.23 UsageChurn'!$B$2:$B$133</definedName>
    <definedName name="_xlchart.v1.2" hidden="1">'2.16AgeChurn'!$B$1</definedName>
    <definedName name="_xlchart.v1.20" hidden="1">'2.24 SasScoreChurn'!$A$1</definedName>
    <definedName name="_xlchart.v1.21" hidden="1">'2.24 SasScoreChurn'!$A$2:$A$133</definedName>
    <definedName name="_xlchart.v1.22" hidden="1">'2.24 SasScoreChurn'!$B$1</definedName>
    <definedName name="_xlchart.v1.23" hidden="1">'2.24 SasScoreChurn'!$B$2:$B$133</definedName>
    <definedName name="_xlchart.v1.24" hidden="1">'2.27 SpendChurn'!$A$1</definedName>
    <definedName name="_xlchart.v1.25" hidden="1">'2.27 SpendChurn'!$A$2:$A$133</definedName>
    <definedName name="_xlchart.v1.26" hidden="1">'2.27 SpendChurn'!$B$1</definedName>
    <definedName name="_xlchart.v1.27" hidden="1">'2.27 SpendChurn'!$B$2:$B$133</definedName>
    <definedName name="_xlchart.v1.3" hidden="1">'2.16AgeChurn'!$B$2:$B$133</definedName>
    <definedName name="_xlchart.v1.4" hidden="1">'2.17 TenureChurn'!$A$1</definedName>
    <definedName name="_xlchart.v1.5" hidden="1">'2.17 TenureChurn'!$A$2:$A$251</definedName>
    <definedName name="_xlchart.v1.6" hidden="1">'2.17 TenureChurn'!$B$1</definedName>
    <definedName name="_xlchart.v1.7" hidden="1">'2.17 TenureChurn'!$B$2:$B$251</definedName>
    <definedName name="_xlchart.v1.8" hidden="1">'2.21 MonthlychargeChurn'!$A$1</definedName>
    <definedName name="_xlchart.v1.9" hidden="1">'2.21 MonthlychargeChurn'!$A$2:$A$133</definedName>
    <definedName name="a">#REF!</definedName>
  </definedNames>
  <calcPr calcId="191029"/>
  <pivotCaches>
    <pivotCache cacheId="6" r:id="rId42"/>
    <pivotCache cacheId="7" r:id="rId43"/>
    <pivotCache cacheId="8" r:id="rId44"/>
    <pivotCache cacheId="9" r:id="rId45"/>
    <pivotCache cacheId="10" r:id="rId46"/>
    <pivotCache cacheId="11" r:id="rId4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51" l="1"/>
  <c r="AI282" i="51"/>
  <c r="AI284" i="51"/>
  <c r="AI324" i="51"/>
  <c r="AI332" i="51"/>
  <c r="AI334" i="51"/>
  <c r="AI374" i="51"/>
  <c r="AI382" i="51"/>
  <c r="AI384" i="51"/>
  <c r="AI404" i="51"/>
  <c r="AI414" i="51"/>
  <c r="AI420" i="51"/>
  <c r="AI422" i="51"/>
  <c r="AI440" i="51"/>
  <c r="AI450" i="51"/>
  <c r="AI452" i="51"/>
  <c r="AI454" i="51"/>
  <c r="AI480" i="51"/>
  <c r="AI482" i="51"/>
  <c r="AI484" i="51"/>
  <c r="AI490" i="51"/>
  <c r="AI504" i="51"/>
  <c r="AI514" i="51"/>
  <c r="AI520" i="51"/>
  <c r="AI522" i="51"/>
  <c r="AI540" i="51"/>
  <c r="AI550" i="51"/>
  <c r="AI552" i="51"/>
  <c r="AI554" i="51"/>
  <c r="AI580" i="51"/>
  <c r="AI582" i="51"/>
  <c r="AI584" i="51"/>
  <c r="AI590" i="51"/>
  <c r="AI604" i="51"/>
  <c r="AI614" i="51"/>
  <c r="AI620" i="51"/>
  <c r="AI622" i="51"/>
  <c r="AI640" i="51"/>
  <c r="AI650" i="51"/>
  <c r="AI652" i="51"/>
  <c r="AI654" i="51"/>
  <c r="AI680" i="51"/>
  <c r="AI682" i="51"/>
  <c r="AI684" i="51"/>
  <c r="AI690" i="51"/>
  <c r="AI704" i="51"/>
  <c r="AI714" i="51"/>
  <c r="AI720" i="51"/>
  <c r="AI722" i="51"/>
  <c r="AI740" i="51"/>
  <c r="G4" i="68"/>
  <c r="G5" i="68"/>
  <c r="G3" i="68"/>
  <c r="F4" i="68"/>
  <c r="F5" i="68"/>
  <c r="F3" i="68"/>
  <c r="G2" i="64"/>
  <c r="F2" i="64"/>
  <c r="J3" i="64"/>
  <c r="J4" i="64"/>
  <c r="J5" i="64"/>
  <c r="J6" i="64"/>
  <c r="J7" i="64"/>
  <c r="J8" i="64"/>
  <c r="J9" i="64"/>
  <c r="J10" i="64"/>
  <c r="J11" i="64"/>
  <c r="J12" i="64"/>
  <c r="J13" i="64"/>
  <c r="J14" i="64"/>
  <c r="J15" i="64"/>
  <c r="J16" i="64"/>
  <c r="J17" i="64"/>
  <c r="J18" i="64"/>
  <c r="J19" i="64"/>
  <c r="J20" i="64"/>
  <c r="J21" i="64"/>
  <c r="J22" i="64"/>
  <c r="J23" i="64"/>
  <c r="J24" i="64"/>
  <c r="J25" i="64"/>
  <c r="J26" i="64"/>
  <c r="J27" i="64"/>
  <c r="J28" i="64"/>
  <c r="J29" i="64"/>
  <c r="J30" i="64"/>
  <c r="J31" i="64"/>
  <c r="J32" i="64"/>
  <c r="J33" i="64"/>
  <c r="J34" i="64"/>
  <c r="J35" i="64"/>
  <c r="J36" i="64"/>
  <c r="J37" i="64"/>
  <c r="J38" i="64"/>
  <c r="J39" i="64"/>
  <c r="J40" i="64"/>
  <c r="J41" i="64"/>
  <c r="J42" i="64"/>
  <c r="J43" i="64"/>
  <c r="J44" i="64"/>
  <c r="J45" i="64"/>
  <c r="J46" i="64"/>
  <c r="J47" i="64"/>
  <c r="J48" i="64"/>
  <c r="J49" i="64"/>
  <c r="J50" i="64"/>
  <c r="J51" i="64"/>
  <c r="J52" i="64"/>
  <c r="J53" i="64"/>
  <c r="J54" i="64"/>
  <c r="J55" i="64"/>
  <c r="J56" i="64"/>
  <c r="J57" i="64"/>
  <c r="J58" i="64"/>
  <c r="J59" i="64"/>
  <c r="J60" i="64"/>
  <c r="J61" i="64"/>
  <c r="J62" i="64"/>
  <c r="J63" i="64"/>
  <c r="J64" i="64"/>
  <c r="J65" i="64"/>
  <c r="J66" i="64"/>
  <c r="J67" i="64"/>
  <c r="J68" i="64"/>
  <c r="J69" i="64"/>
  <c r="J70" i="64"/>
  <c r="J71" i="64"/>
  <c r="J72" i="64"/>
  <c r="J73" i="64"/>
  <c r="J74" i="64"/>
  <c r="J75" i="64"/>
  <c r="J76" i="64"/>
  <c r="J77" i="64"/>
  <c r="J78" i="64"/>
  <c r="J79" i="64"/>
  <c r="J80" i="64"/>
  <c r="J81" i="64"/>
  <c r="J82" i="64"/>
  <c r="J83" i="64"/>
  <c r="J84" i="64"/>
  <c r="J85" i="64"/>
  <c r="J86" i="64"/>
  <c r="J87" i="64"/>
  <c r="J88" i="64"/>
  <c r="J89" i="64"/>
  <c r="J90" i="64"/>
  <c r="J91" i="64"/>
  <c r="J92" i="64"/>
  <c r="J93" i="64"/>
  <c r="J94" i="64"/>
  <c r="J95" i="64"/>
  <c r="J96" i="64"/>
  <c r="J97" i="64"/>
  <c r="J98" i="64"/>
  <c r="J99" i="64"/>
  <c r="J100" i="64"/>
  <c r="J101" i="64"/>
  <c r="J102" i="64"/>
  <c r="J103" i="64"/>
  <c r="J104" i="64"/>
  <c r="J105" i="64"/>
  <c r="J106" i="64"/>
  <c r="J107" i="64"/>
  <c r="J108" i="64"/>
  <c r="J109" i="64"/>
  <c r="J110" i="64"/>
  <c r="J111" i="64"/>
  <c r="J112" i="64"/>
  <c r="J113" i="64"/>
  <c r="J114" i="64"/>
  <c r="J115" i="64"/>
  <c r="J116" i="64"/>
  <c r="J117" i="64"/>
  <c r="J118" i="64"/>
  <c r="J119" i="64"/>
  <c r="J120" i="64"/>
  <c r="J121" i="64"/>
  <c r="J122" i="64"/>
  <c r="J123" i="64"/>
  <c r="J124" i="64"/>
  <c r="J125" i="64"/>
  <c r="J126" i="64"/>
  <c r="J127" i="64"/>
  <c r="J128" i="64"/>
  <c r="J129" i="64"/>
  <c r="J130" i="64"/>
  <c r="J131" i="64"/>
  <c r="J132" i="64"/>
  <c r="J133" i="64"/>
  <c r="J134" i="64"/>
  <c r="J135" i="64"/>
  <c r="J136" i="64"/>
  <c r="J137" i="64"/>
  <c r="J138" i="64"/>
  <c r="J139" i="64"/>
  <c r="J140" i="64"/>
  <c r="J141" i="64"/>
  <c r="J142" i="64"/>
  <c r="J143" i="64"/>
  <c r="J144" i="64"/>
  <c r="J145" i="64"/>
  <c r="J146" i="64"/>
  <c r="J147" i="64"/>
  <c r="J148" i="64"/>
  <c r="J149" i="64"/>
  <c r="J150" i="64"/>
  <c r="J151" i="64"/>
  <c r="J152" i="64"/>
  <c r="J153" i="64"/>
  <c r="J154" i="64"/>
  <c r="J155" i="64"/>
  <c r="J156" i="64"/>
  <c r="J157" i="64"/>
  <c r="J158" i="64"/>
  <c r="J159" i="64"/>
  <c r="J160" i="64"/>
  <c r="J161" i="64"/>
  <c r="J162" i="64"/>
  <c r="J163" i="64"/>
  <c r="J164" i="64"/>
  <c r="J165" i="64"/>
  <c r="J166" i="64"/>
  <c r="J167" i="64"/>
  <c r="J168" i="64"/>
  <c r="J169" i="64"/>
  <c r="J170" i="64"/>
  <c r="J171" i="64"/>
  <c r="J172" i="64"/>
  <c r="J173" i="64"/>
  <c r="J174" i="64"/>
  <c r="J175" i="64"/>
  <c r="J176" i="64"/>
  <c r="J177" i="64"/>
  <c r="J178" i="64"/>
  <c r="J179" i="64"/>
  <c r="J180" i="64"/>
  <c r="J181" i="64"/>
  <c r="J182" i="64"/>
  <c r="J183" i="64"/>
  <c r="J184" i="64"/>
  <c r="J185" i="64"/>
  <c r="J186" i="64"/>
  <c r="J187" i="64"/>
  <c r="J188" i="64"/>
  <c r="J189" i="64"/>
  <c r="J190" i="64"/>
  <c r="J191" i="64"/>
  <c r="J192" i="64"/>
  <c r="J193" i="64"/>
  <c r="J194" i="64"/>
  <c r="J195" i="64"/>
  <c r="J196" i="64"/>
  <c r="J197" i="64"/>
  <c r="J198" i="64"/>
  <c r="J199" i="64"/>
  <c r="J200" i="64"/>
  <c r="J201" i="64"/>
  <c r="J202" i="64"/>
  <c r="J203" i="64"/>
  <c r="J204" i="64"/>
  <c r="J205" i="64"/>
  <c r="J206" i="64"/>
  <c r="J207" i="64"/>
  <c r="J208" i="64"/>
  <c r="J209" i="64"/>
  <c r="J210" i="64"/>
  <c r="J211" i="64"/>
  <c r="J212" i="64"/>
  <c r="J213" i="64"/>
  <c r="J214" i="64"/>
  <c r="J215" i="64"/>
  <c r="J216" i="64"/>
  <c r="J217" i="64"/>
  <c r="J218" i="64"/>
  <c r="J219" i="64"/>
  <c r="J220" i="64"/>
  <c r="J221" i="64"/>
  <c r="J222" i="64"/>
  <c r="J223" i="64"/>
  <c r="J224" i="64"/>
  <c r="J225" i="64"/>
  <c r="J226" i="64"/>
  <c r="J227" i="64"/>
  <c r="J228" i="64"/>
  <c r="J229" i="64"/>
  <c r="J230" i="64"/>
  <c r="J231" i="64"/>
  <c r="J232" i="64"/>
  <c r="J233" i="64"/>
  <c r="J234" i="64"/>
  <c r="J235" i="64"/>
  <c r="J236" i="64"/>
  <c r="J237" i="64"/>
  <c r="J238" i="64"/>
  <c r="J239" i="64"/>
  <c r="J240" i="64"/>
  <c r="J241" i="64"/>
  <c r="J242" i="64"/>
  <c r="J243" i="64"/>
  <c r="J244" i="64"/>
  <c r="J245" i="64"/>
  <c r="J246" i="64"/>
  <c r="J247" i="64"/>
  <c r="J248" i="64"/>
  <c r="J249" i="64"/>
  <c r="J250" i="64"/>
  <c r="J251" i="64"/>
  <c r="J2" i="64"/>
  <c r="I3" i="64"/>
  <c r="I4" i="64"/>
  <c r="I5" i="64"/>
  <c r="I6" i="64"/>
  <c r="I7" i="64"/>
  <c r="I8" i="64"/>
  <c r="I9" i="64"/>
  <c r="I10" i="64"/>
  <c r="I11" i="64"/>
  <c r="I12" i="64"/>
  <c r="I13" i="64"/>
  <c r="I14" i="64"/>
  <c r="I15" i="64"/>
  <c r="I16" i="64"/>
  <c r="I17" i="64"/>
  <c r="I18" i="64"/>
  <c r="I19" i="64"/>
  <c r="I20" i="64"/>
  <c r="I21" i="64"/>
  <c r="I22" i="64"/>
  <c r="I23" i="64"/>
  <c r="I24" i="64"/>
  <c r="I25" i="64"/>
  <c r="I26" i="64"/>
  <c r="I27" i="64"/>
  <c r="I28" i="64"/>
  <c r="I29" i="64"/>
  <c r="I30" i="64"/>
  <c r="I31" i="64"/>
  <c r="I32" i="64"/>
  <c r="I33" i="64"/>
  <c r="I34" i="64"/>
  <c r="I35" i="64"/>
  <c r="I36" i="64"/>
  <c r="I37" i="64"/>
  <c r="I38" i="64"/>
  <c r="I39" i="64"/>
  <c r="I40" i="64"/>
  <c r="I41" i="64"/>
  <c r="I42" i="64"/>
  <c r="I43" i="64"/>
  <c r="I44" i="64"/>
  <c r="I45" i="64"/>
  <c r="I46" i="64"/>
  <c r="I47" i="64"/>
  <c r="I48" i="64"/>
  <c r="I49" i="64"/>
  <c r="I50" i="64"/>
  <c r="I51" i="64"/>
  <c r="I52" i="64"/>
  <c r="I53" i="64"/>
  <c r="I54" i="64"/>
  <c r="I55" i="64"/>
  <c r="I56" i="64"/>
  <c r="I57" i="64"/>
  <c r="I58" i="64"/>
  <c r="I59" i="64"/>
  <c r="I60" i="64"/>
  <c r="I61" i="64"/>
  <c r="I62" i="64"/>
  <c r="I63" i="64"/>
  <c r="I64" i="64"/>
  <c r="I65" i="64"/>
  <c r="I66" i="64"/>
  <c r="I67" i="64"/>
  <c r="I68" i="64"/>
  <c r="I69" i="64"/>
  <c r="I70" i="64"/>
  <c r="I71" i="64"/>
  <c r="I72" i="64"/>
  <c r="I73" i="64"/>
  <c r="I74" i="64"/>
  <c r="I75" i="64"/>
  <c r="I76" i="64"/>
  <c r="I77" i="64"/>
  <c r="I78" i="64"/>
  <c r="I79" i="64"/>
  <c r="I80" i="64"/>
  <c r="I81" i="64"/>
  <c r="I82" i="64"/>
  <c r="I83" i="64"/>
  <c r="I84" i="64"/>
  <c r="I85" i="64"/>
  <c r="I86" i="64"/>
  <c r="I87" i="64"/>
  <c r="I88" i="64"/>
  <c r="I89" i="64"/>
  <c r="I90" i="64"/>
  <c r="I91" i="64"/>
  <c r="I92" i="64"/>
  <c r="I93" i="64"/>
  <c r="I94" i="64"/>
  <c r="I95" i="64"/>
  <c r="I96" i="64"/>
  <c r="I97" i="64"/>
  <c r="I98" i="64"/>
  <c r="I99" i="64"/>
  <c r="I100" i="64"/>
  <c r="I101" i="64"/>
  <c r="I102" i="64"/>
  <c r="I103" i="64"/>
  <c r="I104" i="64"/>
  <c r="I105" i="64"/>
  <c r="I106" i="64"/>
  <c r="I107" i="64"/>
  <c r="I108" i="64"/>
  <c r="I109" i="64"/>
  <c r="I110" i="64"/>
  <c r="I111" i="64"/>
  <c r="I112" i="64"/>
  <c r="I113" i="64"/>
  <c r="I114" i="64"/>
  <c r="I115" i="64"/>
  <c r="I116" i="64"/>
  <c r="I117" i="64"/>
  <c r="I118" i="64"/>
  <c r="I119" i="64"/>
  <c r="I120" i="64"/>
  <c r="I121" i="64"/>
  <c r="I122" i="64"/>
  <c r="I123" i="64"/>
  <c r="I124" i="64"/>
  <c r="I125" i="64"/>
  <c r="I126" i="64"/>
  <c r="I127" i="64"/>
  <c r="I128" i="64"/>
  <c r="I129" i="64"/>
  <c r="I130" i="64"/>
  <c r="I131" i="64"/>
  <c r="I132" i="64"/>
  <c r="I133" i="64"/>
  <c r="I134" i="64"/>
  <c r="I135" i="64"/>
  <c r="I136" i="64"/>
  <c r="I137" i="64"/>
  <c r="I138" i="64"/>
  <c r="I139" i="64"/>
  <c r="I140" i="64"/>
  <c r="I141" i="64"/>
  <c r="I142" i="64"/>
  <c r="I143" i="64"/>
  <c r="I144" i="64"/>
  <c r="I145" i="64"/>
  <c r="I146" i="64"/>
  <c r="I147" i="64"/>
  <c r="I148" i="64"/>
  <c r="I149" i="64"/>
  <c r="I150" i="64"/>
  <c r="I151" i="64"/>
  <c r="I152" i="64"/>
  <c r="I153" i="64"/>
  <c r="I154" i="64"/>
  <c r="I155" i="64"/>
  <c r="I156" i="64"/>
  <c r="I157" i="64"/>
  <c r="I158" i="64"/>
  <c r="I159" i="64"/>
  <c r="I160" i="64"/>
  <c r="I161" i="64"/>
  <c r="I162" i="64"/>
  <c r="I163" i="64"/>
  <c r="I164" i="64"/>
  <c r="I165" i="64"/>
  <c r="I166" i="64"/>
  <c r="I167" i="64"/>
  <c r="I168" i="64"/>
  <c r="I169" i="64"/>
  <c r="I170" i="64"/>
  <c r="I171" i="64"/>
  <c r="I172" i="64"/>
  <c r="I173" i="64"/>
  <c r="I174" i="64"/>
  <c r="I175" i="64"/>
  <c r="I176" i="64"/>
  <c r="I177" i="64"/>
  <c r="I178" i="64"/>
  <c r="I179" i="64"/>
  <c r="I180" i="64"/>
  <c r="I181" i="64"/>
  <c r="I182" i="64"/>
  <c r="I183" i="64"/>
  <c r="I184" i="64"/>
  <c r="I185" i="64"/>
  <c r="I186" i="64"/>
  <c r="I187" i="64"/>
  <c r="I188" i="64"/>
  <c r="I189" i="64"/>
  <c r="I190" i="64"/>
  <c r="I191" i="64"/>
  <c r="I192" i="64"/>
  <c r="I193" i="64"/>
  <c r="I194" i="64"/>
  <c r="I195" i="64"/>
  <c r="I196" i="64"/>
  <c r="I197" i="64"/>
  <c r="I198" i="64"/>
  <c r="I199" i="64"/>
  <c r="I200" i="64"/>
  <c r="I201" i="64"/>
  <c r="I202" i="64"/>
  <c r="I203" i="64"/>
  <c r="I204" i="64"/>
  <c r="I205" i="64"/>
  <c r="I206" i="64"/>
  <c r="I207" i="64"/>
  <c r="I208" i="64"/>
  <c r="I209" i="64"/>
  <c r="I210" i="64"/>
  <c r="I211" i="64"/>
  <c r="I212" i="64"/>
  <c r="I213" i="64"/>
  <c r="I214" i="64"/>
  <c r="I215" i="64"/>
  <c r="I216" i="64"/>
  <c r="I217" i="64"/>
  <c r="I218" i="64"/>
  <c r="I219" i="64"/>
  <c r="I220" i="64"/>
  <c r="I221" i="64"/>
  <c r="I222" i="64"/>
  <c r="I223" i="64"/>
  <c r="I224" i="64"/>
  <c r="I225" i="64"/>
  <c r="I226" i="64"/>
  <c r="I227" i="64"/>
  <c r="I228" i="64"/>
  <c r="I229" i="64"/>
  <c r="I230" i="64"/>
  <c r="I231" i="64"/>
  <c r="I232" i="64"/>
  <c r="I233" i="64"/>
  <c r="I234" i="64"/>
  <c r="I235" i="64"/>
  <c r="I236" i="64"/>
  <c r="I237" i="64"/>
  <c r="I238" i="64"/>
  <c r="I239" i="64"/>
  <c r="I240" i="64"/>
  <c r="I241" i="64"/>
  <c r="I242" i="64"/>
  <c r="I243" i="64"/>
  <c r="I244" i="64"/>
  <c r="I245" i="64"/>
  <c r="I246" i="64"/>
  <c r="I247" i="64"/>
  <c r="I248" i="64"/>
  <c r="I249" i="64"/>
  <c r="I250" i="64"/>
  <c r="I251" i="64"/>
  <c r="I2" i="64"/>
  <c r="G3" i="64"/>
  <c r="G4" i="64"/>
  <c r="G5" i="64"/>
  <c r="G6" i="64"/>
  <c r="G7" i="64"/>
  <c r="G8" i="64"/>
  <c r="G9" i="64"/>
  <c r="G10" i="64"/>
  <c r="G11" i="64"/>
  <c r="G12" i="64"/>
  <c r="G13" i="64"/>
  <c r="G14" i="64"/>
  <c r="G15" i="64"/>
  <c r="G16" i="64"/>
  <c r="G17" i="64"/>
  <c r="G18" i="64"/>
  <c r="G19" i="64"/>
  <c r="G20" i="64"/>
  <c r="G21" i="64"/>
  <c r="G22" i="64"/>
  <c r="G23" i="64"/>
  <c r="G24" i="64"/>
  <c r="G25" i="64"/>
  <c r="G26" i="64"/>
  <c r="G27" i="64"/>
  <c r="G28" i="64"/>
  <c r="G29" i="64"/>
  <c r="G30" i="64"/>
  <c r="G31" i="64"/>
  <c r="G32" i="64"/>
  <c r="G33" i="64"/>
  <c r="G34" i="64"/>
  <c r="G35" i="64"/>
  <c r="G36" i="64"/>
  <c r="G37" i="64"/>
  <c r="G38" i="64"/>
  <c r="G39" i="64"/>
  <c r="G40" i="64"/>
  <c r="G41" i="64"/>
  <c r="G42" i="64"/>
  <c r="G43" i="64"/>
  <c r="G44" i="64"/>
  <c r="G45" i="64"/>
  <c r="G46" i="64"/>
  <c r="G47" i="64"/>
  <c r="G48" i="64"/>
  <c r="G49" i="64"/>
  <c r="G50" i="64"/>
  <c r="G51" i="64"/>
  <c r="G52" i="64"/>
  <c r="G53" i="64"/>
  <c r="G54" i="64"/>
  <c r="G55" i="64"/>
  <c r="G56" i="64"/>
  <c r="G57" i="64"/>
  <c r="G58" i="64"/>
  <c r="G59" i="64"/>
  <c r="G60" i="64"/>
  <c r="G61" i="64"/>
  <c r="G62" i="64"/>
  <c r="G63" i="64"/>
  <c r="G64" i="64"/>
  <c r="G65" i="64"/>
  <c r="G66" i="64"/>
  <c r="G67" i="64"/>
  <c r="G68" i="64"/>
  <c r="G69" i="64"/>
  <c r="G70" i="64"/>
  <c r="G71" i="64"/>
  <c r="G72" i="64"/>
  <c r="G73" i="64"/>
  <c r="G74" i="64"/>
  <c r="G75" i="64"/>
  <c r="G76" i="64"/>
  <c r="G77" i="64"/>
  <c r="G78" i="64"/>
  <c r="G79" i="64"/>
  <c r="G80" i="64"/>
  <c r="G81" i="64"/>
  <c r="G82" i="64"/>
  <c r="G83" i="64"/>
  <c r="G84" i="64"/>
  <c r="G85" i="64"/>
  <c r="G86" i="64"/>
  <c r="G87" i="64"/>
  <c r="G88" i="64"/>
  <c r="G89" i="64"/>
  <c r="G90" i="64"/>
  <c r="G91" i="64"/>
  <c r="G92" i="64"/>
  <c r="G93" i="64"/>
  <c r="G94" i="64"/>
  <c r="G95" i="64"/>
  <c r="G96" i="64"/>
  <c r="G97" i="64"/>
  <c r="G98" i="64"/>
  <c r="G99" i="64"/>
  <c r="G100" i="64"/>
  <c r="G101" i="64"/>
  <c r="G102" i="64"/>
  <c r="G103" i="64"/>
  <c r="G104" i="64"/>
  <c r="G105" i="64"/>
  <c r="G106" i="64"/>
  <c r="G107" i="64"/>
  <c r="G108" i="64"/>
  <c r="G109" i="64"/>
  <c r="G110" i="64"/>
  <c r="G111" i="64"/>
  <c r="G112" i="64"/>
  <c r="G113" i="64"/>
  <c r="G114" i="64"/>
  <c r="G115" i="64"/>
  <c r="G116" i="64"/>
  <c r="G117" i="64"/>
  <c r="G118" i="64"/>
  <c r="G119" i="64"/>
  <c r="G120" i="64"/>
  <c r="G121" i="64"/>
  <c r="G122" i="64"/>
  <c r="G123" i="64"/>
  <c r="G124" i="64"/>
  <c r="G125" i="64"/>
  <c r="G126" i="64"/>
  <c r="G127" i="64"/>
  <c r="G128" i="64"/>
  <c r="G129" i="64"/>
  <c r="G130" i="64"/>
  <c r="G131" i="64"/>
  <c r="G132" i="64"/>
  <c r="G133" i="64"/>
  <c r="G134" i="64"/>
  <c r="G135" i="64"/>
  <c r="G136" i="64"/>
  <c r="G137" i="64"/>
  <c r="G138" i="64"/>
  <c r="G139" i="64"/>
  <c r="G140" i="64"/>
  <c r="G141" i="64"/>
  <c r="G142" i="64"/>
  <c r="G143" i="64"/>
  <c r="G144" i="64"/>
  <c r="G145" i="64"/>
  <c r="G146" i="64"/>
  <c r="G147" i="64"/>
  <c r="G148" i="64"/>
  <c r="G149" i="64"/>
  <c r="G150" i="64"/>
  <c r="G151" i="64"/>
  <c r="G152" i="64"/>
  <c r="G153" i="64"/>
  <c r="G154" i="64"/>
  <c r="G155" i="64"/>
  <c r="G156" i="64"/>
  <c r="G157" i="64"/>
  <c r="G158" i="64"/>
  <c r="G159" i="64"/>
  <c r="G160" i="64"/>
  <c r="G161" i="64"/>
  <c r="G162" i="64"/>
  <c r="G163" i="64"/>
  <c r="G164" i="64"/>
  <c r="G165" i="64"/>
  <c r="G166" i="64"/>
  <c r="G167" i="64"/>
  <c r="G168" i="64"/>
  <c r="G169" i="64"/>
  <c r="G170" i="64"/>
  <c r="G171" i="64"/>
  <c r="G172" i="64"/>
  <c r="G173" i="64"/>
  <c r="G174" i="64"/>
  <c r="G175" i="64"/>
  <c r="G176" i="64"/>
  <c r="G177" i="64"/>
  <c r="G178" i="64"/>
  <c r="G179" i="64"/>
  <c r="G180" i="64"/>
  <c r="G181" i="64"/>
  <c r="G182" i="64"/>
  <c r="G183" i="64"/>
  <c r="G184" i="64"/>
  <c r="G185" i="64"/>
  <c r="G186" i="64"/>
  <c r="G187" i="64"/>
  <c r="G188" i="64"/>
  <c r="G189" i="64"/>
  <c r="G190" i="64"/>
  <c r="G191" i="64"/>
  <c r="G192" i="64"/>
  <c r="G193" i="64"/>
  <c r="G194" i="64"/>
  <c r="G195" i="64"/>
  <c r="G196" i="64"/>
  <c r="G197" i="64"/>
  <c r="G198" i="64"/>
  <c r="G199" i="64"/>
  <c r="G200" i="64"/>
  <c r="G201" i="64"/>
  <c r="G202" i="64"/>
  <c r="G203" i="64"/>
  <c r="G204" i="64"/>
  <c r="G205" i="64"/>
  <c r="G206" i="64"/>
  <c r="G207" i="64"/>
  <c r="G208" i="64"/>
  <c r="G209" i="64"/>
  <c r="G210" i="64"/>
  <c r="G211" i="64"/>
  <c r="G212" i="64"/>
  <c r="G213" i="64"/>
  <c r="G214" i="64"/>
  <c r="G215" i="64"/>
  <c r="G216" i="64"/>
  <c r="G217" i="64"/>
  <c r="G218" i="64"/>
  <c r="G219" i="64"/>
  <c r="G220" i="64"/>
  <c r="G221" i="64"/>
  <c r="G222" i="64"/>
  <c r="G223" i="64"/>
  <c r="G224" i="64"/>
  <c r="G225" i="64"/>
  <c r="G226" i="64"/>
  <c r="G227" i="64"/>
  <c r="G228" i="64"/>
  <c r="G229" i="64"/>
  <c r="G230" i="64"/>
  <c r="G231" i="64"/>
  <c r="G232" i="64"/>
  <c r="G233" i="64"/>
  <c r="G234" i="64"/>
  <c r="G235" i="64"/>
  <c r="G236" i="64"/>
  <c r="G237" i="64"/>
  <c r="G238" i="64"/>
  <c r="G239" i="64"/>
  <c r="G240" i="64"/>
  <c r="G241" i="64"/>
  <c r="G242" i="64"/>
  <c r="G243" i="64"/>
  <c r="G244" i="64"/>
  <c r="G245" i="64"/>
  <c r="G246" i="64"/>
  <c r="G247" i="64"/>
  <c r="G248" i="64"/>
  <c r="G249" i="64"/>
  <c r="G250" i="64"/>
  <c r="G251" i="64"/>
  <c r="F3" i="64"/>
  <c r="F4" i="64"/>
  <c r="F5" i="64"/>
  <c r="F6" i="64"/>
  <c r="F7" i="64"/>
  <c r="F8" i="64"/>
  <c r="F9" i="64"/>
  <c r="F10" i="64"/>
  <c r="F11" i="64"/>
  <c r="F12" i="64"/>
  <c r="F13" i="64"/>
  <c r="F14" i="64"/>
  <c r="F15" i="64"/>
  <c r="F16" i="64"/>
  <c r="F17" i="64"/>
  <c r="F18" i="64"/>
  <c r="F19" i="64"/>
  <c r="F20" i="64"/>
  <c r="F21" i="64"/>
  <c r="F22" i="64"/>
  <c r="F23" i="64"/>
  <c r="F24" i="64"/>
  <c r="F25" i="64"/>
  <c r="F26" i="64"/>
  <c r="F27" i="64"/>
  <c r="F28" i="64"/>
  <c r="F29" i="64"/>
  <c r="F30" i="64"/>
  <c r="F31" i="64"/>
  <c r="F32" i="64"/>
  <c r="F33" i="64"/>
  <c r="F34" i="64"/>
  <c r="F35" i="64"/>
  <c r="F36" i="64"/>
  <c r="F37" i="64"/>
  <c r="F38" i="64"/>
  <c r="F39" i="64"/>
  <c r="F40" i="64"/>
  <c r="F41" i="64"/>
  <c r="F42" i="64"/>
  <c r="F43" i="64"/>
  <c r="F44" i="64"/>
  <c r="F45" i="64"/>
  <c r="F46" i="64"/>
  <c r="F47" i="64"/>
  <c r="F48" i="64"/>
  <c r="F49" i="64"/>
  <c r="F50" i="64"/>
  <c r="F51" i="64"/>
  <c r="F52" i="64"/>
  <c r="F53" i="64"/>
  <c r="F54" i="64"/>
  <c r="F55" i="64"/>
  <c r="F56" i="64"/>
  <c r="F57" i="64"/>
  <c r="F58" i="64"/>
  <c r="F59" i="64"/>
  <c r="F60" i="64"/>
  <c r="F61" i="64"/>
  <c r="F62" i="64"/>
  <c r="F63" i="64"/>
  <c r="F64" i="64"/>
  <c r="F65" i="64"/>
  <c r="F66" i="64"/>
  <c r="F67" i="64"/>
  <c r="F68" i="64"/>
  <c r="F69" i="64"/>
  <c r="F70" i="64"/>
  <c r="F71" i="64"/>
  <c r="F72" i="64"/>
  <c r="F73" i="64"/>
  <c r="F74" i="64"/>
  <c r="F75" i="64"/>
  <c r="F76" i="64"/>
  <c r="F77" i="64"/>
  <c r="F78" i="64"/>
  <c r="F79" i="64"/>
  <c r="F80" i="64"/>
  <c r="F81" i="64"/>
  <c r="F82" i="64"/>
  <c r="F83" i="64"/>
  <c r="F84" i="64"/>
  <c r="F85" i="64"/>
  <c r="F86" i="64"/>
  <c r="F87" i="64"/>
  <c r="F88" i="64"/>
  <c r="F89" i="64"/>
  <c r="F90" i="64"/>
  <c r="F91" i="64"/>
  <c r="F92" i="64"/>
  <c r="F93" i="64"/>
  <c r="F94" i="64"/>
  <c r="F95" i="64"/>
  <c r="F96" i="64"/>
  <c r="F97" i="64"/>
  <c r="F98" i="64"/>
  <c r="F99" i="64"/>
  <c r="F100" i="64"/>
  <c r="F101" i="64"/>
  <c r="F102" i="64"/>
  <c r="F103" i="64"/>
  <c r="F104" i="64"/>
  <c r="F105" i="64"/>
  <c r="F106" i="64"/>
  <c r="F107" i="64"/>
  <c r="F108" i="64"/>
  <c r="F109" i="64"/>
  <c r="F110" i="64"/>
  <c r="F111" i="64"/>
  <c r="F112" i="64"/>
  <c r="F113" i="64"/>
  <c r="F114" i="64"/>
  <c r="F115" i="64"/>
  <c r="F116" i="64"/>
  <c r="F117" i="64"/>
  <c r="F118" i="64"/>
  <c r="F119" i="64"/>
  <c r="F120" i="64"/>
  <c r="F121" i="64"/>
  <c r="F122" i="64"/>
  <c r="F123" i="64"/>
  <c r="F124" i="64"/>
  <c r="F125" i="64"/>
  <c r="F126" i="64"/>
  <c r="F127" i="64"/>
  <c r="F128" i="64"/>
  <c r="F129" i="64"/>
  <c r="F130" i="64"/>
  <c r="F131" i="64"/>
  <c r="F132" i="64"/>
  <c r="F133" i="64"/>
  <c r="F134" i="64"/>
  <c r="F135" i="64"/>
  <c r="F136" i="64"/>
  <c r="F137" i="64"/>
  <c r="F138" i="64"/>
  <c r="F139" i="64"/>
  <c r="F140" i="64"/>
  <c r="F141" i="64"/>
  <c r="F142" i="64"/>
  <c r="F143" i="64"/>
  <c r="F144" i="64"/>
  <c r="F145" i="64"/>
  <c r="F146" i="64"/>
  <c r="F147" i="64"/>
  <c r="F148" i="64"/>
  <c r="F149" i="64"/>
  <c r="F150" i="64"/>
  <c r="F151" i="64"/>
  <c r="F152" i="64"/>
  <c r="F153" i="64"/>
  <c r="F154" i="64"/>
  <c r="F155" i="64"/>
  <c r="F156" i="64"/>
  <c r="F157" i="64"/>
  <c r="F158" i="64"/>
  <c r="F159" i="64"/>
  <c r="F160" i="64"/>
  <c r="F161" i="64"/>
  <c r="F162" i="64"/>
  <c r="F163" i="64"/>
  <c r="F164" i="64"/>
  <c r="F165" i="64"/>
  <c r="F166" i="64"/>
  <c r="F167" i="64"/>
  <c r="F168" i="64"/>
  <c r="F169" i="64"/>
  <c r="F170" i="64"/>
  <c r="F171" i="64"/>
  <c r="F172" i="64"/>
  <c r="F173" i="64"/>
  <c r="F174" i="64"/>
  <c r="F175" i="64"/>
  <c r="F176" i="64"/>
  <c r="F177" i="64"/>
  <c r="F178" i="64"/>
  <c r="F179" i="64"/>
  <c r="F180" i="64"/>
  <c r="F181" i="64"/>
  <c r="F182" i="64"/>
  <c r="F183" i="64"/>
  <c r="F184" i="64"/>
  <c r="F185" i="64"/>
  <c r="F186" i="64"/>
  <c r="F187" i="64"/>
  <c r="F188" i="64"/>
  <c r="F189" i="64"/>
  <c r="F190" i="64"/>
  <c r="F191" i="64"/>
  <c r="F192" i="64"/>
  <c r="F193" i="64"/>
  <c r="F194" i="64"/>
  <c r="F195" i="64"/>
  <c r="F196" i="64"/>
  <c r="F197" i="64"/>
  <c r="F198" i="64"/>
  <c r="F199" i="64"/>
  <c r="F200" i="64"/>
  <c r="F201" i="64"/>
  <c r="F202" i="64"/>
  <c r="F203" i="64"/>
  <c r="F204" i="64"/>
  <c r="F205" i="64"/>
  <c r="F206" i="64"/>
  <c r="F207" i="64"/>
  <c r="F208" i="64"/>
  <c r="F209" i="64"/>
  <c r="F210" i="64"/>
  <c r="F211" i="64"/>
  <c r="F212" i="64"/>
  <c r="F213" i="64"/>
  <c r="F214" i="64"/>
  <c r="F215" i="64"/>
  <c r="F216" i="64"/>
  <c r="F217" i="64"/>
  <c r="F218" i="64"/>
  <c r="F219" i="64"/>
  <c r="F220" i="64"/>
  <c r="F221" i="64"/>
  <c r="F222" i="64"/>
  <c r="F223" i="64"/>
  <c r="F224" i="64"/>
  <c r="F225" i="64"/>
  <c r="F226" i="64"/>
  <c r="F227" i="64"/>
  <c r="F228" i="64"/>
  <c r="F229" i="64"/>
  <c r="F230" i="64"/>
  <c r="F231" i="64"/>
  <c r="F232" i="64"/>
  <c r="F233" i="64"/>
  <c r="F234" i="64"/>
  <c r="F235" i="64"/>
  <c r="F236" i="64"/>
  <c r="F237" i="64"/>
  <c r="F238" i="64"/>
  <c r="F239" i="64"/>
  <c r="F240" i="64"/>
  <c r="F241" i="64"/>
  <c r="F242" i="64"/>
  <c r="F243" i="64"/>
  <c r="F244" i="64"/>
  <c r="F245" i="64"/>
  <c r="F246" i="64"/>
  <c r="F247" i="64"/>
  <c r="F248" i="64"/>
  <c r="F249" i="64"/>
  <c r="F250" i="64"/>
  <c r="F251" i="64"/>
  <c r="AH252" i="51"/>
  <c r="AI252" i="51" s="1"/>
  <c r="AH253" i="51"/>
  <c r="AI253" i="51" s="1"/>
  <c r="AH254" i="51"/>
  <c r="AI254" i="51" s="1"/>
  <c r="AH255" i="51"/>
  <c r="AI255" i="51" s="1"/>
  <c r="AH256" i="51"/>
  <c r="AI256" i="51" s="1"/>
  <c r="AH257" i="51"/>
  <c r="AI257" i="51" s="1"/>
  <c r="AH258" i="51"/>
  <c r="AI258" i="51" s="1"/>
  <c r="AH259" i="51"/>
  <c r="AI259" i="51" s="1"/>
  <c r="AH260" i="51"/>
  <c r="AI260" i="51" s="1"/>
  <c r="AH261" i="51"/>
  <c r="AI261" i="51" s="1"/>
  <c r="AH262" i="51"/>
  <c r="AI262" i="51" s="1"/>
  <c r="AH263" i="51"/>
  <c r="AI263" i="51" s="1"/>
  <c r="AH264" i="51"/>
  <c r="AI264" i="51" s="1"/>
  <c r="AH265" i="51"/>
  <c r="AI265" i="51" s="1"/>
  <c r="AH266" i="51"/>
  <c r="AI266" i="51" s="1"/>
  <c r="AH267" i="51"/>
  <c r="AI267" i="51" s="1"/>
  <c r="AH268" i="51"/>
  <c r="AI268" i="51" s="1"/>
  <c r="AH269" i="51"/>
  <c r="AI269" i="51" s="1"/>
  <c r="AH270" i="51"/>
  <c r="AI270" i="51" s="1"/>
  <c r="AH271" i="51"/>
  <c r="AI271" i="51" s="1"/>
  <c r="AH272" i="51"/>
  <c r="AI272" i="51" s="1"/>
  <c r="AH273" i="51"/>
  <c r="AI273" i="51" s="1"/>
  <c r="AH274" i="51"/>
  <c r="AI274" i="51" s="1"/>
  <c r="AH275" i="51"/>
  <c r="AI275" i="51" s="1"/>
  <c r="AH276" i="51"/>
  <c r="AI276" i="51" s="1"/>
  <c r="AH277" i="51"/>
  <c r="AI277" i="51" s="1"/>
  <c r="AH278" i="51"/>
  <c r="AI278" i="51" s="1"/>
  <c r="AH279" i="51"/>
  <c r="AI279" i="51" s="1"/>
  <c r="AH280" i="51"/>
  <c r="AI280" i="51" s="1"/>
  <c r="AH281" i="51"/>
  <c r="AI281" i="51" s="1"/>
  <c r="AH282" i="51"/>
  <c r="AH283" i="51"/>
  <c r="AI283" i="51" s="1"/>
  <c r="AH284" i="51"/>
  <c r="AH285" i="51"/>
  <c r="AI285" i="51" s="1"/>
  <c r="AH286" i="51"/>
  <c r="AI286" i="51" s="1"/>
  <c r="AH287" i="51"/>
  <c r="AI287" i="51" s="1"/>
  <c r="AH288" i="51"/>
  <c r="AI288" i="51" s="1"/>
  <c r="AH289" i="51"/>
  <c r="AI289" i="51" s="1"/>
  <c r="AH290" i="51"/>
  <c r="AI290" i="51" s="1"/>
  <c r="AH291" i="51"/>
  <c r="AI291" i="51" s="1"/>
  <c r="AH292" i="51"/>
  <c r="AI292" i="51" s="1"/>
  <c r="AH293" i="51"/>
  <c r="AI293" i="51" s="1"/>
  <c r="AH294" i="51"/>
  <c r="AI294" i="51" s="1"/>
  <c r="AH295" i="51"/>
  <c r="AI295" i="51" s="1"/>
  <c r="AH296" i="51"/>
  <c r="AI296" i="51" s="1"/>
  <c r="AH297" i="51"/>
  <c r="AI297" i="51" s="1"/>
  <c r="AH298" i="51"/>
  <c r="AI298" i="51" s="1"/>
  <c r="AH299" i="51"/>
  <c r="AI299" i="51" s="1"/>
  <c r="AH300" i="51"/>
  <c r="AI300" i="51" s="1"/>
  <c r="AH301" i="51"/>
  <c r="AI301" i="51" s="1"/>
  <c r="AH302" i="51"/>
  <c r="AI302" i="51" s="1"/>
  <c r="AH303" i="51"/>
  <c r="AI303" i="51" s="1"/>
  <c r="AH304" i="51"/>
  <c r="AI304" i="51" s="1"/>
  <c r="AH305" i="51"/>
  <c r="AI305" i="51" s="1"/>
  <c r="AH306" i="51"/>
  <c r="AI306" i="51" s="1"/>
  <c r="AH307" i="51"/>
  <c r="AI307" i="51" s="1"/>
  <c r="AH308" i="51"/>
  <c r="AI308" i="51" s="1"/>
  <c r="AH309" i="51"/>
  <c r="AI309" i="51" s="1"/>
  <c r="AH310" i="51"/>
  <c r="AI310" i="51" s="1"/>
  <c r="AH311" i="51"/>
  <c r="AI311" i="51" s="1"/>
  <c r="AH312" i="51"/>
  <c r="AI312" i="51" s="1"/>
  <c r="AH313" i="51"/>
  <c r="AI313" i="51" s="1"/>
  <c r="AH314" i="51"/>
  <c r="AI314" i="51" s="1"/>
  <c r="AH315" i="51"/>
  <c r="AI315" i="51" s="1"/>
  <c r="AH316" i="51"/>
  <c r="AI316" i="51" s="1"/>
  <c r="AH317" i="51"/>
  <c r="AI317" i="51" s="1"/>
  <c r="AH318" i="51"/>
  <c r="AI318" i="51" s="1"/>
  <c r="AH319" i="51"/>
  <c r="AI319" i="51" s="1"/>
  <c r="AH320" i="51"/>
  <c r="AI320" i="51" s="1"/>
  <c r="AH321" i="51"/>
  <c r="AI321" i="51" s="1"/>
  <c r="AH322" i="51"/>
  <c r="AI322" i="51" s="1"/>
  <c r="AH323" i="51"/>
  <c r="AI323" i="51" s="1"/>
  <c r="AH324" i="51"/>
  <c r="AH325" i="51"/>
  <c r="AI325" i="51" s="1"/>
  <c r="AH326" i="51"/>
  <c r="AI326" i="51" s="1"/>
  <c r="AH327" i="51"/>
  <c r="AI327" i="51" s="1"/>
  <c r="AH328" i="51"/>
  <c r="AI328" i="51" s="1"/>
  <c r="AH329" i="51"/>
  <c r="AI329" i="51" s="1"/>
  <c r="AH330" i="51"/>
  <c r="AI330" i="51" s="1"/>
  <c r="AH331" i="51"/>
  <c r="AI331" i="51" s="1"/>
  <c r="AH332" i="51"/>
  <c r="AH333" i="51"/>
  <c r="AI333" i="51" s="1"/>
  <c r="AH334" i="51"/>
  <c r="AH335" i="51"/>
  <c r="AI335" i="51" s="1"/>
  <c r="AH336" i="51"/>
  <c r="AI336" i="51" s="1"/>
  <c r="AH337" i="51"/>
  <c r="AI337" i="51" s="1"/>
  <c r="AH338" i="51"/>
  <c r="AI338" i="51" s="1"/>
  <c r="AH339" i="51"/>
  <c r="AI339" i="51" s="1"/>
  <c r="AH340" i="51"/>
  <c r="AI340" i="51" s="1"/>
  <c r="AH341" i="51"/>
  <c r="AI341" i="51" s="1"/>
  <c r="AH342" i="51"/>
  <c r="AI342" i="51" s="1"/>
  <c r="AH343" i="51"/>
  <c r="AI343" i="51" s="1"/>
  <c r="AH344" i="51"/>
  <c r="AI344" i="51" s="1"/>
  <c r="AH345" i="51"/>
  <c r="AI345" i="51" s="1"/>
  <c r="AH346" i="51"/>
  <c r="AI346" i="51" s="1"/>
  <c r="AH347" i="51"/>
  <c r="AI347" i="51" s="1"/>
  <c r="AH348" i="51"/>
  <c r="AI348" i="51" s="1"/>
  <c r="AH349" i="51"/>
  <c r="AI349" i="51" s="1"/>
  <c r="AH350" i="51"/>
  <c r="AI350" i="51" s="1"/>
  <c r="AH351" i="51"/>
  <c r="AI351" i="51" s="1"/>
  <c r="AH352" i="51"/>
  <c r="AI352" i="51" s="1"/>
  <c r="AH353" i="51"/>
  <c r="AI353" i="51" s="1"/>
  <c r="AH354" i="51"/>
  <c r="AI354" i="51" s="1"/>
  <c r="AH355" i="51"/>
  <c r="AI355" i="51" s="1"/>
  <c r="AH356" i="51"/>
  <c r="AI356" i="51" s="1"/>
  <c r="AH357" i="51"/>
  <c r="AI357" i="51" s="1"/>
  <c r="AH358" i="51"/>
  <c r="AI358" i="51" s="1"/>
  <c r="AH359" i="51"/>
  <c r="AI359" i="51" s="1"/>
  <c r="AH360" i="51"/>
  <c r="AI360" i="51" s="1"/>
  <c r="AH361" i="51"/>
  <c r="AI361" i="51" s="1"/>
  <c r="AH362" i="51"/>
  <c r="AI362" i="51" s="1"/>
  <c r="AH363" i="51"/>
  <c r="AI363" i="51" s="1"/>
  <c r="AH364" i="51"/>
  <c r="AI364" i="51" s="1"/>
  <c r="AH365" i="51"/>
  <c r="AI365" i="51" s="1"/>
  <c r="AH366" i="51"/>
  <c r="AI366" i="51" s="1"/>
  <c r="AH367" i="51"/>
  <c r="AI367" i="51" s="1"/>
  <c r="AH368" i="51"/>
  <c r="AI368" i="51" s="1"/>
  <c r="AH369" i="51"/>
  <c r="AI369" i="51" s="1"/>
  <c r="AH370" i="51"/>
  <c r="AI370" i="51" s="1"/>
  <c r="AH371" i="51"/>
  <c r="AI371" i="51" s="1"/>
  <c r="AH372" i="51"/>
  <c r="AI372" i="51" s="1"/>
  <c r="AH373" i="51"/>
  <c r="AI373" i="51" s="1"/>
  <c r="AH374" i="51"/>
  <c r="AH375" i="51"/>
  <c r="AI375" i="51" s="1"/>
  <c r="AH376" i="51"/>
  <c r="AI376" i="51" s="1"/>
  <c r="AH377" i="51"/>
  <c r="AI377" i="51" s="1"/>
  <c r="AH378" i="51"/>
  <c r="AI378" i="51" s="1"/>
  <c r="AH379" i="51"/>
  <c r="AI379" i="51" s="1"/>
  <c r="AH380" i="51"/>
  <c r="AI380" i="51" s="1"/>
  <c r="AH381" i="51"/>
  <c r="AI381" i="51" s="1"/>
  <c r="AH382" i="51"/>
  <c r="AH383" i="51"/>
  <c r="AI383" i="51" s="1"/>
  <c r="AH384" i="51"/>
  <c r="AH385" i="51"/>
  <c r="AI385" i="51" s="1"/>
  <c r="AH386" i="51"/>
  <c r="AI386" i="51" s="1"/>
  <c r="AH387" i="51"/>
  <c r="AI387" i="51" s="1"/>
  <c r="AH388" i="51"/>
  <c r="AI388" i="51" s="1"/>
  <c r="AH389" i="51"/>
  <c r="AI389" i="51" s="1"/>
  <c r="AH390" i="51"/>
  <c r="AI390" i="51" s="1"/>
  <c r="AH391" i="51"/>
  <c r="AI391" i="51" s="1"/>
  <c r="AH392" i="51"/>
  <c r="AI392" i="51" s="1"/>
  <c r="AH393" i="51"/>
  <c r="AI393" i="51" s="1"/>
  <c r="AH394" i="51"/>
  <c r="AI394" i="51" s="1"/>
  <c r="AH395" i="51"/>
  <c r="AI395" i="51" s="1"/>
  <c r="AH396" i="51"/>
  <c r="AI396" i="51" s="1"/>
  <c r="AH397" i="51"/>
  <c r="AI397" i="51" s="1"/>
  <c r="AH398" i="51"/>
  <c r="AI398" i="51" s="1"/>
  <c r="AH399" i="51"/>
  <c r="AI399" i="51" s="1"/>
  <c r="AH400" i="51"/>
  <c r="AI400" i="51" s="1"/>
  <c r="AH401" i="51"/>
  <c r="AI401" i="51" s="1"/>
  <c r="AH402" i="51"/>
  <c r="AI402" i="51" s="1"/>
  <c r="AH403" i="51"/>
  <c r="AI403" i="51" s="1"/>
  <c r="AH404" i="51"/>
  <c r="AH405" i="51"/>
  <c r="AI405" i="51" s="1"/>
  <c r="AH406" i="51"/>
  <c r="AI406" i="51" s="1"/>
  <c r="AH407" i="51"/>
  <c r="AI407" i="51" s="1"/>
  <c r="AH408" i="51"/>
  <c r="AI408" i="51" s="1"/>
  <c r="AH409" i="51"/>
  <c r="AI409" i="51" s="1"/>
  <c r="AH410" i="51"/>
  <c r="AI410" i="51" s="1"/>
  <c r="AH411" i="51"/>
  <c r="AI411" i="51" s="1"/>
  <c r="AH412" i="51"/>
  <c r="AI412" i="51" s="1"/>
  <c r="AH413" i="51"/>
  <c r="AI413" i="51" s="1"/>
  <c r="AH414" i="51"/>
  <c r="AH415" i="51"/>
  <c r="AI415" i="51" s="1"/>
  <c r="AH416" i="51"/>
  <c r="AI416" i="51" s="1"/>
  <c r="AH417" i="51"/>
  <c r="AI417" i="51" s="1"/>
  <c r="AH418" i="51"/>
  <c r="AI418" i="51" s="1"/>
  <c r="AH419" i="51"/>
  <c r="AI419" i="51" s="1"/>
  <c r="AH420" i="51"/>
  <c r="AH421" i="51"/>
  <c r="AI421" i="51" s="1"/>
  <c r="AH422" i="51"/>
  <c r="AH423" i="51"/>
  <c r="AI423" i="51" s="1"/>
  <c r="AH424" i="51"/>
  <c r="AI424" i="51" s="1"/>
  <c r="AH425" i="51"/>
  <c r="AI425" i="51" s="1"/>
  <c r="AH426" i="51"/>
  <c r="AI426" i="51" s="1"/>
  <c r="AH427" i="51"/>
  <c r="AI427" i="51" s="1"/>
  <c r="AH428" i="51"/>
  <c r="AI428" i="51" s="1"/>
  <c r="AH429" i="51"/>
  <c r="AI429" i="51" s="1"/>
  <c r="AH430" i="51"/>
  <c r="AI430" i="51" s="1"/>
  <c r="AH431" i="51"/>
  <c r="AI431" i="51" s="1"/>
  <c r="AH432" i="51"/>
  <c r="AI432" i="51" s="1"/>
  <c r="AH433" i="51"/>
  <c r="AI433" i="51" s="1"/>
  <c r="AH434" i="51"/>
  <c r="AI434" i="51" s="1"/>
  <c r="AH435" i="51"/>
  <c r="AI435" i="51" s="1"/>
  <c r="AH436" i="51"/>
  <c r="AI436" i="51" s="1"/>
  <c r="AH437" i="51"/>
  <c r="AI437" i="51" s="1"/>
  <c r="AH438" i="51"/>
  <c r="AI438" i="51" s="1"/>
  <c r="AH439" i="51"/>
  <c r="AI439" i="51" s="1"/>
  <c r="AH440" i="51"/>
  <c r="AH441" i="51"/>
  <c r="AI441" i="51" s="1"/>
  <c r="AH442" i="51"/>
  <c r="AI442" i="51" s="1"/>
  <c r="AH443" i="51"/>
  <c r="AI443" i="51" s="1"/>
  <c r="AH444" i="51"/>
  <c r="AI444" i="51" s="1"/>
  <c r="AH445" i="51"/>
  <c r="AI445" i="51" s="1"/>
  <c r="AH446" i="51"/>
  <c r="AI446" i="51" s="1"/>
  <c r="AH447" i="51"/>
  <c r="AI447" i="51" s="1"/>
  <c r="AH448" i="51"/>
  <c r="AI448" i="51" s="1"/>
  <c r="AH449" i="51"/>
  <c r="AI449" i="51" s="1"/>
  <c r="AH450" i="51"/>
  <c r="AH451" i="51"/>
  <c r="AI451" i="51" s="1"/>
  <c r="AH452" i="51"/>
  <c r="AH453" i="51"/>
  <c r="AI453" i="51" s="1"/>
  <c r="AH454" i="51"/>
  <c r="AH455" i="51"/>
  <c r="AI455" i="51" s="1"/>
  <c r="AH456" i="51"/>
  <c r="AI456" i="51" s="1"/>
  <c r="AH457" i="51"/>
  <c r="AI457" i="51" s="1"/>
  <c r="AH458" i="51"/>
  <c r="AI458" i="51" s="1"/>
  <c r="AH459" i="51"/>
  <c r="AI459" i="51" s="1"/>
  <c r="AH460" i="51"/>
  <c r="AI460" i="51" s="1"/>
  <c r="AH461" i="51"/>
  <c r="AI461" i="51" s="1"/>
  <c r="AH462" i="51"/>
  <c r="AI462" i="51" s="1"/>
  <c r="AH463" i="51"/>
  <c r="AI463" i="51" s="1"/>
  <c r="AH464" i="51"/>
  <c r="AI464" i="51" s="1"/>
  <c r="AH465" i="51"/>
  <c r="AI465" i="51" s="1"/>
  <c r="AH466" i="51"/>
  <c r="AI466" i="51" s="1"/>
  <c r="AH467" i="51"/>
  <c r="AI467" i="51" s="1"/>
  <c r="AH468" i="51"/>
  <c r="AI468" i="51" s="1"/>
  <c r="AH469" i="51"/>
  <c r="AI469" i="51" s="1"/>
  <c r="AH470" i="51"/>
  <c r="AI470" i="51" s="1"/>
  <c r="AH471" i="51"/>
  <c r="AI471" i="51" s="1"/>
  <c r="AH472" i="51"/>
  <c r="AI472" i="51" s="1"/>
  <c r="AH473" i="51"/>
  <c r="AI473" i="51" s="1"/>
  <c r="AH474" i="51"/>
  <c r="AI474" i="51" s="1"/>
  <c r="AH475" i="51"/>
  <c r="AI475" i="51" s="1"/>
  <c r="AH476" i="51"/>
  <c r="AI476" i="51" s="1"/>
  <c r="AH477" i="51"/>
  <c r="AI477" i="51" s="1"/>
  <c r="AH478" i="51"/>
  <c r="AI478" i="51" s="1"/>
  <c r="AH479" i="51"/>
  <c r="AI479" i="51" s="1"/>
  <c r="AH480" i="51"/>
  <c r="AH481" i="51"/>
  <c r="AI481" i="51" s="1"/>
  <c r="AH482" i="51"/>
  <c r="AH483" i="51"/>
  <c r="AI483" i="51" s="1"/>
  <c r="AH484" i="51"/>
  <c r="AH485" i="51"/>
  <c r="AI485" i="51" s="1"/>
  <c r="AH486" i="51"/>
  <c r="AI486" i="51" s="1"/>
  <c r="AH487" i="51"/>
  <c r="AI487" i="51" s="1"/>
  <c r="AH488" i="51"/>
  <c r="AI488" i="51" s="1"/>
  <c r="AH489" i="51"/>
  <c r="AI489" i="51" s="1"/>
  <c r="AH490" i="51"/>
  <c r="AH491" i="51"/>
  <c r="AI491" i="51" s="1"/>
  <c r="AH492" i="51"/>
  <c r="AI492" i="51" s="1"/>
  <c r="AH493" i="51"/>
  <c r="AI493" i="51" s="1"/>
  <c r="AH494" i="51"/>
  <c r="AI494" i="51" s="1"/>
  <c r="AH495" i="51"/>
  <c r="AI495" i="51" s="1"/>
  <c r="AH496" i="51"/>
  <c r="AI496" i="51" s="1"/>
  <c r="AH497" i="51"/>
  <c r="AI497" i="51" s="1"/>
  <c r="AH498" i="51"/>
  <c r="AI498" i="51" s="1"/>
  <c r="AH499" i="51"/>
  <c r="AI499" i="51" s="1"/>
  <c r="AH500" i="51"/>
  <c r="AI500" i="51" s="1"/>
  <c r="AH501" i="51"/>
  <c r="AI501" i="51" s="1"/>
  <c r="AH502" i="51"/>
  <c r="AI502" i="51" s="1"/>
  <c r="AH503" i="51"/>
  <c r="AI503" i="51" s="1"/>
  <c r="AH504" i="51"/>
  <c r="AH505" i="51"/>
  <c r="AI505" i="51" s="1"/>
  <c r="AH506" i="51"/>
  <c r="AI506" i="51" s="1"/>
  <c r="AH507" i="51"/>
  <c r="AI507" i="51" s="1"/>
  <c r="AH508" i="51"/>
  <c r="AI508" i="51" s="1"/>
  <c r="AH509" i="51"/>
  <c r="AI509" i="51" s="1"/>
  <c r="AH510" i="51"/>
  <c r="AI510" i="51" s="1"/>
  <c r="AH511" i="51"/>
  <c r="AI511" i="51" s="1"/>
  <c r="AH512" i="51"/>
  <c r="AI512" i="51" s="1"/>
  <c r="AH513" i="51"/>
  <c r="AI513" i="51" s="1"/>
  <c r="AH514" i="51"/>
  <c r="AH515" i="51"/>
  <c r="AI515" i="51" s="1"/>
  <c r="AH516" i="51"/>
  <c r="AI516" i="51" s="1"/>
  <c r="AH517" i="51"/>
  <c r="AI517" i="51" s="1"/>
  <c r="AH518" i="51"/>
  <c r="AI518" i="51" s="1"/>
  <c r="AH519" i="51"/>
  <c r="AI519" i="51" s="1"/>
  <c r="AH520" i="51"/>
  <c r="AH521" i="51"/>
  <c r="AI521" i="51" s="1"/>
  <c r="AH522" i="51"/>
  <c r="AH523" i="51"/>
  <c r="AI523" i="51" s="1"/>
  <c r="AH524" i="51"/>
  <c r="AI524" i="51" s="1"/>
  <c r="AH525" i="51"/>
  <c r="AI525" i="51" s="1"/>
  <c r="AH526" i="51"/>
  <c r="AI526" i="51" s="1"/>
  <c r="AH527" i="51"/>
  <c r="AI527" i="51" s="1"/>
  <c r="AH528" i="51"/>
  <c r="AI528" i="51" s="1"/>
  <c r="AH529" i="51"/>
  <c r="AI529" i="51" s="1"/>
  <c r="AH530" i="51"/>
  <c r="AI530" i="51" s="1"/>
  <c r="AH531" i="51"/>
  <c r="AI531" i="51" s="1"/>
  <c r="AH532" i="51"/>
  <c r="AI532" i="51" s="1"/>
  <c r="AH533" i="51"/>
  <c r="AI533" i="51" s="1"/>
  <c r="AH534" i="51"/>
  <c r="AI534" i="51" s="1"/>
  <c r="AH535" i="51"/>
  <c r="AI535" i="51" s="1"/>
  <c r="AH536" i="51"/>
  <c r="AI536" i="51" s="1"/>
  <c r="AH537" i="51"/>
  <c r="AI537" i="51" s="1"/>
  <c r="AH538" i="51"/>
  <c r="AI538" i="51" s="1"/>
  <c r="AH539" i="51"/>
  <c r="AI539" i="51" s="1"/>
  <c r="AH540" i="51"/>
  <c r="AH541" i="51"/>
  <c r="AI541" i="51" s="1"/>
  <c r="AH542" i="51"/>
  <c r="AI542" i="51" s="1"/>
  <c r="AH543" i="51"/>
  <c r="AI543" i="51" s="1"/>
  <c r="AH544" i="51"/>
  <c r="AI544" i="51" s="1"/>
  <c r="AH545" i="51"/>
  <c r="AI545" i="51" s="1"/>
  <c r="AH546" i="51"/>
  <c r="AI546" i="51" s="1"/>
  <c r="AH547" i="51"/>
  <c r="AI547" i="51" s="1"/>
  <c r="AH548" i="51"/>
  <c r="AI548" i="51" s="1"/>
  <c r="AH549" i="51"/>
  <c r="AI549" i="51" s="1"/>
  <c r="AH550" i="51"/>
  <c r="AH551" i="51"/>
  <c r="AI551" i="51" s="1"/>
  <c r="AH552" i="51"/>
  <c r="AH553" i="51"/>
  <c r="AI553" i="51" s="1"/>
  <c r="AH554" i="51"/>
  <c r="AH555" i="51"/>
  <c r="AI555" i="51" s="1"/>
  <c r="AH556" i="51"/>
  <c r="AI556" i="51" s="1"/>
  <c r="AH557" i="51"/>
  <c r="AI557" i="51" s="1"/>
  <c r="AH558" i="51"/>
  <c r="AI558" i="51" s="1"/>
  <c r="AH559" i="51"/>
  <c r="AI559" i="51" s="1"/>
  <c r="AH560" i="51"/>
  <c r="AI560" i="51" s="1"/>
  <c r="AH561" i="51"/>
  <c r="AI561" i="51" s="1"/>
  <c r="AH562" i="51"/>
  <c r="AI562" i="51" s="1"/>
  <c r="AH563" i="51"/>
  <c r="AI563" i="51" s="1"/>
  <c r="AH564" i="51"/>
  <c r="AI564" i="51" s="1"/>
  <c r="AH565" i="51"/>
  <c r="AI565" i="51" s="1"/>
  <c r="AH566" i="51"/>
  <c r="AI566" i="51" s="1"/>
  <c r="AH567" i="51"/>
  <c r="AI567" i="51" s="1"/>
  <c r="AH568" i="51"/>
  <c r="AI568" i="51" s="1"/>
  <c r="AH569" i="51"/>
  <c r="AI569" i="51" s="1"/>
  <c r="AH570" i="51"/>
  <c r="AI570" i="51" s="1"/>
  <c r="AH571" i="51"/>
  <c r="AI571" i="51" s="1"/>
  <c r="AH572" i="51"/>
  <c r="AI572" i="51" s="1"/>
  <c r="AH573" i="51"/>
  <c r="AI573" i="51" s="1"/>
  <c r="AH574" i="51"/>
  <c r="AI574" i="51" s="1"/>
  <c r="AH575" i="51"/>
  <c r="AI575" i="51" s="1"/>
  <c r="AH576" i="51"/>
  <c r="AI576" i="51" s="1"/>
  <c r="AH577" i="51"/>
  <c r="AI577" i="51" s="1"/>
  <c r="AH578" i="51"/>
  <c r="AI578" i="51" s="1"/>
  <c r="AH579" i="51"/>
  <c r="AI579" i="51" s="1"/>
  <c r="AH580" i="51"/>
  <c r="AH581" i="51"/>
  <c r="AI581" i="51" s="1"/>
  <c r="AH582" i="51"/>
  <c r="AH583" i="51"/>
  <c r="AI583" i="51" s="1"/>
  <c r="AH584" i="51"/>
  <c r="AH585" i="51"/>
  <c r="AI585" i="51" s="1"/>
  <c r="AH586" i="51"/>
  <c r="AI586" i="51" s="1"/>
  <c r="AH587" i="51"/>
  <c r="AI587" i="51" s="1"/>
  <c r="AH588" i="51"/>
  <c r="AI588" i="51" s="1"/>
  <c r="AH589" i="51"/>
  <c r="AI589" i="51" s="1"/>
  <c r="AH590" i="51"/>
  <c r="AH591" i="51"/>
  <c r="AI591" i="51" s="1"/>
  <c r="AH592" i="51"/>
  <c r="AI592" i="51" s="1"/>
  <c r="AH593" i="51"/>
  <c r="AI593" i="51" s="1"/>
  <c r="AH594" i="51"/>
  <c r="AI594" i="51" s="1"/>
  <c r="AH595" i="51"/>
  <c r="AI595" i="51" s="1"/>
  <c r="AH596" i="51"/>
  <c r="AI596" i="51" s="1"/>
  <c r="AH597" i="51"/>
  <c r="AI597" i="51" s="1"/>
  <c r="AH598" i="51"/>
  <c r="AI598" i="51" s="1"/>
  <c r="AH599" i="51"/>
  <c r="AI599" i="51" s="1"/>
  <c r="AH600" i="51"/>
  <c r="AI600" i="51" s="1"/>
  <c r="AH601" i="51"/>
  <c r="AI601" i="51" s="1"/>
  <c r="AH602" i="51"/>
  <c r="AI602" i="51" s="1"/>
  <c r="AH603" i="51"/>
  <c r="AI603" i="51" s="1"/>
  <c r="AH604" i="51"/>
  <c r="AH605" i="51"/>
  <c r="AI605" i="51" s="1"/>
  <c r="AH606" i="51"/>
  <c r="AI606" i="51" s="1"/>
  <c r="AH607" i="51"/>
  <c r="AI607" i="51" s="1"/>
  <c r="AH608" i="51"/>
  <c r="AI608" i="51" s="1"/>
  <c r="AH609" i="51"/>
  <c r="AI609" i="51" s="1"/>
  <c r="AH610" i="51"/>
  <c r="AI610" i="51" s="1"/>
  <c r="AH611" i="51"/>
  <c r="AI611" i="51" s="1"/>
  <c r="AH612" i="51"/>
  <c r="AI612" i="51" s="1"/>
  <c r="AH613" i="51"/>
  <c r="AI613" i="51" s="1"/>
  <c r="AH614" i="51"/>
  <c r="AH615" i="51"/>
  <c r="AI615" i="51" s="1"/>
  <c r="AH616" i="51"/>
  <c r="AI616" i="51" s="1"/>
  <c r="AH617" i="51"/>
  <c r="AI617" i="51" s="1"/>
  <c r="AH618" i="51"/>
  <c r="AI618" i="51" s="1"/>
  <c r="AH619" i="51"/>
  <c r="AI619" i="51" s="1"/>
  <c r="AH620" i="51"/>
  <c r="AH621" i="51"/>
  <c r="AI621" i="51" s="1"/>
  <c r="AH622" i="51"/>
  <c r="AH623" i="51"/>
  <c r="AI623" i="51" s="1"/>
  <c r="AH624" i="51"/>
  <c r="AI624" i="51" s="1"/>
  <c r="AH625" i="51"/>
  <c r="AI625" i="51" s="1"/>
  <c r="AH626" i="51"/>
  <c r="AI626" i="51" s="1"/>
  <c r="AH627" i="51"/>
  <c r="AI627" i="51" s="1"/>
  <c r="AH628" i="51"/>
  <c r="AI628" i="51" s="1"/>
  <c r="AH629" i="51"/>
  <c r="AI629" i="51" s="1"/>
  <c r="AH630" i="51"/>
  <c r="AI630" i="51" s="1"/>
  <c r="AH631" i="51"/>
  <c r="AI631" i="51" s="1"/>
  <c r="AH632" i="51"/>
  <c r="AI632" i="51" s="1"/>
  <c r="AH633" i="51"/>
  <c r="AI633" i="51" s="1"/>
  <c r="AH634" i="51"/>
  <c r="AI634" i="51" s="1"/>
  <c r="AH635" i="51"/>
  <c r="AI635" i="51" s="1"/>
  <c r="AH636" i="51"/>
  <c r="AI636" i="51" s="1"/>
  <c r="AH637" i="51"/>
  <c r="AI637" i="51" s="1"/>
  <c r="AH638" i="51"/>
  <c r="AI638" i="51" s="1"/>
  <c r="AH639" i="51"/>
  <c r="AI639" i="51" s="1"/>
  <c r="AH640" i="51"/>
  <c r="AH641" i="51"/>
  <c r="AI641" i="51" s="1"/>
  <c r="AH642" i="51"/>
  <c r="AI642" i="51" s="1"/>
  <c r="AH643" i="51"/>
  <c r="AI643" i="51" s="1"/>
  <c r="AH644" i="51"/>
  <c r="AI644" i="51" s="1"/>
  <c r="AH645" i="51"/>
  <c r="AI645" i="51" s="1"/>
  <c r="AH646" i="51"/>
  <c r="AI646" i="51" s="1"/>
  <c r="AH647" i="51"/>
  <c r="AI647" i="51" s="1"/>
  <c r="AH648" i="51"/>
  <c r="AI648" i="51" s="1"/>
  <c r="AH649" i="51"/>
  <c r="AI649" i="51" s="1"/>
  <c r="AH650" i="51"/>
  <c r="AH651" i="51"/>
  <c r="AI651" i="51" s="1"/>
  <c r="AH652" i="51"/>
  <c r="AH653" i="51"/>
  <c r="AI653" i="51" s="1"/>
  <c r="AH654" i="51"/>
  <c r="AH655" i="51"/>
  <c r="AI655" i="51" s="1"/>
  <c r="AH656" i="51"/>
  <c r="AI656" i="51" s="1"/>
  <c r="AH657" i="51"/>
  <c r="AI657" i="51" s="1"/>
  <c r="AH658" i="51"/>
  <c r="AI658" i="51" s="1"/>
  <c r="AH659" i="51"/>
  <c r="AI659" i="51" s="1"/>
  <c r="AH660" i="51"/>
  <c r="AI660" i="51" s="1"/>
  <c r="AH661" i="51"/>
  <c r="AI661" i="51" s="1"/>
  <c r="AH662" i="51"/>
  <c r="AI662" i="51" s="1"/>
  <c r="AH663" i="51"/>
  <c r="AI663" i="51" s="1"/>
  <c r="AH664" i="51"/>
  <c r="AI664" i="51" s="1"/>
  <c r="AH665" i="51"/>
  <c r="AI665" i="51" s="1"/>
  <c r="AH666" i="51"/>
  <c r="AI666" i="51" s="1"/>
  <c r="AH667" i="51"/>
  <c r="AI667" i="51" s="1"/>
  <c r="AH668" i="51"/>
  <c r="AI668" i="51" s="1"/>
  <c r="AH669" i="51"/>
  <c r="AI669" i="51" s="1"/>
  <c r="AH670" i="51"/>
  <c r="AI670" i="51" s="1"/>
  <c r="AH671" i="51"/>
  <c r="AI671" i="51" s="1"/>
  <c r="AH672" i="51"/>
  <c r="AI672" i="51" s="1"/>
  <c r="AH673" i="51"/>
  <c r="AI673" i="51" s="1"/>
  <c r="AH674" i="51"/>
  <c r="AI674" i="51" s="1"/>
  <c r="AH675" i="51"/>
  <c r="AI675" i="51" s="1"/>
  <c r="AH676" i="51"/>
  <c r="AI676" i="51" s="1"/>
  <c r="AH677" i="51"/>
  <c r="AI677" i="51" s="1"/>
  <c r="AH678" i="51"/>
  <c r="AI678" i="51" s="1"/>
  <c r="AH679" i="51"/>
  <c r="AI679" i="51" s="1"/>
  <c r="AH680" i="51"/>
  <c r="AH681" i="51"/>
  <c r="AI681" i="51" s="1"/>
  <c r="AH682" i="51"/>
  <c r="AH683" i="51"/>
  <c r="AI683" i="51" s="1"/>
  <c r="AH684" i="51"/>
  <c r="AH685" i="51"/>
  <c r="AI685" i="51" s="1"/>
  <c r="AH686" i="51"/>
  <c r="AI686" i="51" s="1"/>
  <c r="AH687" i="51"/>
  <c r="AI687" i="51" s="1"/>
  <c r="AH688" i="51"/>
  <c r="AI688" i="51" s="1"/>
  <c r="AH689" i="51"/>
  <c r="AI689" i="51" s="1"/>
  <c r="AH690" i="51"/>
  <c r="AH691" i="51"/>
  <c r="AI691" i="51" s="1"/>
  <c r="AH692" i="51"/>
  <c r="AI692" i="51" s="1"/>
  <c r="AH693" i="51"/>
  <c r="AI693" i="51" s="1"/>
  <c r="AH694" i="51"/>
  <c r="AI694" i="51" s="1"/>
  <c r="AH695" i="51"/>
  <c r="AI695" i="51" s="1"/>
  <c r="AH696" i="51"/>
  <c r="AI696" i="51" s="1"/>
  <c r="AH697" i="51"/>
  <c r="AI697" i="51" s="1"/>
  <c r="AH698" i="51"/>
  <c r="AI698" i="51" s="1"/>
  <c r="AH699" i="51"/>
  <c r="AI699" i="51" s="1"/>
  <c r="AH700" i="51"/>
  <c r="AI700" i="51" s="1"/>
  <c r="AH701" i="51"/>
  <c r="AI701" i="51" s="1"/>
  <c r="AH702" i="51"/>
  <c r="AI702" i="51" s="1"/>
  <c r="AH703" i="51"/>
  <c r="AI703" i="51" s="1"/>
  <c r="AH704" i="51"/>
  <c r="AH705" i="51"/>
  <c r="AI705" i="51" s="1"/>
  <c r="AH706" i="51"/>
  <c r="AI706" i="51" s="1"/>
  <c r="AH707" i="51"/>
  <c r="AI707" i="51" s="1"/>
  <c r="AH708" i="51"/>
  <c r="AI708" i="51" s="1"/>
  <c r="AH709" i="51"/>
  <c r="AI709" i="51" s="1"/>
  <c r="AH710" i="51"/>
  <c r="AI710" i="51" s="1"/>
  <c r="AH711" i="51"/>
  <c r="AI711" i="51" s="1"/>
  <c r="AH712" i="51"/>
  <c r="AI712" i="51" s="1"/>
  <c r="AH713" i="51"/>
  <c r="AI713" i="51" s="1"/>
  <c r="AH714" i="51"/>
  <c r="AH715" i="51"/>
  <c r="AI715" i="51" s="1"/>
  <c r="AH716" i="51"/>
  <c r="AI716" i="51" s="1"/>
  <c r="AH717" i="51"/>
  <c r="AI717" i="51" s="1"/>
  <c r="AH718" i="51"/>
  <c r="AI718" i="51" s="1"/>
  <c r="AH719" i="51"/>
  <c r="AI719" i="51" s="1"/>
  <c r="AH720" i="51"/>
  <c r="AH721" i="51"/>
  <c r="AI721" i="51" s="1"/>
  <c r="AH722" i="51"/>
  <c r="AH723" i="51"/>
  <c r="AI723" i="51" s="1"/>
  <c r="AH724" i="51"/>
  <c r="AI724" i="51" s="1"/>
  <c r="AH725" i="51"/>
  <c r="AI725" i="51" s="1"/>
  <c r="AH726" i="51"/>
  <c r="AI726" i="51" s="1"/>
  <c r="AH727" i="51"/>
  <c r="AI727" i="51" s="1"/>
  <c r="AH728" i="51"/>
  <c r="AI728" i="51" s="1"/>
  <c r="AH729" i="51"/>
  <c r="AI729" i="51" s="1"/>
  <c r="AH730" i="51"/>
  <c r="AI730" i="51" s="1"/>
  <c r="AH731" i="51"/>
  <c r="AI731" i="51" s="1"/>
  <c r="AH732" i="51"/>
  <c r="AI732" i="51" s="1"/>
  <c r="AH733" i="51"/>
  <c r="AI733" i="51" s="1"/>
  <c r="AH734" i="51"/>
  <c r="AI734" i="51" s="1"/>
  <c r="AH735" i="51"/>
  <c r="AI735" i="51" s="1"/>
  <c r="AH736" i="51"/>
  <c r="AI736" i="51" s="1"/>
  <c r="AH737" i="51"/>
  <c r="AI737" i="51" s="1"/>
  <c r="AH738" i="51"/>
  <c r="AI738" i="51" s="1"/>
  <c r="AH739" i="51"/>
  <c r="AI739" i="51" s="1"/>
  <c r="AH740" i="51"/>
  <c r="AH741" i="51"/>
  <c r="AI741" i="51" s="1"/>
  <c r="AH742" i="51"/>
  <c r="AI742" i="51" s="1"/>
  <c r="AH743" i="51"/>
  <c r="AI743" i="51" s="1"/>
  <c r="AH744" i="51"/>
  <c r="AI744" i="51" s="1"/>
  <c r="AH745" i="51"/>
  <c r="AI745" i="51" s="1"/>
  <c r="AH746" i="51"/>
  <c r="AI746" i="51" s="1"/>
  <c r="AH747" i="51"/>
  <c r="AI747" i="51" s="1"/>
  <c r="AH748" i="51"/>
  <c r="AI748" i="51" s="1"/>
  <c r="AH749" i="51"/>
  <c r="AI749" i="51" s="1"/>
  <c r="D2" i="62"/>
  <c r="R3" i="51"/>
  <c r="W3" i="51" s="1"/>
  <c r="R4" i="51"/>
  <c r="W4" i="51" s="1"/>
  <c r="R5" i="51"/>
  <c r="W5" i="51" s="1"/>
  <c r="R6" i="51"/>
  <c r="W6" i="51" s="1"/>
  <c r="R7" i="51"/>
  <c r="W7" i="51" s="1"/>
  <c r="R8" i="51"/>
  <c r="W8" i="51" s="1"/>
  <c r="R9" i="51"/>
  <c r="W9" i="51" s="1"/>
  <c r="R10" i="51"/>
  <c r="W10" i="51" s="1"/>
  <c r="R11" i="51"/>
  <c r="W11" i="51" s="1"/>
  <c r="R12" i="51"/>
  <c r="W12" i="51" s="1"/>
  <c r="R13" i="51"/>
  <c r="W13" i="51" s="1"/>
  <c r="R14" i="51"/>
  <c r="W14" i="51" s="1"/>
  <c r="R15" i="51"/>
  <c r="W15" i="51" s="1"/>
  <c r="R16" i="51"/>
  <c r="W16" i="51" s="1"/>
  <c r="R17" i="51"/>
  <c r="W17" i="51" s="1"/>
  <c r="R18" i="51"/>
  <c r="W18" i="51" s="1"/>
  <c r="R19" i="51"/>
  <c r="W19" i="51" s="1"/>
  <c r="R20" i="51"/>
  <c r="W20" i="51" s="1"/>
  <c r="R21" i="51"/>
  <c r="W21" i="51" s="1"/>
  <c r="R22" i="51"/>
  <c r="W22" i="51" s="1"/>
  <c r="R23" i="51"/>
  <c r="W23" i="51" s="1"/>
  <c r="R24" i="51"/>
  <c r="W24" i="51" s="1"/>
  <c r="R25" i="51"/>
  <c r="W25" i="51" s="1"/>
  <c r="R26" i="51"/>
  <c r="W26" i="51" s="1"/>
  <c r="R27" i="51"/>
  <c r="W27" i="51" s="1"/>
  <c r="R28" i="51"/>
  <c r="W28" i="51" s="1"/>
  <c r="R29" i="51"/>
  <c r="W29" i="51" s="1"/>
  <c r="R30" i="51"/>
  <c r="W30" i="51" s="1"/>
  <c r="R31" i="51"/>
  <c r="W31" i="51" s="1"/>
  <c r="R32" i="51"/>
  <c r="W32" i="51" s="1"/>
  <c r="R33" i="51"/>
  <c r="W33" i="51" s="1"/>
  <c r="R34" i="51"/>
  <c r="W34" i="51" s="1"/>
  <c r="R35" i="51"/>
  <c r="W35" i="51" s="1"/>
  <c r="R36" i="51"/>
  <c r="W36" i="51" s="1"/>
  <c r="R37" i="51"/>
  <c r="W37" i="51" s="1"/>
  <c r="R38" i="51"/>
  <c r="W38" i="51" s="1"/>
  <c r="R39" i="51"/>
  <c r="W39" i="51" s="1"/>
  <c r="R40" i="51"/>
  <c r="W40" i="51" s="1"/>
  <c r="R41" i="51"/>
  <c r="W41" i="51" s="1"/>
  <c r="R42" i="51"/>
  <c r="W42" i="51" s="1"/>
  <c r="R43" i="51"/>
  <c r="W43" i="51" s="1"/>
  <c r="R44" i="51"/>
  <c r="W44" i="51" s="1"/>
  <c r="R45" i="51"/>
  <c r="W45" i="51" s="1"/>
  <c r="R46" i="51"/>
  <c r="W46" i="51" s="1"/>
  <c r="R47" i="51"/>
  <c r="W47" i="51" s="1"/>
  <c r="R48" i="51"/>
  <c r="W48" i="51" s="1"/>
  <c r="R49" i="51"/>
  <c r="W49" i="51" s="1"/>
  <c r="R50" i="51"/>
  <c r="W50" i="51" s="1"/>
  <c r="R51" i="51"/>
  <c r="W51" i="51" s="1"/>
  <c r="R52" i="51"/>
  <c r="W52" i="51" s="1"/>
  <c r="R53" i="51"/>
  <c r="W53" i="51" s="1"/>
  <c r="R54" i="51"/>
  <c r="W54" i="51" s="1"/>
  <c r="R55" i="51"/>
  <c r="W55" i="51" s="1"/>
  <c r="R56" i="51"/>
  <c r="W56" i="51" s="1"/>
  <c r="R57" i="51"/>
  <c r="W57" i="51" s="1"/>
  <c r="R58" i="51"/>
  <c r="W58" i="51" s="1"/>
  <c r="R59" i="51"/>
  <c r="W59" i="51" s="1"/>
  <c r="R60" i="51"/>
  <c r="W60" i="51" s="1"/>
  <c r="R61" i="51"/>
  <c r="W61" i="51" s="1"/>
  <c r="R62" i="51"/>
  <c r="W62" i="51" s="1"/>
  <c r="R63" i="51"/>
  <c r="W63" i="51" s="1"/>
  <c r="R64" i="51"/>
  <c r="W64" i="51" s="1"/>
  <c r="R65" i="51"/>
  <c r="W65" i="51" s="1"/>
  <c r="R66" i="51"/>
  <c r="W66" i="51" s="1"/>
  <c r="R67" i="51"/>
  <c r="W67" i="51" s="1"/>
  <c r="R68" i="51"/>
  <c r="W68" i="51" s="1"/>
  <c r="R69" i="51"/>
  <c r="W69" i="51" s="1"/>
  <c r="R70" i="51"/>
  <c r="W70" i="51" s="1"/>
  <c r="R71" i="51"/>
  <c r="W71" i="51" s="1"/>
  <c r="R72" i="51"/>
  <c r="W72" i="51" s="1"/>
  <c r="R73" i="51"/>
  <c r="W73" i="51" s="1"/>
  <c r="R74" i="51"/>
  <c r="W74" i="51" s="1"/>
  <c r="R75" i="51"/>
  <c r="W75" i="51" s="1"/>
  <c r="R76" i="51"/>
  <c r="W76" i="51" s="1"/>
  <c r="R77" i="51"/>
  <c r="W77" i="51" s="1"/>
  <c r="R78" i="51"/>
  <c r="W78" i="51" s="1"/>
  <c r="R79" i="51"/>
  <c r="W79" i="51" s="1"/>
  <c r="R80" i="51"/>
  <c r="W80" i="51" s="1"/>
  <c r="R81" i="51"/>
  <c r="W81" i="51" s="1"/>
  <c r="R82" i="51"/>
  <c r="W82" i="51" s="1"/>
  <c r="R83" i="51"/>
  <c r="W83" i="51" s="1"/>
  <c r="R84" i="51"/>
  <c r="W84" i="51" s="1"/>
  <c r="R85" i="51"/>
  <c r="W85" i="51" s="1"/>
  <c r="R86" i="51"/>
  <c r="W86" i="51" s="1"/>
  <c r="R87" i="51"/>
  <c r="W87" i="51" s="1"/>
  <c r="R88" i="51"/>
  <c r="W88" i="51" s="1"/>
  <c r="R89" i="51"/>
  <c r="W89" i="51" s="1"/>
  <c r="R90" i="51"/>
  <c r="W90" i="51" s="1"/>
  <c r="R91" i="51"/>
  <c r="W91" i="51" s="1"/>
  <c r="R92" i="51"/>
  <c r="W92" i="51" s="1"/>
  <c r="R93" i="51"/>
  <c r="W93" i="51" s="1"/>
  <c r="R94" i="51"/>
  <c r="W94" i="51" s="1"/>
  <c r="R95" i="51"/>
  <c r="W95" i="51" s="1"/>
  <c r="R96" i="51"/>
  <c r="W96" i="51" s="1"/>
  <c r="R97" i="51"/>
  <c r="W97" i="51" s="1"/>
  <c r="R98" i="51"/>
  <c r="W98" i="51" s="1"/>
  <c r="R99" i="51"/>
  <c r="W99" i="51" s="1"/>
  <c r="R100" i="51"/>
  <c r="W100" i="51" s="1"/>
  <c r="R101" i="51"/>
  <c r="W101" i="51" s="1"/>
  <c r="R102" i="51"/>
  <c r="W102" i="51" s="1"/>
  <c r="R103" i="51"/>
  <c r="W103" i="51" s="1"/>
  <c r="R104" i="51"/>
  <c r="W104" i="51" s="1"/>
  <c r="R105" i="51"/>
  <c r="W105" i="51" s="1"/>
  <c r="R106" i="51"/>
  <c r="W106" i="51" s="1"/>
  <c r="R107" i="51"/>
  <c r="W107" i="51" s="1"/>
  <c r="R108" i="51"/>
  <c r="W108" i="51" s="1"/>
  <c r="R109" i="51"/>
  <c r="W109" i="51" s="1"/>
  <c r="R110" i="51"/>
  <c r="W110" i="51" s="1"/>
  <c r="R111" i="51"/>
  <c r="W111" i="51" s="1"/>
  <c r="R112" i="51"/>
  <c r="W112" i="51" s="1"/>
  <c r="R113" i="51"/>
  <c r="W113" i="51" s="1"/>
  <c r="R114" i="51"/>
  <c r="W114" i="51" s="1"/>
  <c r="R115" i="51"/>
  <c r="W115" i="51" s="1"/>
  <c r="R116" i="51"/>
  <c r="W116" i="51" s="1"/>
  <c r="R117" i="51"/>
  <c r="W117" i="51" s="1"/>
  <c r="R118" i="51"/>
  <c r="W118" i="51" s="1"/>
  <c r="R119" i="51"/>
  <c r="W119" i="51" s="1"/>
  <c r="R120" i="51"/>
  <c r="W120" i="51" s="1"/>
  <c r="R121" i="51"/>
  <c r="W121" i="51" s="1"/>
  <c r="R122" i="51"/>
  <c r="W122" i="51" s="1"/>
  <c r="R123" i="51"/>
  <c r="W123" i="51" s="1"/>
  <c r="R124" i="51"/>
  <c r="W124" i="51" s="1"/>
  <c r="R125" i="51"/>
  <c r="W125" i="51" s="1"/>
  <c r="R126" i="51"/>
  <c r="W126" i="51" s="1"/>
  <c r="R127" i="51"/>
  <c r="W127" i="51" s="1"/>
  <c r="R128" i="51"/>
  <c r="W128" i="51" s="1"/>
  <c r="R129" i="51"/>
  <c r="W129" i="51" s="1"/>
  <c r="R130" i="51"/>
  <c r="W130" i="51" s="1"/>
  <c r="R131" i="51"/>
  <c r="W131" i="51" s="1"/>
  <c r="R132" i="51"/>
  <c r="W132" i="51" s="1"/>
  <c r="R133" i="51"/>
  <c r="W133" i="51" s="1"/>
  <c r="R134" i="51"/>
  <c r="W134" i="51" s="1"/>
  <c r="R135" i="51"/>
  <c r="W135" i="51" s="1"/>
  <c r="R136" i="51"/>
  <c r="W136" i="51" s="1"/>
  <c r="R137" i="51"/>
  <c r="W137" i="51" s="1"/>
  <c r="R138" i="51"/>
  <c r="W138" i="51" s="1"/>
  <c r="R139" i="51"/>
  <c r="W139" i="51" s="1"/>
  <c r="R140" i="51"/>
  <c r="W140" i="51" s="1"/>
  <c r="R141" i="51"/>
  <c r="W141" i="51" s="1"/>
  <c r="R142" i="51"/>
  <c r="W142" i="51" s="1"/>
  <c r="R143" i="51"/>
  <c r="W143" i="51" s="1"/>
  <c r="R144" i="51"/>
  <c r="W144" i="51" s="1"/>
  <c r="R145" i="51"/>
  <c r="W145" i="51" s="1"/>
  <c r="R146" i="51"/>
  <c r="W146" i="51" s="1"/>
  <c r="R147" i="51"/>
  <c r="W147" i="51" s="1"/>
  <c r="R148" i="51"/>
  <c r="W148" i="51" s="1"/>
  <c r="R149" i="51"/>
  <c r="W149" i="51" s="1"/>
  <c r="R150" i="51"/>
  <c r="W150" i="51" s="1"/>
  <c r="R151" i="51"/>
  <c r="W151" i="51" s="1"/>
  <c r="R152" i="51"/>
  <c r="W152" i="51" s="1"/>
  <c r="R153" i="51"/>
  <c r="W153" i="51" s="1"/>
  <c r="R154" i="51"/>
  <c r="W154" i="51" s="1"/>
  <c r="R155" i="51"/>
  <c r="W155" i="51" s="1"/>
  <c r="R156" i="51"/>
  <c r="W156" i="51" s="1"/>
  <c r="R157" i="51"/>
  <c r="W157" i="51" s="1"/>
  <c r="R158" i="51"/>
  <c r="W158" i="51" s="1"/>
  <c r="R159" i="51"/>
  <c r="W159" i="51" s="1"/>
  <c r="R160" i="51"/>
  <c r="W160" i="51" s="1"/>
  <c r="R161" i="51"/>
  <c r="W161" i="51" s="1"/>
  <c r="R162" i="51"/>
  <c r="W162" i="51" s="1"/>
  <c r="R163" i="51"/>
  <c r="W163" i="51" s="1"/>
  <c r="R164" i="51"/>
  <c r="W164" i="51" s="1"/>
  <c r="R165" i="51"/>
  <c r="W165" i="51" s="1"/>
  <c r="R166" i="51"/>
  <c r="W166" i="51" s="1"/>
  <c r="R167" i="51"/>
  <c r="W167" i="51" s="1"/>
  <c r="R168" i="51"/>
  <c r="W168" i="51" s="1"/>
  <c r="R169" i="51"/>
  <c r="W169" i="51" s="1"/>
  <c r="R170" i="51"/>
  <c r="W170" i="51" s="1"/>
  <c r="R171" i="51"/>
  <c r="W171" i="51" s="1"/>
  <c r="R172" i="51"/>
  <c r="W172" i="51" s="1"/>
  <c r="R173" i="51"/>
  <c r="W173" i="51" s="1"/>
  <c r="R174" i="51"/>
  <c r="W174" i="51" s="1"/>
  <c r="R175" i="51"/>
  <c r="W175" i="51" s="1"/>
  <c r="R176" i="51"/>
  <c r="W176" i="51" s="1"/>
  <c r="R177" i="51"/>
  <c r="W177" i="51" s="1"/>
  <c r="R178" i="51"/>
  <c r="W178" i="51" s="1"/>
  <c r="R179" i="51"/>
  <c r="W179" i="51" s="1"/>
  <c r="R180" i="51"/>
  <c r="W180" i="51" s="1"/>
  <c r="R181" i="51"/>
  <c r="W181" i="51" s="1"/>
  <c r="R182" i="51"/>
  <c r="W182" i="51" s="1"/>
  <c r="R183" i="51"/>
  <c r="W183" i="51" s="1"/>
  <c r="R184" i="51"/>
  <c r="W184" i="51" s="1"/>
  <c r="R185" i="51"/>
  <c r="W185" i="51" s="1"/>
  <c r="R186" i="51"/>
  <c r="W186" i="51" s="1"/>
  <c r="R187" i="51"/>
  <c r="W187" i="51" s="1"/>
  <c r="R188" i="51"/>
  <c r="W188" i="51" s="1"/>
  <c r="R189" i="51"/>
  <c r="W189" i="51" s="1"/>
  <c r="R190" i="51"/>
  <c r="W190" i="51" s="1"/>
  <c r="R191" i="51"/>
  <c r="W191" i="51" s="1"/>
  <c r="R192" i="51"/>
  <c r="W192" i="51" s="1"/>
  <c r="R193" i="51"/>
  <c r="W193" i="51" s="1"/>
  <c r="R194" i="51"/>
  <c r="W194" i="51" s="1"/>
  <c r="R195" i="51"/>
  <c r="W195" i="51" s="1"/>
  <c r="R196" i="51"/>
  <c r="W196" i="51" s="1"/>
  <c r="R197" i="51"/>
  <c r="W197" i="51" s="1"/>
  <c r="R198" i="51"/>
  <c r="W198" i="51" s="1"/>
  <c r="R199" i="51"/>
  <c r="W199" i="51" s="1"/>
  <c r="R200" i="51"/>
  <c r="W200" i="51" s="1"/>
  <c r="R201" i="51"/>
  <c r="W201" i="51" s="1"/>
  <c r="R202" i="51"/>
  <c r="W202" i="51" s="1"/>
  <c r="R203" i="51"/>
  <c r="W203" i="51" s="1"/>
  <c r="R204" i="51"/>
  <c r="W204" i="51" s="1"/>
  <c r="R205" i="51"/>
  <c r="W205" i="51" s="1"/>
  <c r="R206" i="51"/>
  <c r="W206" i="51" s="1"/>
  <c r="R207" i="51"/>
  <c r="W207" i="51" s="1"/>
  <c r="R208" i="51"/>
  <c r="W208" i="51" s="1"/>
  <c r="R209" i="51"/>
  <c r="W209" i="51" s="1"/>
  <c r="R210" i="51"/>
  <c r="W210" i="51" s="1"/>
  <c r="R211" i="51"/>
  <c r="W211" i="51" s="1"/>
  <c r="R212" i="51"/>
  <c r="W212" i="51" s="1"/>
  <c r="R213" i="51"/>
  <c r="W213" i="51" s="1"/>
  <c r="R214" i="51"/>
  <c r="W214" i="51" s="1"/>
  <c r="R215" i="51"/>
  <c r="W215" i="51" s="1"/>
  <c r="R216" i="51"/>
  <c r="W216" i="51" s="1"/>
  <c r="R217" i="51"/>
  <c r="W217" i="51" s="1"/>
  <c r="R218" i="51"/>
  <c r="W218" i="51" s="1"/>
  <c r="R219" i="51"/>
  <c r="W219" i="51" s="1"/>
  <c r="R220" i="51"/>
  <c r="W220" i="51" s="1"/>
  <c r="R221" i="51"/>
  <c r="W221" i="51" s="1"/>
  <c r="R222" i="51"/>
  <c r="W222" i="51" s="1"/>
  <c r="R223" i="51"/>
  <c r="W223" i="51" s="1"/>
  <c r="R224" i="51"/>
  <c r="W224" i="51" s="1"/>
  <c r="R225" i="51"/>
  <c r="W225" i="51" s="1"/>
  <c r="R226" i="51"/>
  <c r="W226" i="51" s="1"/>
  <c r="R227" i="51"/>
  <c r="W227" i="51" s="1"/>
  <c r="R228" i="51"/>
  <c r="W228" i="51" s="1"/>
  <c r="R229" i="51"/>
  <c r="W229" i="51" s="1"/>
  <c r="R230" i="51"/>
  <c r="W230" i="51" s="1"/>
  <c r="R231" i="51"/>
  <c r="W231" i="51" s="1"/>
  <c r="R232" i="51"/>
  <c r="W232" i="51" s="1"/>
  <c r="R233" i="51"/>
  <c r="W233" i="51" s="1"/>
  <c r="R234" i="51"/>
  <c r="W234" i="51" s="1"/>
  <c r="R235" i="51"/>
  <c r="W235" i="51" s="1"/>
  <c r="R236" i="51"/>
  <c r="W236" i="51" s="1"/>
  <c r="R237" i="51"/>
  <c r="W237" i="51" s="1"/>
  <c r="R238" i="51"/>
  <c r="W238" i="51" s="1"/>
  <c r="R239" i="51"/>
  <c r="W239" i="51" s="1"/>
  <c r="R240" i="51"/>
  <c r="W240" i="51" s="1"/>
  <c r="R241" i="51"/>
  <c r="W241" i="51" s="1"/>
  <c r="R242" i="51"/>
  <c r="W242" i="51" s="1"/>
  <c r="R243" i="51"/>
  <c r="W243" i="51" s="1"/>
  <c r="R244" i="51"/>
  <c r="W244" i="51" s="1"/>
  <c r="R245" i="51"/>
  <c r="W245" i="51" s="1"/>
  <c r="R246" i="51"/>
  <c r="W246" i="51" s="1"/>
  <c r="R247" i="51"/>
  <c r="W247" i="51" s="1"/>
  <c r="R248" i="51"/>
  <c r="W248" i="51" s="1"/>
  <c r="R249" i="51"/>
  <c r="W249" i="51" s="1"/>
  <c r="R250" i="51"/>
  <c r="W250" i="51" s="1"/>
  <c r="R251" i="51"/>
  <c r="W251" i="51" s="1"/>
  <c r="R2" i="51"/>
  <c r="W2" i="51" s="1"/>
  <c r="Q3" i="51"/>
  <c r="Q4" i="51"/>
  <c r="Q5" i="51"/>
  <c r="AA5" i="51" s="1"/>
  <c r="Q6" i="51"/>
  <c r="Q7" i="51"/>
  <c r="Q8" i="51"/>
  <c r="Q9" i="51"/>
  <c r="Q10" i="51"/>
  <c r="Q11" i="51"/>
  <c r="Q12" i="51"/>
  <c r="Q13" i="51"/>
  <c r="Q14" i="51"/>
  <c r="Q15" i="51"/>
  <c r="AA15" i="51" s="1"/>
  <c r="Q16" i="51"/>
  <c r="Q17" i="51"/>
  <c r="Q18" i="51"/>
  <c r="Q19" i="51"/>
  <c r="V19" i="51" s="1"/>
  <c r="Q20" i="51"/>
  <c r="Q21" i="51"/>
  <c r="Q22" i="51"/>
  <c r="Q23" i="51"/>
  <c r="Q24" i="51"/>
  <c r="Q25" i="51"/>
  <c r="AA25" i="51" s="1"/>
  <c r="Q26" i="51"/>
  <c r="Q27" i="51"/>
  <c r="Q28" i="51"/>
  <c r="Q29" i="51"/>
  <c r="V29" i="51" s="1"/>
  <c r="Q30" i="51"/>
  <c r="Q31" i="51"/>
  <c r="Q32" i="51"/>
  <c r="Q33" i="51"/>
  <c r="Q34" i="51"/>
  <c r="Q35" i="51"/>
  <c r="AA35" i="51" s="1"/>
  <c r="Q36" i="51"/>
  <c r="Q37" i="51"/>
  <c r="Q38" i="51"/>
  <c r="Q39" i="51"/>
  <c r="Q40" i="51"/>
  <c r="Q41" i="51"/>
  <c r="Q42" i="51"/>
  <c r="Q43" i="51"/>
  <c r="Q44" i="51"/>
  <c r="Q45" i="51"/>
  <c r="AA45" i="51" s="1"/>
  <c r="Q46" i="51"/>
  <c r="Q47" i="51"/>
  <c r="Q48" i="51"/>
  <c r="Q49" i="51"/>
  <c r="Q50" i="51"/>
  <c r="Q51" i="51"/>
  <c r="Q52" i="51"/>
  <c r="Q53" i="51"/>
  <c r="Q54" i="51"/>
  <c r="Q55" i="51"/>
  <c r="AA55" i="51" s="1"/>
  <c r="Q56" i="51"/>
  <c r="Q57" i="51"/>
  <c r="Q58" i="51"/>
  <c r="Q59" i="51"/>
  <c r="Q60" i="51"/>
  <c r="Q61" i="51"/>
  <c r="Q62" i="51"/>
  <c r="Q63" i="51"/>
  <c r="Q64" i="51"/>
  <c r="Q65" i="51"/>
  <c r="AA65" i="51" s="1"/>
  <c r="Q66" i="51"/>
  <c r="Q67" i="51"/>
  <c r="Q68" i="51"/>
  <c r="Q69" i="51"/>
  <c r="Q70" i="51"/>
  <c r="Q71" i="51"/>
  <c r="Q72" i="51"/>
  <c r="Q73" i="51"/>
  <c r="Q74" i="51"/>
  <c r="Q75" i="51"/>
  <c r="AA75" i="51" s="1"/>
  <c r="Q76" i="51"/>
  <c r="Q77" i="51"/>
  <c r="V77" i="51" s="1"/>
  <c r="Q78" i="51"/>
  <c r="Q79" i="51"/>
  <c r="Q80" i="51"/>
  <c r="Q81" i="51"/>
  <c r="Q82" i="51"/>
  <c r="Q83" i="51"/>
  <c r="Q84" i="51"/>
  <c r="Q85" i="51"/>
  <c r="AA85" i="51" s="1"/>
  <c r="Q86" i="51"/>
  <c r="Q87" i="51"/>
  <c r="Q88" i="51"/>
  <c r="Q89" i="51"/>
  <c r="Q90" i="51"/>
  <c r="Q91" i="51"/>
  <c r="Q92" i="51"/>
  <c r="Q93" i="51"/>
  <c r="Q94" i="51"/>
  <c r="Q95" i="51"/>
  <c r="AA95" i="51" s="1"/>
  <c r="Q96" i="51"/>
  <c r="Q97" i="51"/>
  <c r="Q98" i="51"/>
  <c r="V98" i="51" s="1"/>
  <c r="Q99" i="51"/>
  <c r="Q100" i="51"/>
  <c r="Q101" i="51"/>
  <c r="Q102" i="51"/>
  <c r="Q103" i="51"/>
  <c r="Q104" i="51"/>
  <c r="Q105" i="51"/>
  <c r="AA105" i="51" s="1"/>
  <c r="Q106" i="51"/>
  <c r="Q107" i="51"/>
  <c r="Q108" i="51"/>
  <c r="Q109" i="51"/>
  <c r="Q110" i="51"/>
  <c r="Q111" i="51"/>
  <c r="Q112" i="51"/>
  <c r="Q113" i="51"/>
  <c r="Q114" i="51"/>
  <c r="Q115" i="51"/>
  <c r="Q116" i="51"/>
  <c r="Q117" i="51"/>
  <c r="Q118" i="51"/>
  <c r="Q119" i="51"/>
  <c r="Q120" i="51"/>
  <c r="Q121" i="51"/>
  <c r="Q122" i="51"/>
  <c r="Q123" i="51"/>
  <c r="Q124" i="51"/>
  <c r="Q125" i="51"/>
  <c r="Q126" i="51"/>
  <c r="Q127" i="51"/>
  <c r="Q128" i="51"/>
  <c r="V128" i="51" s="1"/>
  <c r="Q129" i="51"/>
  <c r="Q130" i="51"/>
  <c r="Q131" i="51"/>
  <c r="Q132" i="51"/>
  <c r="Q133" i="51"/>
  <c r="Q134" i="51"/>
  <c r="Q135" i="51"/>
  <c r="Q136" i="51"/>
  <c r="Q137" i="51"/>
  <c r="Q138" i="51"/>
  <c r="Q139" i="51"/>
  <c r="Q140" i="51"/>
  <c r="Q141" i="51"/>
  <c r="Q142" i="51"/>
  <c r="Q143" i="51"/>
  <c r="Q144" i="51"/>
  <c r="Q145" i="51"/>
  <c r="AA145" i="51" s="1"/>
  <c r="Q146" i="51"/>
  <c r="Q147" i="51"/>
  <c r="Q148" i="51"/>
  <c r="Q149" i="51"/>
  <c r="Q150" i="51"/>
  <c r="Q151" i="51"/>
  <c r="Q152" i="51"/>
  <c r="Q153" i="51"/>
  <c r="Q154" i="51"/>
  <c r="Q155" i="51"/>
  <c r="Q156" i="51"/>
  <c r="Q157" i="51"/>
  <c r="Q158" i="51"/>
  <c r="Q159" i="51"/>
  <c r="Q160" i="51"/>
  <c r="Q161" i="51"/>
  <c r="Q162" i="51"/>
  <c r="Q163" i="51"/>
  <c r="Q164" i="51"/>
  <c r="Q165" i="51"/>
  <c r="Q166" i="51"/>
  <c r="Q167" i="51"/>
  <c r="Q168" i="51"/>
  <c r="Q169" i="51"/>
  <c r="Q170" i="51"/>
  <c r="Q171" i="51"/>
  <c r="Q172" i="51"/>
  <c r="Q173" i="51"/>
  <c r="Q174" i="51"/>
  <c r="Q175" i="51"/>
  <c r="Q176" i="51"/>
  <c r="Q177" i="51"/>
  <c r="Q178" i="51"/>
  <c r="V178" i="51" s="1"/>
  <c r="Q179" i="51"/>
  <c r="Q180" i="51"/>
  <c r="Q181" i="51"/>
  <c r="Q182" i="51"/>
  <c r="Q183" i="51"/>
  <c r="Q184" i="51"/>
  <c r="Q185" i="51"/>
  <c r="Q186" i="51"/>
  <c r="Q187" i="51"/>
  <c r="Q188" i="51"/>
  <c r="Q189" i="51"/>
  <c r="V189" i="51" s="1"/>
  <c r="Q190" i="51"/>
  <c r="Q191" i="51"/>
  <c r="Q192" i="51"/>
  <c r="Q193" i="51"/>
  <c r="Q194" i="51"/>
  <c r="Q195" i="51"/>
  <c r="AA195" i="51" s="1"/>
  <c r="Q196" i="51"/>
  <c r="Q197" i="51"/>
  <c r="Q198" i="51"/>
  <c r="Q199" i="51"/>
  <c r="Q200" i="51"/>
  <c r="Q201" i="51"/>
  <c r="Q202" i="51"/>
  <c r="Q203" i="51"/>
  <c r="Q204" i="51"/>
  <c r="Q205" i="51"/>
  <c r="Q206" i="51"/>
  <c r="Q207" i="51"/>
  <c r="Q208" i="51"/>
  <c r="Q209" i="51"/>
  <c r="AA209" i="51" s="1"/>
  <c r="Q210" i="51"/>
  <c r="Q211" i="51"/>
  <c r="Q212" i="51"/>
  <c r="Q213" i="51"/>
  <c r="Q214" i="51"/>
  <c r="Q215" i="51"/>
  <c r="Q216" i="51"/>
  <c r="Q217" i="51"/>
  <c r="Q218" i="51"/>
  <c r="Q219" i="51"/>
  <c r="AA219" i="51" s="1"/>
  <c r="Q220" i="51"/>
  <c r="AA220" i="51" s="1"/>
  <c r="Q221" i="51"/>
  <c r="Q222" i="51"/>
  <c r="Q223" i="51"/>
  <c r="Q224" i="51"/>
  <c r="Q225" i="51"/>
  <c r="Q226" i="51"/>
  <c r="Q227" i="51"/>
  <c r="Q228" i="51"/>
  <c r="Q229" i="51"/>
  <c r="AA229" i="51" s="1"/>
  <c r="Q230" i="51"/>
  <c r="Q231" i="51"/>
  <c r="Q232" i="51"/>
  <c r="Q233" i="51"/>
  <c r="Q234" i="51"/>
  <c r="AA234" i="51" s="1"/>
  <c r="Q235" i="51"/>
  <c r="AA235" i="51" s="1"/>
  <c r="Q236" i="51"/>
  <c r="Q237" i="51"/>
  <c r="Q238" i="51"/>
  <c r="Q239" i="51"/>
  <c r="AA239" i="51" s="1"/>
  <c r="Q240" i="51"/>
  <c r="Q241" i="51"/>
  <c r="Q242" i="51"/>
  <c r="Q243" i="51"/>
  <c r="Q244" i="51"/>
  <c r="Q245" i="51"/>
  <c r="Q246" i="51"/>
  <c r="Q247" i="51"/>
  <c r="Q248" i="51"/>
  <c r="Q249" i="51"/>
  <c r="AA249" i="51" s="1"/>
  <c r="Q250" i="51"/>
  <c r="Q251" i="51"/>
  <c r="AA251" i="51" s="1"/>
  <c r="Q2" i="51"/>
  <c r="AA2" i="51" s="1"/>
  <c r="P3" i="51"/>
  <c r="P4" i="51"/>
  <c r="P5" i="51"/>
  <c r="P6" i="51"/>
  <c r="P7" i="51"/>
  <c r="P8" i="51"/>
  <c r="P9" i="51"/>
  <c r="Y9" i="51" s="1"/>
  <c r="P10" i="51"/>
  <c r="P11" i="51"/>
  <c r="P12" i="51"/>
  <c r="P13" i="51"/>
  <c r="P14" i="51"/>
  <c r="P15" i="51"/>
  <c r="P16" i="51"/>
  <c r="P17" i="51"/>
  <c r="P18" i="51"/>
  <c r="P19" i="51"/>
  <c r="Y19" i="51" s="1"/>
  <c r="P20" i="51"/>
  <c r="Y20" i="51" s="1"/>
  <c r="P21" i="51"/>
  <c r="P22" i="51"/>
  <c r="P23" i="51"/>
  <c r="P24" i="51"/>
  <c r="P25" i="51"/>
  <c r="P26" i="51"/>
  <c r="P27" i="51"/>
  <c r="P28" i="51"/>
  <c r="P29" i="51"/>
  <c r="Y29" i="51" s="1"/>
  <c r="P30" i="51"/>
  <c r="P31" i="51"/>
  <c r="P32" i="51"/>
  <c r="P33" i="51"/>
  <c r="P34" i="51"/>
  <c r="Y34" i="51" s="1"/>
  <c r="P35" i="51"/>
  <c r="Y35" i="51" s="1"/>
  <c r="P36" i="51"/>
  <c r="P37" i="51"/>
  <c r="P38" i="51"/>
  <c r="P39" i="51"/>
  <c r="Y39" i="51" s="1"/>
  <c r="P40" i="51"/>
  <c r="P41" i="51"/>
  <c r="P42" i="51"/>
  <c r="P43" i="51"/>
  <c r="P44" i="51"/>
  <c r="P45" i="51"/>
  <c r="P46" i="51"/>
  <c r="P47" i="51"/>
  <c r="P48" i="51"/>
  <c r="P49" i="51"/>
  <c r="Y49" i="51" s="1"/>
  <c r="P50" i="51"/>
  <c r="P51" i="51"/>
  <c r="Y51" i="51" s="1"/>
  <c r="P52" i="51"/>
  <c r="Y52" i="51" s="1"/>
  <c r="P53" i="51"/>
  <c r="P54" i="51"/>
  <c r="P55" i="51"/>
  <c r="P56" i="51"/>
  <c r="P57" i="51"/>
  <c r="P58" i="51"/>
  <c r="P59" i="51"/>
  <c r="Y59" i="51" s="1"/>
  <c r="P60" i="51"/>
  <c r="P61" i="51"/>
  <c r="P62" i="51"/>
  <c r="P63" i="51"/>
  <c r="P64" i="51"/>
  <c r="P65" i="51"/>
  <c r="P66" i="51"/>
  <c r="P67" i="51"/>
  <c r="P68" i="51"/>
  <c r="P69" i="51"/>
  <c r="Y69" i="51" s="1"/>
  <c r="P70" i="51"/>
  <c r="Y70" i="51" s="1"/>
  <c r="P71" i="51"/>
  <c r="P72" i="51"/>
  <c r="P73" i="51"/>
  <c r="P74" i="51"/>
  <c r="P75" i="51"/>
  <c r="P76" i="51"/>
  <c r="P77" i="51"/>
  <c r="P78" i="51"/>
  <c r="P79" i="51"/>
  <c r="P80" i="51"/>
  <c r="P81" i="51"/>
  <c r="P82" i="51"/>
  <c r="P83" i="51"/>
  <c r="P84" i="51"/>
  <c r="Y84" i="51" s="1"/>
  <c r="P85" i="51"/>
  <c r="Y85" i="51" s="1"/>
  <c r="P86" i="51"/>
  <c r="P87" i="51"/>
  <c r="P88" i="51"/>
  <c r="P89" i="51"/>
  <c r="P90" i="51"/>
  <c r="P91" i="51"/>
  <c r="P92" i="51"/>
  <c r="P93" i="51"/>
  <c r="P94" i="51"/>
  <c r="P95" i="51"/>
  <c r="P96" i="51"/>
  <c r="P97" i="51"/>
  <c r="P98" i="51"/>
  <c r="T98" i="51" s="1"/>
  <c r="P99" i="51"/>
  <c r="P100" i="51"/>
  <c r="P101" i="51"/>
  <c r="Y101" i="51" s="1"/>
  <c r="P102" i="51"/>
  <c r="Y102" i="51" s="1"/>
  <c r="P103" i="51"/>
  <c r="P104" i="51"/>
  <c r="P105" i="51"/>
  <c r="P106" i="51"/>
  <c r="P107" i="51"/>
  <c r="P108" i="51"/>
  <c r="P109" i="51"/>
  <c r="P110" i="51"/>
  <c r="P111" i="51"/>
  <c r="P112" i="51"/>
  <c r="P113" i="51"/>
  <c r="P114" i="51"/>
  <c r="P115" i="51"/>
  <c r="P116" i="51"/>
  <c r="P117" i="51"/>
  <c r="P118" i="51"/>
  <c r="T118" i="51" s="1"/>
  <c r="P119" i="51"/>
  <c r="Y119" i="51" s="1"/>
  <c r="P120" i="51"/>
  <c r="Y120" i="51" s="1"/>
  <c r="P121" i="51"/>
  <c r="P122" i="51"/>
  <c r="P123" i="51"/>
  <c r="P124" i="51"/>
  <c r="P125" i="51"/>
  <c r="P126" i="51"/>
  <c r="P127" i="51"/>
  <c r="P128" i="51"/>
  <c r="T128" i="51" s="1"/>
  <c r="P129" i="51"/>
  <c r="P130" i="51"/>
  <c r="P131" i="51"/>
  <c r="P132" i="51"/>
  <c r="P133" i="51"/>
  <c r="P134" i="51"/>
  <c r="Y134" i="51" s="1"/>
  <c r="P135" i="51"/>
  <c r="Y135" i="51" s="1"/>
  <c r="P136" i="51"/>
  <c r="P137" i="51"/>
  <c r="P138" i="51"/>
  <c r="P139" i="51"/>
  <c r="P140" i="51"/>
  <c r="P141" i="51"/>
  <c r="P142" i="51"/>
  <c r="P143" i="51"/>
  <c r="P144" i="51"/>
  <c r="P145" i="51"/>
  <c r="P146" i="51"/>
  <c r="P147" i="51"/>
  <c r="T147" i="51" s="1"/>
  <c r="P148" i="51"/>
  <c r="P149" i="51"/>
  <c r="P150" i="51"/>
  <c r="P151" i="51"/>
  <c r="Y151" i="51" s="1"/>
  <c r="P152" i="51"/>
  <c r="Y152" i="51" s="1"/>
  <c r="P153" i="51"/>
  <c r="P154" i="51"/>
  <c r="P155" i="51"/>
  <c r="P156" i="51"/>
  <c r="P157" i="51"/>
  <c r="P158" i="51"/>
  <c r="P159" i="51"/>
  <c r="P160" i="51"/>
  <c r="P161" i="51"/>
  <c r="P162" i="51"/>
  <c r="P163" i="51"/>
  <c r="P164" i="51"/>
  <c r="P165" i="51"/>
  <c r="P166" i="51"/>
  <c r="P167" i="51"/>
  <c r="P168" i="51"/>
  <c r="P169" i="51"/>
  <c r="Y169" i="51" s="1"/>
  <c r="P170" i="51"/>
  <c r="Y170" i="51" s="1"/>
  <c r="P171" i="51"/>
  <c r="P172" i="51"/>
  <c r="P173" i="51"/>
  <c r="P174" i="51"/>
  <c r="P175" i="51"/>
  <c r="P176" i="51"/>
  <c r="P177" i="51"/>
  <c r="T177" i="51" s="1"/>
  <c r="P178" i="51"/>
  <c r="P179" i="51"/>
  <c r="P180" i="51"/>
  <c r="P181" i="51"/>
  <c r="P182" i="51"/>
  <c r="P183" i="51"/>
  <c r="P184" i="51"/>
  <c r="Y184" i="51" s="1"/>
  <c r="P185" i="51"/>
  <c r="Y185" i="51" s="1"/>
  <c r="P186" i="51"/>
  <c r="P187" i="51"/>
  <c r="P188" i="51"/>
  <c r="P189" i="51"/>
  <c r="P190" i="51"/>
  <c r="P191" i="51"/>
  <c r="P192" i="51"/>
  <c r="P193" i="51"/>
  <c r="P194" i="51"/>
  <c r="P195" i="51"/>
  <c r="P196" i="51"/>
  <c r="P197" i="51"/>
  <c r="P198" i="51"/>
  <c r="P199" i="51"/>
  <c r="P200" i="51"/>
  <c r="P201" i="51"/>
  <c r="Y201" i="51" s="1"/>
  <c r="P202" i="51"/>
  <c r="Y202" i="51" s="1"/>
  <c r="P203" i="51"/>
  <c r="P204" i="51"/>
  <c r="P205" i="51"/>
  <c r="P206" i="51"/>
  <c r="P207" i="51"/>
  <c r="P208" i="51"/>
  <c r="P209" i="51"/>
  <c r="P210" i="51"/>
  <c r="P211" i="51"/>
  <c r="P212" i="51"/>
  <c r="P213" i="51"/>
  <c r="P214" i="51"/>
  <c r="P215" i="51"/>
  <c r="P216" i="51"/>
  <c r="P217" i="51"/>
  <c r="P218" i="51"/>
  <c r="P219" i="51"/>
  <c r="Y219" i="51" s="1"/>
  <c r="P220" i="51"/>
  <c r="Y220" i="51" s="1"/>
  <c r="P221" i="51"/>
  <c r="P222" i="51"/>
  <c r="P223" i="51"/>
  <c r="P224" i="51"/>
  <c r="P225" i="51"/>
  <c r="P226" i="51"/>
  <c r="P227" i="51"/>
  <c r="P228" i="51"/>
  <c r="P229" i="51"/>
  <c r="P230" i="51"/>
  <c r="P231" i="51"/>
  <c r="P232" i="51"/>
  <c r="P233" i="51"/>
  <c r="P234" i="51"/>
  <c r="Y234" i="51" s="1"/>
  <c r="P235" i="51"/>
  <c r="Y235" i="51" s="1"/>
  <c r="P236" i="51"/>
  <c r="P237" i="51"/>
  <c r="P238" i="51"/>
  <c r="P239" i="51"/>
  <c r="P240" i="51"/>
  <c r="P241" i="51"/>
  <c r="P242" i="51"/>
  <c r="P243" i="51"/>
  <c r="P244" i="51"/>
  <c r="P245" i="51"/>
  <c r="P246" i="51"/>
  <c r="P247" i="51"/>
  <c r="P248" i="51"/>
  <c r="P249" i="51"/>
  <c r="P250" i="51"/>
  <c r="Y250" i="51" s="1"/>
  <c r="P251" i="51"/>
  <c r="Y251" i="51" s="1"/>
  <c r="P2" i="51"/>
  <c r="Y2" i="51" s="1"/>
  <c r="O3" i="51"/>
  <c r="O4" i="51"/>
  <c r="O5" i="51"/>
  <c r="O6" i="51"/>
  <c r="O7" i="51"/>
  <c r="O8" i="51"/>
  <c r="O9" i="51"/>
  <c r="O10" i="51"/>
  <c r="O11" i="51"/>
  <c r="O12" i="51"/>
  <c r="O13" i="51"/>
  <c r="O14" i="51"/>
  <c r="O15" i="51"/>
  <c r="O16" i="51"/>
  <c r="O17" i="51"/>
  <c r="O18" i="51"/>
  <c r="O19" i="51"/>
  <c r="Z19" i="51" s="1"/>
  <c r="O20" i="51"/>
  <c r="Z20" i="51" s="1"/>
  <c r="O21" i="51"/>
  <c r="O22" i="51"/>
  <c r="O23" i="51"/>
  <c r="O24" i="51"/>
  <c r="O25" i="51"/>
  <c r="O26" i="51"/>
  <c r="O27" i="51"/>
  <c r="O28" i="51"/>
  <c r="O29" i="51"/>
  <c r="O30" i="51"/>
  <c r="O31" i="51"/>
  <c r="O32" i="51"/>
  <c r="O33" i="51"/>
  <c r="O34" i="51"/>
  <c r="Z34" i="51" s="1"/>
  <c r="O35" i="51"/>
  <c r="Z35" i="51" s="1"/>
  <c r="O36" i="51"/>
  <c r="O37" i="51"/>
  <c r="O38" i="51"/>
  <c r="O39" i="51"/>
  <c r="O40" i="51"/>
  <c r="O41" i="51"/>
  <c r="O42" i="51"/>
  <c r="O43" i="51"/>
  <c r="O44" i="51"/>
  <c r="O45" i="51"/>
  <c r="O46" i="51"/>
  <c r="O47" i="51"/>
  <c r="O48" i="51"/>
  <c r="O49" i="51"/>
  <c r="O50" i="51"/>
  <c r="O51" i="51"/>
  <c r="Z51" i="51" s="1"/>
  <c r="O52" i="51"/>
  <c r="Z52" i="51" s="1"/>
  <c r="O53" i="51"/>
  <c r="O54" i="51"/>
  <c r="O55" i="51"/>
  <c r="O56" i="51"/>
  <c r="O57" i="51"/>
  <c r="O58" i="51"/>
  <c r="O59" i="51"/>
  <c r="O60" i="51"/>
  <c r="O61" i="51"/>
  <c r="O62" i="51"/>
  <c r="O63" i="51"/>
  <c r="O64" i="51"/>
  <c r="O65" i="51"/>
  <c r="O66" i="51"/>
  <c r="O67" i="51"/>
  <c r="O68" i="51"/>
  <c r="O69" i="51"/>
  <c r="Z69" i="51" s="1"/>
  <c r="O70" i="51"/>
  <c r="Z70" i="51" s="1"/>
  <c r="O71" i="51"/>
  <c r="O72" i="51"/>
  <c r="O73" i="51"/>
  <c r="O74" i="51"/>
  <c r="O75" i="51"/>
  <c r="O76" i="51"/>
  <c r="O77" i="51"/>
  <c r="O78" i="51"/>
  <c r="O79" i="51"/>
  <c r="O80" i="51"/>
  <c r="O81" i="51"/>
  <c r="O82" i="51"/>
  <c r="O83" i="51"/>
  <c r="O84" i="51"/>
  <c r="Z84" i="51" s="1"/>
  <c r="O85" i="51"/>
  <c r="Z85" i="51" s="1"/>
  <c r="O86" i="51"/>
  <c r="O87" i="51"/>
  <c r="O88" i="51"/>
  <c r="O89" i="51"/>
  <c r="O90" i="51"/>
  <c r="O91" i="51"/>
  <c r="O92" i="51"/>
  <c r="O93" i="51"/>
  <c r="O94" i="51"/>
  <c r="O95" i="51"/>
  <c r="O96" i="51"/>
  <c r="O97" i="51"/>
  <c r="O98" i="51"/>
  <c r="O99" i="51"/>
  <c r="O100" i="51"/>
  <c r="O101" i="51"/>
  <c r="Z101" i="51" s="1"/>
  <c r="O102" i="51"/>
  <c r="Z102" i="51" s="1"/>
  <c r="O103" i="51"/>
  <c r="O104" i="51"/>
  <c r="O105" i="51"/>
  <c r="O106" i="51"/>
  <c r="O107" i="51"/>
  <c r="O108" i="51"/>
  <c r="O109" i="51"/>
  <c r="O110" i="51"/>
  <c r="O111" i="51"/>
  <c r="O112" i="51"/>
  <c r="O113" i="51"/>
  <c r="O114" i="51"/>
  <c r="O115" i="51"/>
  <c r="O116" i="51"/>
  <c r="O117" i="51"/>
  <c r="O118" i="51"/>
  <c r="O119" i="51"/>
  <c r="Z119" i="51" s="1"/>
  <c r="O120" i="51"/>
  <c r="Z120" i="51" s="1"/>
  <c r="O121" i="51"/>
  <c r="O122" i="51"/>
  <c r="O123" i="51"/>
  <c r="O124" i="51"/>
  <c r="O125" i="51"/>
  <c r="O126" i="51"/>
  <c r="O127" i="51"/>
  <c r="O128" i="51"/>
  <c r="O129" i="51"/>
  <c r="O130" i="51"/>
  <c r="O131" i="51"/>
  <c r="O132" i="51"/>
  <c r="O133" i="51"/>
  <c r="O134" i="51"/>
  <c r="Z134" i="51" s="1"/>
  <c r="O135" i="51"/>
  <c r="Z135" i="51" s="1"/>
  <c r="O136" i="51"/>
  <c r="O137" i="51"/>
  <c r="O138" i="51"/>
  <c r="O139" i="51"/>
  <c r="O140" i="51"/>
  <c r="O141" i="51"/>
  <c r="O142" i="51"/>
  <c r="O143" i="51"/>
  <c r="O144" i="51"/>
  <c r="O145" i="51"/>
  <c r="O146" i="51"/>
  <c r="O147" i="51"/>
  <c r="O148" i="51"/>
  <c r="O149" i="51"/>
  <c r="O150" i="51"/>
  <c r="O151" i="51"/>
  <c r="Z151" i="51" s="1"/>
  <c r="O152" i="51"/>
  <c r="Z152" i="51" s="1"/>
  <c r="O153" i="51"/>
  <c r="O154" i="51"/>
  <c r="O155" i="51"/>
  <c r="O156" i="51"/>
  <c r="O157" i="51"/>
  <c r="O158" i="51"/>
  <c r="O159" i="51"/>
  <c r="O160" i="51"/>
  <c r="O161" i="51"/>
  <c r="O162" i="51"/>
  <c r="O163" i="51"/>
  <c r="O164" i="51"/>
  <c r="O165" i="51"/>
  <c r="O166" i="51"/>
  <c r="O167" i="51"/>
  <c r="O168" i="51"/>
  <c r="O169" i="51"/>
  <c r="Z169" i="51" s="1"/>
  <c r="O170" i="51"/>
  <c r="Z170" i="51" s="1"/>
  <c r="O171" i="51"/>
  <c r="O172" i="51"/>
  <c r="O173" i="51"/>
  <c r="O174" i="51"/>
  <c r="O175" i="51"/>
  <c r="O176" i="51"/>
  <c r="O177" i="51"/>
  <c r="O178" i="51"/>
  <c r="O179" i="51"/>
  <c r="O180" i="51"/>
  <c r="O181" i="51"/>
  <c r="O182" i="51"/>
  <c r="O183" i="51"/>
  <c r="O184" i="51"/>
  <c r="Z184" i="51" s="1"/>
  <c r="O185" i="51"/>
  <c r="Z185" i="51" s="1"/>
  <c r="O186" i="51"/>
  <c r="O187" i="51"/>
  <c r="O188" i="51"/>
  <c r="O189" i="51"/>
  <c r="O190" i="51"/>
  <c r="O191" i="51"/>
  <c r="O192" i="51"/>
  <c r="O193" i="51"/>
  <c r="O194" i="51"/>
  <c r="O195" i="51"/>
  <c r="O196" i="51"/>
  <c r="O197" i="51"/>
  <c r="O198" i="51"/>
  <c r="O199" i="51"/>
  <c r="O200" i="51"/>
  <c r="O201" i="51"/>
  <c r="Z201" i="51" s="1"/>
  <c r="O202" i="51"/>
  <c r="Z202" i="51" s="1"/>
  <c r="O203" i="51"/>
  <c r="O204" i="51"/>
  <c r="O205" i="51"/>
  <c r="O206" i="51"/>
  <c r="O207" i="51"/>
  <c r="O208" i="51"/>
  <c r="O209" i="51"/>
  <c r="O210" i="51"/>
  <c r="O211" i="51"/>
  <c r="O212" i="51"/>
  <c r="O213" i="51"/>
  <c r="O214" i="51"/>
  <c r="O215" i="51"/>
  <c r="O216" i="51"/>
  <c r="O217" i="51"/>
  <c r="O218" i="51"/>
  <c r="O219" i="51"/>
  <c r="Z219" i="51" s="1"/>
  <c r="O220" i="51"/>
  <c r="Z220" i="51" s="1"/>
  <c r="O221" i="51"/>
  <c r="O222" i="51"/>
  <c r="O223" i="51"/>
  <c r="O224" i="51"/>
  <c r="O225" i="51"/>
  <c r="O226" i="51"/>
  <c r="O227" i="51"/>
  <c r="O228" i="51"/>
  <c r="O229" i="51"/>
  <c r="O230" i="51"/>
  <c r="O231" i="51"/>
  <c r="O232" i="51"/>
  <c r="O233" i="51"/>
  <c r="O234" i="51"/>
  <c r="Z234" i="51" s="1"/>
  <c r="O235" i="51"/>
  <c r="Z235" i="51" s="1"/>
  <c r="O236" i="51"/>
  <c r="O237" i="51"/>
  <c r="O238" i="51"/>
  <c r="O239" i="51"/>
  <c r="O240" i="51"/>
  <c r="O241" i="51"/>
  <c r="O242" i="51"/>
  <c r="O243" i="51"/>
  <c r="O244" i="51"/>
  <c r="O245" i="51"/>
  <c r="O246" i="51"/>
  <c r="O247" i="51"/>
  <c r="O248" i="51"/>
  <c r="O249" i="51"/>
  <c r="O250" i="51"/>
  <c r="O251" i="51"/>
  <c r="Z251" i="51" s="1"/>
  <c r="O2" i="51"/>
  <c r="Z2" i="51" s="1"/>
  <c r="N4" i="51"/>
  <c r="N5" i="51"/>
  <c r="N6" i="51"/>
  <c r="N7" i="51"/>
  <c r="N8" i="51"/>
  <c r="N9" i="51"/>
  <c r="N10" i="51"/>
  <c r="N11" i="51"/>
  <c r="N12" i="51"/>
  <c r="N13" i="51"/>
  <c r="N14" i="51"/>
  <c r="N15" i="51"/>
  <c r="X15" i="51" s="1"/>
  <c r="N16" i="51"/>
  <c r="N17" i="51"/>
  <c r="N18" i="51"/>
  <c r="N19" i="51"/>
  <c r="X19" i="51" s="1"/>
  <c r="N20" i="51"/>
  <c r="X20" i="51" s="1"/>
  <c r="N21" i="51"/>
  <c r="N22" i="51"/>
  <c r="N23" i="51"/>
  <c r="N24" i="51"/>
  <c r="N25" i="51"/>
  <c r="N26" i="51"/>
  <c r="N27" i="51"/>
  <c r="N28" i="51"/>
  <c r="N29" i="51"/>
  <c r="N30" i="51"/>
  <c r="N31" i="51"/>
  <c r="N32" i="51"/>
  <c r="X32" i="51" s="1"/>
  <c r="N33" i="51"/>
  <c r="N34" i="51"/>
  <c r="X34" i="51" s="1"/>
  <c r="N35" i="51"/>
  <c r="X35" i="51" s="1"/>
  <c r="N36" i="51"/>
  <c r="N37" i="51"/>
  <c r="N38" i="51"/>
  <c r="N39" i="51"/>
  <c r="N40" i="51"/>
  <c r="N41" i="51"/>
  <c r="N42" i="51"/>
  <c r="N43" i="51"/>
  <c r="N44" i="51"/>
  <c r="N45" i="51"/>
  <c r="N46" i="51"/>
  <c r="N47" i="51"/>
  <c r="N48" i="51"/>
  <c r="N49" i="51"/>
  <c r="N50" i="51"/>
  <c r="X50" i="51" s="1"/>
  <c r="N51" i="51"/>
  <c r="X51" i="51" s="1"/>
  <c r="N52" i="51"/>
  <c r="X52" i="51" s="1"/>
  <c r="N53" i="51"/>
  <c r="N54" i="51"/>
  <c r="N55" i="51"/>
  <c r="N56" i="51"/>
  <c r="N57" i="51"/>
  <c r="N58" i="51"/>
  <c r="N59" i="51"/>
  <c r="N60" i="51"/>
  <c r="N61" i="51"/>
  <c r="N62" i="51"/>
  <c r="N63" i="51"/>
  <c r="N64" i="51"/>
  <c r="N65" i="51"/>
  <c r="X65" i="51" s="1"/>
  <c r="N66" i="51"/>
  <c r="N67" i="51"/>
  <c r="N68" i="51"/>
  <c r="N69" i="51"/>
  <c r="X69" i="51" s="1"/>
  <c r="N70" i="51"/>
  <c r="X70" i="51" s="1"/>
  <c r="N71" i="51"/>
  <c r="N72" i="51"/>
  <c r="N73" i="51"/>
  <c r="N74" i="51"/>
  <c r="N75" i="51"/>
  <c r="N76" i="51"/>
  <c r="N77" i="51"/>
  <c r="N78" i="51"/>
  <c r="N79" i="51"/>
  <c r="N80" i="51"/>
  <c r="N81" i="51"/>
  <c r="N82" i="51"/>
  <c r="X82" i="51" s="1"/>
  <c r="N83" i="51"/>
  <c r="N84" i="51"/>
  <c r="X84" i="51" s="1"/>
  <c r="N85" i="51"/>
  <c r="X85" i="51" s="1"/>
  <c r="N86" i="51"/>
  <c r="N87" i="51"/>
  <c r="N88" i="51"/>
  <c r="N89" i="51"/>
  <c r="N90" i="51"/>
  <c r="N91" i="51"/>
  <c r="N92" i="51"/>
  <c r="N93" i="51"/>
  <c r="N94" i="51"/>
  <c r="N95" i="51"/>
  <c r="N96" i="51"/>
  <c r="N97" i="51"/>
  <c r="N98" i="51"/>
  <c r="N99" i="51"/>
  <c r="N100" i="51"/>
  <c r="X100" i="51" s="1"/>
  <c r="N101" i="51"/>
  <c r="X101" i="51" s="1"/>
  <c r="N102" i="51"/>
  <c r="X102" i="51" s="1"/>
  <c r="N103" i="51"/>
  <c r="N104" i="51"/>
  <c r="N105" i="51"/>
  <c r="N106" i="51"/>
  <c r="N107" i="51"/>
  <c r="N108" i="51"/>
  <c r="N109" i="51"/>
  <c r="N110" i="51"/>
  <c r="N111" i="51"/>
  <c r="N112" i="51"/>
  <c r="N113" i="51"/>
  <c r="N114" i="51"/>
  <c r="N115" i="51"/>
  <c r="X115" i="51" s="1"/>
  <c r="N116" i="51"/>
  <c r="N117" i="51"/>
  <c r="N118" i="51"/>
  <c r="N119" i="51"/>
  <c r="X119" i="51" s="1"/>
  <c r="N120" i="51"/>
  <c r="X120" i="51" s="1"/>
  <c r="N121" i="51"/>
  <c r="N122" i="51"/>
  <c r="N123" i="51"/>
  <c r="N124" i="51"/>
  <c r="N125" i="51"/>
  <c r="N126" i="51"/>
  <c r="N127" i="51"/>
  <c r="N128" i="51"/>
  <c r="N129" i="51"/>
  <c r="N130" i="51"/>
  <c r="N131" i="51"/>
  <c r="N132" i="51"/>
  <c r="X132" i="51" s="1"/>
  <c r="N133" i="51"/>
  <c r="N134" i="51"/>
  <c r="X134" i="51" s="1"/>
  <c r="N135" i="51"/>
  <c r="X135" i="51" s="1"/>
  <c r="N136" i="51"/>
  <c r="N137" i="51"/>
  <c r="N138" i="51"/>
  <c r="N139" i="51"/>
  <c r="N140" i="51"/>
  <c r="N141" i="51"/>
  <c r="N142" i="51"/>
  <c r="N143" i="51"/>
  <c r="N144" i="51"/>
  <c r="N145" i="51"/>
  <c r="N146" i="51"/>
  <c r="N147" i="51"/>
  <c r="N148" i="51"/>
  <c r="N149" i="51"/>
  <c r="N150" i="51"/>
  <c r="X150" i="51" s="1"/>
  <c r="N151" i="51"/>
  <c r="X151" i="51" s="1"/>
  <c r="N152" i="51"/>
  <c r="X152" i="51" s="1"/>
  <c r="N153" i="51"/>
  <c r="N154" i="51"/>
  <c r="N155" i="51"/>
  <c r="N156" i="51"/>
  <c r="N157" i="51"/>
  <c r="N158" i="51"/>
  <c r="N159" i="51"/>
  <c r="N160" i="51"/>
  <c r="N161" i="51"/>
  <c r="N162" i="51"/>
  <c r="N163" i="51"/>
  <c r="N164" i="51"/>
  <c r="N165" i="51"/>
  <c r="X165" i="51" s="1"/>
  <c r="N166" i="51"/>
  <c r="N167" i="51"/>
  <c r="N168" i="51"/>
  <c r="N169" i="51"/>
  <c r="X169" i="51" s="1"/>
  <c r="N170" i="51"/>
  <c r="X170" i="51" s="1"/>
  <c r="N171" i="51"/>
  <c r="N172" i="51"/>
  <c r="N173" i="51"/>
  <c r="N174" i="51"/>
  <c r="N175" i="51"/>
  <c r="N176" i="51"/>
  <c r="N177" i="51"/>
  <c r="N178" i="51"/>
  <c r="N179" i="51"/>
  <c r="N180" i="51"/>
  <c r="N181" i="51"/>
  <c r="N182" i="51"/>
  <c r="X182" i="51" s="1"/>
  <c r="N183" i="51"/>
  <c r="N184" i="51"/>
  <c r="X184" i="51" s="1"/>
  <c r="N185" i="51"/>
  <c r="X185" i="51" s="1"/>
  <c r="N186" i="51"/>
  <c r="N187" i="51"/>
  <c r="N188" i="51"/>
  <c r="N189" i="51"/>
  <c r="N190" i="51"/>
  <c r="N191" i="51"/>
  <c r="N192" i="51"/>
  <c r="N193" i="51"/>
  <c r="N194" i="51"/>
  <c r="N195" i="51"/>
  <c r="N196" i="51"/>
  <c r="N197" i="51"/>
  <c r="N198" i="51"/>
  <c r="N199" i="51"/>
  <c r="N200" i="51"/>
  <c r="X200" i="51" s="1"/>
  <c r="N201" i="51"/>
  <c r="X201" i="51" s="1"/>
  <c r="N202" i="51"/>
  <c r="X202" i="51" s="1"/>
  <c r="N203" i="51"/>
  <c r="N204" i="51"/>
  <c r="N205" i="51"/>
  <c r="N206" i="51"/>
  <c r="N207" i="51"/>
  <c r="N208" i="51"/>
  <c r="N209" i="51"/>
  <c r="N210" i="51"/>
  <c r="N211" i="51"/>
  <c r="N212" i="51"/>
  <c r="N213" i="51"/>
  <c r="N214" i="51"/>
  <c r="N215" i="51"/>
  <c r="X215" i="51" s="1"/>
  <c r="N216" i="51"/>
  <c r="N217" i="51"/>
  <c r="N218" i="51"/>
  <c r="N219" i="51"/>
  <c r="X219" i="51" s="1"/>
  <c r="N220" i="51"/>
  <c r="X220" i="51" s="1"/>
  <c r="N221" i="51"/>
  <c r="N222" i="51"/>
  <c r="N223" i="51"/>
  <c r="N224" i="51"/>
  <c r="N225" i="51"/>
  <c r="N226" i="51"/>
  <c r="N227" i="51"/>
  <c r="N228" i="51"/>
  <c r="N229" i="51"/>
  <c r="N230" i="51"/>
  <c r="N231" i="51"/>
  <c r="N232" i="51"/>
  <c r="X232" i="51" s="1"/>
  <c r="N233" i="51"/>
  <c r="N234" i="51"/>
  <c r="X234" i="51" s="1"/>
  <c r="N235" i="51"/>
  <c r="X235" i="51" s="1"/>
  <c r="N236" i="51"/>
  <c r="N237" i="51"/>
  <c r="N238" i="51"/>
  <c r="N239" i="51"/>
  <c r="N240" i="51"/>
  <c r="N241" i="51"/>
  <c r="N242" i="51"/>
  <c r="N243" i="51"/>
  <c r="N244" i="51"/>
  <c r="N245" i="51"/>
  <c r="N246" i="51"/>
  <c r="N247" i="51"/>
  <c r="N248" i="51"/>
  <c r="N249" i="51"/>
  <c r="N250" i="51"/>
  <c r="X250" i="51" s="1"/>
  <c r="N251" i="51"/>
  <c r="X251" i="51" s="1"/>
  <c r="N2" i="51"/>
  <c r="X2" i="51" s="1"/>
  <c r="AD12" i="50"/>
  <c r="AD13" i="50"/>
  <c r="AD11" i="50"/>
  <c r="AD10" i="50"/>
  <c r="AC13" i="50"/>
  <c r="AC11" i="50"/>
  <c r="AC12" i="50"/>
  <c r="AC10" i="50"/>
  <c r="AA13" i="50"/>
  <c r="AA11" i="50"/>
  <c r="AA12" i="50"/>
  <c r="AA10" i="50"/>
  <c r="Z13" i="50"/>
  <c r="W14" i="50"/>
  <c r="S14" i="50"/>
  <c r="O3" i="49" a="1"/>
  <c r="O3" i="49" s="1"/>
  <c r="O4" i="49" a="1"/>
  <c r="O4" i="49"/>
  <c r="O5" i="49" a="1"/>
  <c r="O5" i="49" s="1"/>
  <c r="O6" i="49" a="1"/>
  <c r="O6" i="49" s="1"/>
  <c r="O7" i="49" a="1"/>
  <c r="O7" i="49" s="1"/>
  <c r="O8" i="49" a="1"/>
  <c r="O8" i="49" s="1"/>
  <c r="O9" i="49" a="1"/>
  <c r="O9" i="49"/>
  <c r="O10" i="49" a="1"/>
  <c r="O10" i="49" s="1"/>
  <c r="O11" i="49" a="1"/>
  <c r="O11" i="49" s="1"/>
  <c r="O12" i="49" a="1"/>
  <c r="O12" i="49" s="1"/>
  <c r="O13" i="49" a="1"/>
  <c r="O13" i="49" s="1"/>
  <c r="O14" i="49" a="1"/>
  <c r="O14" i="49"/>
  <c r="O15" i="49" a="1"/>
  <c r="O15" i="49" s="1"/>
  <c r="O16" i="49" a="1"/>
  <c r="O16" i="49" s="1"/>
  <c r="O17" i="49" a="1"/>
  <c r="O17" i="49" s="1"/>
  <c r="O18" i="49" a="1"/>
  <c r="O18" i="49" s="1"/>
  <c r="O19" i="49" a="1"/>
  <c r="O19" i="49"/>
  <c r="O20" i="49" a="1"/>
  <c r="O20" i="49" s="1"/>
  <c r="O21" i="49" a="1"/>
  <c r="O21" i="49" s="1"/>
  <c r="O22" i="49" a="1"/>
  <c r="O22" i="49" s="1"/>
  <c r="O23" i="49" a="1"/>
  <c r="O23" i="49" s="1"/>
  <c r="O24" i="49" a="1"/>
  <c r="O24" i="49"/>
  <c r="O25" i="49" a="1"/>
  <c r="O25" i="49" s="1"/>
  <c r="O26" i="49" a="1"/>
  <c r="O26" i="49" s="1"/>
  <c r="O27" i="49" a="1"/>
  <c r="O27" i="49" s="1"/>
  <c r="O28" i="49" a="1"/>
  <c r="O28" i="49" s="1"/>
  <c r="O29" i="49" a="1"/>
  <c r="O29" i="49"/>
  <c r="O30" i="49" a="1"/>
  <c r="O30" i="49" s="1"/>
  <c r="O31" i="49" a="1"/>
  <c r="O31" i="49" s="1"/>
  <c r="O32" i="49" a="1"/>
  <c r="O32" i="49" s="1"/>
  <c r="O33" i="49" a="1"/>
  <c r="O33" i="49" s="1"/>
  <c r="O34" i="49" a="1"/>
  <c r="O34" i="49"/>
  <c r="O35" i="49" a="1"/>
  <c r="O35" i="49" s="1"/>
  <c r="O36" i="49" a="1"/>
  <c r="O36" i="49" s="1"/>
  <c r="O37" i="49" a="1"/>
  <c r="O37" i="49" s="1"/>
  <c r="O38" i="49" a="1"/>
  <c r="O38" i="49" s="1"/>
  <c r="O39" i="49" a="1"/>
  <c r="O39" i="49"/>
  <c r="O40" i="49" a="1"/>
  <c r="O40" i="49" s="1"/>
  <c r="O41" i="49" a="1"/>
  <c r="O41" i="49" s="1"/>
  <c r="O42" i="49" a="1"/>
  <c r="O42" i="49" s="1"/>
  <c r="O43" i="49" a="1"/>
  <c r="O43" i="49" s="1"/>
  <c r="O44" i="49" a="1"/>
  <c r="O44" i="49"/>
  <c r="O45" i="49" a="1"/>
  <c r="O45" i="49" s="1"/>
  <c r="O46" i="49" a="1"/>
  <c r="O46" i="49" s="1"/>
  <c r="O47" i="49" a="1"/>
  <c r="O47" i="49" s="1"/>
  <c r="O48" i="49" a="1"/>
  <c r="O48" i="49" s="1"/>
  <c r="O49" i="49" a="1"/>
  <c r="O49" i="49"/>
  <c r="O50" i="49" a="1"/>
  <c r="O50" i="49" s="1"/>
  <c r="O51" i="49" a="1"/>
  <c r="O51" i="49" s="1"/>
  <c r="O52" i="49" a="1"/>
  <c r="O52" i="49" s="1"/>
  <c r="O53" i="49" a="1"/>
  <c r="O53" i="49" s="1"/>
  <c r="O54" i="49" a="1"/>
  <c r="O54" i="49"/>
  <c r="O55" i="49" a="1"/>
  <c r="O55" i="49" s="1"/>
  <c r="O56" i="49" a="1"/>
  <c r="O56" i="49" s="1"/>
  <c r="O57" i="49" a="1"/>
  <c r="O57" i="49" s="1"/>
  <c r="O58" i="49" a="1"/>
  <c r="O58" i="49" s="1"/>
  <c r="O59" i="49" a="1"/>
  <c r="O59" i="49"/>
  <c r="O60" i="49" a="1"/>
  <c r="O60" i="49" s="1"/>
  <c r="O61" i="49" a="1"/>
  <c r="O61" i="49" s="1"/>
  <c r="O62" i="49" a="1"/>
  <c r="O62" i="49" s="1"/>
  <c r="O63" i="49" a="1"/>
  <c r="O63" i="49" s="1"/>
  <c r="O64" i="49" a="1"/>
  <c r="O64" i="49" s="1"/>
  <c r="O65" i="49" a="1"/>
  <c r="O65" i="49" s="1"/>
  <c r="O66" i="49" a="1"/>
  <c r="O66" i="49" s="1"/>
  <c r="O67" i="49" a="1"/>
  <c r="O67" i="49" s="1"/>
  <c r="O68" i="49" a="1"/>
  <c r="O68" i="49" s="1"/>
  <c r="O69" i="49" a="1"/>
  <c r="O69" i="49" s="1"/>
  <c r="O70" i="49" a="1"/>
  <c r="O70" i="49" s="1"/>
  <c r="O71" i="49" a="1"/>
  <c r="O71" i="49" s="1"/>
  <c r="O72" i="49" a="1"/>
  <c r="O72" i="49" s="1"/>
  <c r="O73" i="49" a="1"/>
  <c r="O73" i="49" s="1"/>
  <c r="O74" i="49" a="1"/>
  <c r="O74" i="49" s="1"/>
  <c r="O75" i="49" a="1"/>
  <c r="O75" i="49" s="1"/>
  <c r="O76" i="49" a="1"/>
  <c r="O76" i="49" s="1"/>
  <c r="O77" i="49" a="1"/>
  <c r="O77" i="49" s="1"/>
  <c r="O78" i="49" a="1"/>
  <c r="O78" i="49" s="1"/>
  <c r="O79" i="49" a="1"/>
  <c r="O79" i="49" s="1"/>
  <c r="O80" i="49" a="1"/>
  <c r="O80" i="49" s="1"/>
  <c r="O81" i="49" a="1"/>
  <c r="O81" i="49" s="1"/>
  <c r="O82" i="49" a="1"/>
  <c r="O82" i="49" s="1"/>
  <c r="O83" i="49" a="1"/>
  <c r="O83" i="49" s="1"/>
  <c r="O84" i="49" a="1"/>
  <c r="O84" i="49" s="1"/>
  <c r="O85" i="49" a="1"/>
  <c r="O85" i="49" s="1"/>
  <c r="O86" i="49" a="1"/>
  <c r="O86" i="49" s="1"/>
  <c r="O87" i="49" a="1"/>
  <c r="O87" i="49" s="1"/>
  <c r="O88" i="49" a="1"/>
  <c r="O88" i="49" s="1"/>
  <c r="O89" i="49" a="1"/>
  <c r="O89" i="49" s="1"/>
  <c r="O90" i="49" a="1"/>
  <c r="O90" i="49" s="1"/>
  <c r="O91" i="49" a="1"/>
  <c r="O91" i="49" s="1"/>
  <c r="O92" i="49" a="1"/>
  <c r="O92" i="49" s="1"/>
  <c r="O93" i="49" a="1"/>
  <c r="O93" i="49" s="1"/>
  <c r="O94" i="49" a="1"/>
  <c r="O94" i="49" s="1"/>
  <c r="O95" i="49" a="1"/>
  <c r="O95" i="49" s="1"/>
  <c r="O96" i="49" a="1"/>
  <c r="O96" i="49" s="1"/>
  <c r="O97" i="49" a="1"/>
  <c r="O97" i="49" s="1"/>
  <c r="O98" i="49" a="1"/>
  <c r="O98" i="49" s="1"/>
  <c r="O99" i="49" a="1"/>
  <c r="O99" i="49" s="1"/>
  <c r="O100" i="49" a="1"/>
  <c r="O100" i="49" s="1"/>
  <c r="O101" i="49" a="1"/>
  <c r="O101" i="49" s="1"/>
  <c r="O102" i="49" a="1"/>
  <c r="O102" i="49" s="1"/>
  <c r="O103" i="49" a="1"/>
  <c r="O103" i="49" s="1"/>
  <c r="O104" i="49" a="1"/>
  <c r="O104" i="49" s="1"/>
  <c r="O105" i="49" a="1"/>
  <c r="O105" i="49" s="1"/>
  <c r="O106" i="49" a="1"/>
  <c r="O106" i="49" s="1"/>
  <c r="O107" i="49" a="1"/>
  <c r="O107" i="49" s="1"/>
  <c r="O108" i="49" a="1"/>
  <c r="O108" i="49" s="1"/>
  <c r="O109" i="49" a="1"/>
  <c r="O109" i="49" s="1"/>
  <c r="O110" i="49" a="1"/>
  <c r="O110" i="49" s="1"/>
  <c r="O111" i="49" a="1"/>
  <c r="O111" i="49" s="1"/>
  <c r="O112" i="49" a="1"/>
  <c r="O112" i="49" s="1"/>
  <c r="O113" i="49" a="1"/>
  <c r="O113" i="49" s="1"/>
  <c r="O114" i="49" a="1"/>
  <c r="O114" i="49" s="1"/>
  <c r="O115" i="49" a="1"/>
  <c r="O115" i="49" s="1"/>
  <c r="O116" i="49" a="1"/>
  <c r="O116" i="49" s="1"/>
  <c r="O117" i="49" a="1"/>
  <c r="O117" i="49" s="1"/>
  <c r="O118" i="49" a="1"/>
  <c r="O118" i="49" s="1"/>
  <c r="O119" i="49" a="1"/>
  <c r="O119" i="49" s="1"/>
  <c r="O120" i="49" a="1"/>
  <c r="O120" i="49" s="1"/>
  <c r="O121" i="49" a="1"/>
  <c r="O121" i="49" s="1"/>
  <c r="O122" i="49" a="1"/>
  <c r="O122" i="49" s="1"/>
  <c r="O123" i="49" a="1"/>
  <c r="O123" i="49" s="1"/>
  <c r="O124" i="49" a="1"/>
  <c r="O124" i="49" s="1"/>
  <c r="O125" i="49" a="1"/>
  <c r="O125" i="49" s="1"/>
  <c r="O126" i="49" a="1"/>
  <c r="O126" i="49" s="1"/>
  <c r="O127" i="49" a="1"/>
  <c r="O127" i="49" s="1"/>
  <c r="O128" i="49" a="1"/>
  <c r="O128" i="49" s="1"/>
  <c r="O129" i="49" a="1"/>
  <c r="O129" i="49" s="1"/>
  <c r="O130" i="49" a="1"/>
  <c r="O130" i="49" s="1"/>
  <c r="O131" i="49" a="1"/>
  <c r="O131" i="49" s="1"/>
  <c r="O132" i="49" a="1"/>
  <c r="O132" i="49" s="1"/>
  <c r="O133" i="49" a="1"/>
  <c r="O133" i="49" s="1"/>
  <c r="O134" i="49" a="1"/>
  <c r="O134" i="49" s="1"/>
  <c r="O135" i="49" a="1"/>
  <c r="O135" i="49" s="1"/>
  <c r="O136" i="49" a="1"/>
  <c r="O136" i="49" s="1"/>
  <c r="O137" i="49" a="1"/>
  <c r="O137" i="49" s="1"/>
  <c r="O138" i="49" a="1"/>
  <c r="O138" i="49" s="1"/>
  <c r="O139" i="49" a="1"/>
  <c r="O139" i="49" s="1"/>
  <c r="O140" i="49" a="1"/>
  <c r="O140" i="49" s="1"/>
  <c r="O141" i="49" a="1"/>
  <c r="O141" i="49" s="1"/>
  <c r="O142" i="49" a="1"/>
  <c r="O142" i="49" s="1"/>
  <c r="O143" i="49" a="1"/>
  <c r="O143" i="49" s="1"/>
  <c r="O144" i="49" a="1"/>
  <c r="O144" i="49" s="1"/>
  <c r="O145" i="49" a="1"/>
  <c r="O145" i="49" s="1"/>
  <c r="O146" i="49" a="1"/>
  <c r="O146" i="49" s="1"/>
  <c r="O147" i="49" a="1"/>
  <c r="O147" i="49" s="1"/>
  <c r="O148" i="49" a="1"/>
  <c r="O148" i="49" s="1"/>
  <c r="O149" i="49" a="1"/>
  <c r="O149" i="49" s="1"/>
  <c r="O150" i="49" a="1"/>
  <c r="O150" i="49" s="1"/>
  <c r="O151" i="49" a="1"/>
  <c r="O151" i="49" s="1"/>
  <c r="O152" i="49" a="1"/>
  <c r="O152" i="49" s="1"/>
  <c r="O153" i="49" a="1"/>
  <c r="O153" i="49" s="1"/>
  <c r="O154" i="49" a="1"/>
  <c r="O154" i="49" s="1"/>
  <c r="O155" i="49" a="1"/>
  <c r="O155" i="49" s="1"/>
  <c r="O156" i="49" a="1"/>
  <c r="O156" i="49" s="1"/>
  <c r="O157" i="49" a="1"/>
  <c r="O157" i="49" s="1"/>
  <c r="O158" i="49" a="1"/>
  <c r="O158" i="49" s="1"/>
  <c r="O159" i="49" a="1"/>
  <c r="O159" i="49" s="1"/>
  <c r="O160" i="49" a="1"/>
  <c r="O160" i="49" s="1"/>
  <c r="O161" i="49" a="1"/>
  <c r="O161" i="49" s="1"/>
  <c r="O162" i="49" a="1"/>
  <c r="O162" i="49" s="1"/>
  <c r="O163" i="49" a="1"/>
  <c r="O163" i="49" s="1"/>
  <c r="O164" i="49" a="1"/>
  <c r="O164" i="49" s="1"/>
  <c r="O165" i="49" a="1"/>
  <c r="O165" i="49" s="1"/>
  <c r="O166" i="49" a="1"/>
  <c r="O166" i="49" s="1"/>
  <c r="O167" i="49" a="1"/>
  <c r="O167" i="49" s="1"/>
  <c r="O168" i="49" a="1"/>
  <c r="O168" i="49" s="1"/>
  <c r="O169" i="49" a="1"/>
  <c r="O169" i="49" s="1"/>
  <c r="O170" i="49" a="1"/>
  <c r="O170" i="49" s="1"/>
  <c r="O171" i="49" a="1"/>
  <c r="O171" i="49" s="1"/>
  <c r="O172" i="49" a="1"/>
  <c r="O172" i="49" s="1"/>
  <c r="O173" i="49" a="1"/>
  <c r="O173" i="49" s="1"/>
  <c r="O174" i="49" a="1"/>
  <c r="O174" i="49" s="1"/>
  <c r="O175" i="49" a="1"/>
  <c r="O175" i="49" s="1"/>
  <c r="O176" i="49" a="1"/>
  <c r="O176" i="49" s="1"/>
  <c r="O177" i="49" a="1"/>
  <c r="O177" i="49" s="1"/>
  <c r="O178" i="49" a="1"/>
  <c r="O178" i="49" s="1"/>
  <c r="O179" i="49" a="1"/>
  <c r="O179" i="49" s="1"/>
  <c r="O180" i="49" a="1"/>
  <c r="O180" i="49" s="1"/>
  <c r="O181" i="49" a="1"/>
  <c r="O181" i="49" s="1"/>
  <c r="O182" i="49" a="1"/>
  <c r="O182" i="49" s="1"/>
  <c r="O183" i="49" a="1"/>
  <c r="O183" i="49" s="1"/>
  <c r="O184" i="49" a="1"/>
  <c r="O184" i="49" s="1"/>
  <c r="O185" i="49" a="1"/>
  <c r="O185" i="49" s="1"/>
  <c r="O186" i="49" a="1"/>
  <c r="O186" i="49" s="1"/>
  <c r="O187" i="49" a="1"/>
  <c r="O187" i="49" s="1"/>
  <c r="O188" i="49" a="1"/>
  <c r="O188" i="49" s="1"/>
  <c r="O189" i="49" a="1"/>
  <c r="O189" i="49" s="1"/>
  <c r="O190" i="49" a="1"/>
  <c r="O190" i="49" s="1"/>
  <c r="O191" i="49" a="1"/>
  <c r="O191" i="49" s="1"/>
  <c r="O192" i="49" a="1"/>
  <c r="O192" i="49" s="1"/>
  <c r="O193" i="49" a="1"/>
  <c r="O193" i="49" s="1"/>
  <c r="O194" i="49" a="1"/>
  <c r="O194" i="49" s="1"/>
  <c r="O195" i="49" a="1"/>
  <c r="O195" i="49" s="1"/>
  <c r="O196" i="49" a="1"/>
  <c r="O196" i="49" s="1"/>
  <c r="O197" i="49" a="1"/>
  <c r="O197" i="49" s="1"/>
  <c r="O198" i="49" a="1"/>
  <c r="O198" i="49" s="1"/>
  <c r="O199" i="49" a="1"/>
  <c r="O199" i="49" s="1"/>
  <c r="O200" i="49" a="1"/>
  <c r="O200" i="49" s="1"/>
  <c r="O201" i="49" a="1"/>
  <c r="O201" i="49" s="1"/>
  <c r="O202" i="49" a="1"/>
  <c r="O202" i="49" s="1"/>
  <c r="O203" i="49" a="1"/>
  <c r="O203" i="49" s="1"/>
  <c r="O204" i="49" a="1"/>
  <c r="O204" i="49" s="1"/>
  <c r="O205" i="49" a="1"/>
  <c r="O205" i="49" s="1"/>
  <c r="O206" i="49" a="1"/>
  <c r="O206" i="49" s="1"/>
  <c r="O207" i="49" a="1"/>
  <c r="O207" i="49" s="1"/>
  <c r="O208" i="49" a="1"/>
  <c r="O208" i="49" s="1"/>
  <c r="O209" i="49" a="1"/>
  <c r="O209" i="49" s="1"/>
  <c r="O210" i="49" a="1"/>
  <c r="O210" i="49" s="1"/>
  <c r="O211" i="49" a="1"/>
  <c r="O211" i="49" s="1"/>
  <c r="O212" i="49" a="1"/>
  <c r="O212" i="49" s="1"/>
  <c r="O213" i="49" a="1"/>
  <c r="O213" i="49" s="1"/>
  <c r="O214" i="49" a="1"/>
  <c r="O214" i="49" s="1"/>
  <c r="O215" i="49" a="1"/>
  <c r="O215" i="49" s="1"/>
  <c r="O216" i="49" a="1"/>
  <c r="O216" i="49" s="1"/>
  <c r="O217" i="49" a="1"/>
  <c r="O217" i="49" s="1"/>
  <c r="O218" i="49" a="1"/>
  <c r="O218" i="49" s="1"/>
  <c r="O219" i="49" a="1"/>
  <c r="O219" i="49" s="1"/>
  <c r="O220" i="49" a="1"/>
  <c r="O220" i="49" s="1"/>
  <c r="O221" i="49" a="1"/>
  <c r="O221" i="49" s="1"/>
  <c r="O222" i="49" a="1"/>
  <c r="O222" i="49" s="1"/>
  <c r="O223" i="49" a="1"/>
  <c r="O223" i="49" s="1"/>
  <c r="O224" i="49" a="1"/>
  <c r="O224" i="49" s="1"/>
  <c r="O225" i="49" a="1"/>
  <c r="O225" i="49" s="1"/>
  <c r="O226" i="49" a="1"/>
  <c r="O226" i="49" s="1"/>
  <c r="O227" i="49" a="1"/>
  <c r="O227" i="49" s="1"/>
  <c r="O228" i="49" a="1"/>
  <c r="O228" i="49" s="1"/>
  <c r="O229" i="49" a="1"/>
  <c r="O229" i="49" s="1"/>
  <c r="O230" i="49" a="1"/>
  <c r="O230" i="49" s="1"/>
  <c r="O231" i="49" a="1"/>
  <c r="O231" i="49" s="1"/>
  <c r="O232" i="49" a="1"/>
  <c r="O232" i="49" s="1"/>
  <c r="O233" i="49" a="1"/>
  <c r="O233" i="49" s="1"/>
  <c r="O234" i="49" a="1"/>
  <c r="O234" i="49" s="1"/>
  <c r="O235" i="49" a="1"/>
  <c r="O235" i="49" s="1"/>
  <c r="O236" i="49" a="1"/>
  <c r="O236" i="49" s="1"/>
  <c r="O237" i="49" a="1"/>
  <c r="O237" i="49" s="1"/>
  <c r="O238" i="49" a="1"/>
  <c r="O238" i="49" s="1"/>
  <c r="O239" i="49" a="1"/>
  <c r="O239" i="49" s="1"/>
  <c r="O240" i="49" a="1"/>
  <c r="O240" i="49" s="1"/>
  <c r="O241" i="49" a="1"/>
  <c r="O241" i="49" s="1"/>
  <c r="O242" i="49" a="1"/>
  <c r="O242" i="49" s="1"/>
  <c r="O243" i="49" a="1"/>
  <c r="O243" i="49" s="1"/>
  <c r="O244" i="49" a="1"/>
  <c r="O244" i="49" s="1"/>
  <c r="O245" i="49" a="1"/>
  <c r="O245" i="49" s="1"/>
  <c r="O246" i="49" a="1"/>
  <c r="O246" i="49" s="1"/>
  <c r="O247" i="49" a="1"/>
  <c r="O247" i="49" s="1"/>
  <c r="O248" i="49" a="1"/>
  <c r="O248" i="49" s="1"/>
  <c r="O249" i="49" a="1"/>
  <c r="O249" i="49" s="1"/>
  <c r="O250" i="49" a="1"/>
  <c r="O250" i="49" s="1"/>
  <c r="O251" i="49" a="1"/>
  <c r="O251" i="49" s="1"/>
  <c r="O2" i="49" a="1"/>
  <c r="O2" i="49" s="1"/>
  <c r="Q4" i="49"/>
  <c r="Q3" i="49"/>
  <c r="Q2" i="49"/>
  <c r="AG13" i="49"/>
  <c r="AC13" i="49"/>
  <c r="V14" i="49"/>
  <c r="M28" i="45"/>
  <c r="K28" i="45"/>
  <c r="I28" i="45"/>
  <c r="D24" i="45"/>
  <c r="D25" i="45"/>
  <c r="F25" i="45" s="1"/>
  <c r="F29" i="45"/>
  <c r="F24" i="45"/>
  <c r="D29" i="45"/>
  <c r="B29" i="45"/>
  <c r="C29" i="45"/>
  <c r="E28" i="45" s="1"/>
  <c r="D26" i="45"/>
  <c r="F26" i="45" s="1"/>
  <c r="D27" i="45"/>
  <c r="F27" i="45" s="1"/>
  <c r="D28" i="45"/>
  <c r="F28" i="45" s="1"/>
  <c r="E4" i="45"/>
  <c r="I32" i="1"/>
  <c r="I31" i="1"/>
  <c r="H32" i="1"/>
  <c r="H31" i="1"/>
  <c r="G32" i="1"/>
  <c r="G31" i="1"/>
  <c r="F32" i="1"/>
  <c r="F31" i="1"/>
  <c r="E32" i="1"/>
  <c r="E31" i="1"/>
  <c r="D32" i="1"/>
  <c r="D31" i="1"/>
  <c r="C32" i="1"/>
  <c r="C31" i="1"/>
  <c r="I24" i="1"/>
  <c r="I23" i="1"/>
  <c r="H24" i="1"/>
  <c r="H23" i="1"/>
  <c r="G24" i="1"/>
  <c r="G23" i="1"/>
  <c r="F24" i="1"/>
  <c r="F23" i="1"/>
  <c r="E24" i="1"/>
  <c r="E23" i="1"/>
  <c r="D23" i="1"/>
  <c r="D24" i="1"/>
  <c r="C24" i="1"/>
  <c r="C23" i="1"/>
  <c r="D17" i="1"/>
  <c r="I30" i="1"/>
  <c r="I29" i="1"/>
  <c r="H30" i="1"/>
  <c r="H29" i="1"/>
  <c r="G30" i="1"/>
  <c r="G29" i="1"/>
  <c r="F30" i="1"/>
  <c r="F29" i="1"/>
  <c r="E30" i="1"/>
  <c r="E29" i="1"/>
  <c r="D30" i="1"/>
  <c r="D29" i="1"/>
  <c r="C30" i="1"/>
  <c r="C29" i="1"/>
  <c r="I28" i="1"/>
  <c r="I27" i="1"/>
  <c r="H28" i="1"/>
  <c r="H27" i="1"/>
  <c r="G28" i="1"/>
  <c r="G27" i="1"/>
  <c r="F28" i="1"/>
  <c r="F27" i="1"/>
  <c r="E28" i="1"/>
  <c r="E27" i="1"/>
  <c r="D28" i="1"/>
  <c r="D27" i="1"/>
  <c r="C28" i="1"/>
  <c r="C27" i="1"/>
  <c r="I26" i="1"/>
  <c r="I25" i="1"/>
  <c r="H26" i="1"/>
  <c r="H25" i="1"/>
  <c r="G26" i="1"/>
  <c r="G25" i="1"/>
  <c r="F26" i="1"/>
  <c r="F25" i="1"/>
  <c r="E26" i="1"/>
  <c r="E25" i="1"/>
  <c r="D26" i="1"/>
  <c r="D25" i="1"/>
  <c r="C26" i="1"/>
  <c r="C25" i="1"/>
  <c r="I22" i="1"/>
  <c r="I21" i="1"/>
  <c r="H22" i="1"/>
  <c r="H21" i="1"/>
  <c r="G22" i="1"/>
  <c r="G21" i="1"/>
  <c r="F22" i="1"/>
  <c r="F21" i="1"/>
  <c r="E22" i="1"/>
  <c r="E21" i="1"/>
  <c r="D22" i="1"/>
  <c r="D21" i="1"/>
  <c r="C22" i="1"/>
  <c r="C21" i="1"/>
  <c r="I20" i="1"/>
  <c r="I19" i="1"/>
  <c r="H20" i="1"/>
  <c r="H19" i="1"/>
  <c r="G20" i="1"/>
  <c r="G19" i="1"/>
  <c r="F20" i="1"/>
  <c r="F19" i="1"/>
  <c r="E20" i="1"/>
  <c r="E19" i="1"/>
  <c r="D20" i="1"/>
  <c r="D19" i="1"/>
  <c r="C20" i="1"/>
  <c r="C19" i="1"/>
  <c r="I18" i="1"/>
  <c r="I17" i="1"/>
  <c r="H18" i="1"/>
  <c r="H17" i="1"/>
  <c r="G18" i="1"/>
  <c r="G17" i="1"/>
  <c r="F18" i="1"/>
  <c r="F17" i="1"/>
  <c r="E18" i="1"/>
  <c r="E17" i="1"/>
  <c r="D18" i="1"/>
  <c r="C18" i="1"/>
  <c r="C17" i="1"/>
  <c r="E3" i="40"/>
  <c r="E4" i="40"/>
  <c r="E5" i="40"/>
  <c r="E6" i="40"/>
  <c r="E7" i="40"/>
  <c r="E8" i="40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32" i="40"/>
  <c r="E33" i="40"/>
  <c r="E34" i="40"/>
  <c r="E35" i="40"/>
  <c r="E36" i="40"/>
  <c r="E37" i="40"/>
  <c r="E38" i="40"/>
  <c r="E39" i="40"/>
  <c r="E40" i="40"/>
  <c r="E41" i="40"/>
  <c r="E42" i="40"/>
  <c r="E43" i="40"/>
  <c r="E44" i="40"/>
  <c r="E45" i="40"/>
  <c r="E46" i="40"/>
  <c r="E47" i="40"/>
  <c r="E48" i="40"/>
  <c r="E49" i="40"/>
  <c r="E50" i="40"/>
  <c r="E51" i="40"/>
  <c r="E52" i="40"/>
  <c r="E53" i="40"/>
  <c r="E54" i="40"/>
  <c r="E55" i="40"/>
  <c r="E56" i="40"/>
  <c r="E57" i="40"/>
  <c r="E58" i="40"/>
  <c r="E59" i="40"/>
  <c r="E60" i="40"/>
  <c r="E61" i="40"/>
  <c r="E62" i="40"/>
  <c r="E63" i="40"/>
  <c r="E64" i="40"/>
  <c r="E65" i="40"/>
  <c r="E6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96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E128" i="40"/>
  <c r="E129" i="40"/>
  <c r="E130" i="40"/>
  <c r="E131" i="40"/>
  <c r="E132" i="40"/>
  <c r="E133" i="40"/>
  <c r="E134" i="40"/>
  <c r="E135" i="40"/>
  <c r="E136" i="40"/>
  <c r="E137" i="40"/>
  <c r="E13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E153" i="40"/>
  <c r="E154" i="40"/>
  <c r="E155" i="40"/>
  <c r="E156" i="40"/>
  <c r="E157" i="40"/>
  <c r="E158" i="40"/>
  <c r="E159" i="40"/>
  <c r="E160" i="40"/>
  <c r="E161" i="40"/>
  <c r="E162" i="40"/>
  <c r="E163" i="40"/>
  <c r="E164" i="40"/>
  <c r="E165" i="40"/>
  <c r="E166" i="40"/>
  <c r="E167" i="40"/>
  <c r="E168" i="40"/>
  <c r="E169" i="40"/>
  <c r="E170" i="40"/>
  <c r="E171" i="40"/>
  <c r="E172" i="40"/>
  <c r="E173" i="40"/>
  <c r="E174" i="40"/>
  <c r="E175" i="40"/>
  <c r="E176" i="40"/>
  <c r="E177" i="40"/>
  <c r="E178" i="40"/>
  <c r="E179" i="40"/>
  <c r="E180" i="40"/>
  <c r="E181" i="40"/>
  <c r="E182" i="40"/>
  <c r="E183" i="40"/>
  <c r="E184" i="40"/>
  <c r="E185" i="40"/>
  <c r="E186" i="40"/>
  <c r="E187" i="40"/>
  <c r="E188" i="40"/>
  <c r="E189" i="40"/>
  <c r="E190" i="40"/>
  <c r="E191" i="40"/>
  <c r="E192" i="40"/>
  <c r="E193" i="40"/>
  <c r="E194" i="40"/>
  <c r="E195" i="40"/>
  <c r="E196" i="40"/>
  <c r="E197" i="40"/>
  <c r="E198" i="40"/>
  <c r="E199" i="40"/>
  <c r="E200" i="40"/>
  <c r="E201" i="40"/>
  <c r="E202" i="40"/>
  <c r="E203" i="40"/>
  <c r="E204" i="40"/>
  <c r="E205" i="40"/>
  <c r="E206" i="40"/>
  <c r="E207" i="40"/>
  <c r="E208" i="40"/>
  <c r="E209" i="40"/>
  <c r="E210" i="40"/>
  <c r="E211" i="40"/>
  <c r="E212" i="40"/>
  <c r="E213" i="40"/>
  <c r="E214" i="40"/>
  <c r="E215" i="40"/>
  <c r="E216" i="40"/>
  <c r="E217" i="40"/>
  <c r="E218" i="40"/>
  <c r="E219" i="40"/>
  <c r="E220" i="40"/>
  <c r="E221" i="40"/>
  <c r="E222" i="40"/>
  <c r="E223" i="40"/>
  <c r="E224" i="40"/>
  <c r="E225" i="40"/>
  <c r="E226" i="40"/>
  <c r="E227" i="40"/>
  <c r="E228" i="40"/>
  <c r="E229" i="40"/>
  <c r="E230" i="40"/>
  <c r="E231" i="40"/>
  <c r="E232" i="40"/>
  <c r="E233" i="40"/>
  <c r="E234" i="40"/>
  <c r="E235" i="40"/>
  <c r="E236" i="40"/>
  <c r="E237" i="40"/>
  <c r="E238" i="40"/>
  <c r="E239" i="40"/>
  <c r="E240" i="40"/>
  <c r="E241" i="40"/>
  <c r="E242" i="40"/>
  <c r="E243" i="40"/>
  <c r="E244" i="40"/>
  <c r="E245" i="40"/>
  <c r="E246" i="40"/>
  <c r="E247" i="40"/>
  <c r="E248" i="40"/>
  <c r="E249" i="40"/>
  <c r="E250" i="40"/>
  <c r="E251" i="40"/>
  <c r="E2" i="40"/>
  <c r="D3" i="40"/>
  <c r="D4" i="40"/>
  <c r="D5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41" i="40"/>
  <c r="D42" i="40"/>
  <c r="D43" i="40"/>
  <c r="D44" i="40"/>
  <c r="D45" i="40"/>
  <c r="D46" i="40"/>
  <c r="D47" i="40"/>
  <c r="D48" i="40"/>
  <c r="D49" i="40"/>
  <c r="D50" i="40"/>
  <c r="D51" i="40"/>
  <c r="D52" i="40"/>
  <c r="D53" i="40"/>
  <c r="D54" i="40"/>
  <c r="D55" i="40"/>
  <c r="D56" i="40"/>
  <c r="D57" i="40"/>
  <c r="D58" i="40"/>
  <c r="D59" i="40"/>
  <c r="D60" i="40"/>
  <c r="D61" i="40"/>
  <c r="D62" i="40"/>
  <c r="D63" i="40"/>
  <c r="D64" i="40"/>
  <c r="D65" i="40"/>
  <c r="D66" i="40"/>
  <c r="D67" i="40"/>
  <c r="D68" i="40"/>
  <c r="D69" i="40"/>
  <c r="D70" i="40"/>
  <c r="D71" i="40"/>
  <c r="D72" i="40"/>
  <c r="D73" i="40"/>
  <c r="D74" i="40"/>
  <c r="D75" i="40"/>
  <c r="D76" i="40"/>
  <c r="D77" i="40"/>
  <c r="D78" i="40"/>
  <c r="D79" i="40"/>
  <c r="D80" i="40"/>
  <c r="D81" i="40"/>
  <c r="D82" i="40"/>
  <c r="D83" i="40"/>
  <c r="D84" i="40"/>
  <c r="D85" i="40"/>
  <c r="D86" i="40"/>
  <c r="D87" i="40"/>
  <c r="D88" i="40"/>
  <c r="D89" i="40"/>
  <c r="D90" i="40"/>
  <c r="D91" i="40"/>
  <c r="D92" i="40"/>
  <c r="D93" i="40"/>
  <c r="D94" i="40"/>
  <c r="D95" i="40"/>
  <c r="D96" i="40"/>
  <c r="D97" i="40"/>
  <c r="D98" i="40"/>
  <c r="D99" i="40"/>
  <c r="D100" i="40"/>
  <c r="D101" i="40"/>
  <c r="D102" i="40"/>
  <c r="D103" i="40"/>
  <c r="D104" i="40"/>
  <c r="D105" i="40"/>
  <c r="D106" i="40"/>
  <c r="D107" i="40"/>
  <c r="D108" i="40"/>
  <c r="D109" i="40"/>
  <c r="D110" i="40"/>
  <c r="D111" i="40"/>
  <c r="D112" i="40"/>
  <c r="D113" i="40"/>
  <c r="D114" i="40"/>
  <c r="D115" i="40"/>
  <c r="D116" i="40"/>
  <c r="D117" i="40"/>
  <c r="D118" i="40"/>
  <c r="D119" i="40"/>
  <c r="D120" i="40"/>
  <c r="D121" i="40"/>
  <c r="D122" i="40"/>
  <c r="D123" i="40"/>
  <c r="D124" i="40"/>
  <c r="D125" i="40"/>
  <c r="D126" i="40"/>
  <c r="D127" i="40"/>
  <c r="D128" i="40"/>
  <c r="D129" i="40"/>
  <c r="D130" i="40"/>
  <c r="D131" i="40"/>
  <c r="D132" i="40"/>
  <c r="D133" i="40"/>
  <c r="D134" i="40"/>
  <c r="D135" i="40"/>
  <c r="D136" i="40"/>
  <c r="D137" i="40"/>
  <c r="D138" i="40"/>
  <c r="D139" i="40"/>
  <c r="D140" i="40"/>
  <c r="D141" i="40"/>
  <c r="D142" i="40"/>
  <c r="D143" i="40"/>
  <c r="D144" i="40"/>
  <c r="D145" i="40"/>
  <c r="D146" i="40"/>
  <c r="D147" i="40"/>
  <c r="D148" i="40"/>
  <c r="D149" i="40"/>
  <c r="D150" i="40"/>
  <c r="D151" i="40"/>
  <c r="D152" i="40"/>
  <c r="D153" i="40"/>
  <c r="D154" i="40"/>
  <c r="D155" i="40"/>
  <c r="D156" i="40"/>
  <c r="D157" i="40"/>
  <c r="D158" i="40"/>
  <c r="D159" i="40"/>
  <c r="D160" i="40"/>
  <c r="D161" i="40"/>
  <c r="D162" i="40"/>
  <c r="D163" i="40"/>
  <c r="D164" i="40"/>
  <c r="D165" i="40"/>
  <c r="D166" i="40"/>
  <c r="D167" i="40"/>
  <c r="D168" i="40"/>
  <c r="D169" i="40"/>
  <c r="D170" i="40"/>
  <c r="D171" i="40"/>
  <c r="D172" i="40"/>
  <c r="D173" i="40"/>
  <c r="D174" i="40"/>
  <c r="D175" i="40"/>
  <c r="D176" i="40"/>
  <c r="D177" i="40"/>
  <c r="D178" i="40"/>
  <c r="D179" i="40"/>
  <c r="D180" i="40"/>
  <c r="D181" i="40"/>
  <c r="D182" i="40"/>
  <c r="D183" i="40"/>
  <c r="D184" i="40"/>
  <c r="D185" i="40"/>
  <c r="D186" i="40"/>
  <c r="D187" i="40"/>
  <c r="D188" i="40"/>
  <c r="D189" i="40"/>
  <c r="D190" i="40"/>
  <c r="D191" i="40"/>
  <c r="D192" i="40"/>
  <c r="D193" i="40"/>
  <c r="D194" i="40"/>
  <c r="D195" i="40"/>
  <c r="D196" i="40"/>
  <c r="D197" i="40"/>
  <c r="D198" i="40"/>
  <c r="D199" i="40"/>
  <c r="D200" i="40"/>
  <c r="D201" i="40"/>
  <c r="D202" i="40"/>
  <c r="D203" i="40"/>
  <c r="D204" i="40"/>
  <c r="D205" i="40"/>
  <c r="D206" i="40"/>
  <c r="D207" i="40"/>
  <c r="D208" i="40"/>
  <c r="D209" i="40"/>
  <c r="D210" i="40"/>
  <c r="D211" i="40"/>
  <c r="D212" i="40"/>
  <c r="D213" i="40"/>
  <c r="D214" i="40"/>
  <c r="D215" i="40"/>
  <c r="D216" i="40"/>
  <c r="D217" i="40"/>
  <c r="D218" i="40"/>
  <c r="D219" i="40"/>
  <c r="D220" i="40"/>
  <c r="D221" i="40"/>
  <c r="D222" i="40"/>
  <c r="D223" i="40"/>
  <c r="D224" i="40"/>
  <c r="D225" i="40"/>
  <c r="D226" i="40"/>
  <c r="D227" i="40"/>
  <c r="D228" i="40"/>
  <c r="D229" i="40"/>
  <c r="D230" i="40"/>
  <c r="D231" i="40"/>
  <c r="D232" i="40"/>
  <c r="D233" i="40"/>
  <c r="D234" i="40"/>
  <c r="D235" i="40"/>
  <c r="D236" i="40"/>
  <c r="D237" i="40"/>
  <c r="D238" i="40"/>
  <c r="D239" i="40"/>
  <c r="D240" i="40"/>
  <c r="D241" i="40"/>
  <c r="D242" i="40"/>
  <c r="D243" i="40"/>
  <c r="D244" i="40"/>
  <c r="D245" i="40"/>
  <c r="D246" i="40"/>
  <c r="D247" i="40"/>
  <c r="D248" i="40"/>
  <c r="D249" i="40"/>
  <c r="D250" i="40"/>
  <c r="D251" i="40"/>
  <c r="D2" i="40"/>
  <c r="O2" i="13"/>
  <c r="N2" i="13"/>
  <c r="M2" i="13"/>
  <c r="J41" i="38"/>
  <c r="E25" i="26"/>
  <c r="E24" i="26"/>
  <c r="F21" i="26"/>
  <c r="F20" i="26"/>
  <c r="S13" i="26"/>
  <c r="G251" i="36"/>
  <c r="F251" i="36"/>
  <c r="E251" i="36"/>
  <c r="D251" i="36"/>
  <c r="G250" i="36"/>
  <c r="F250" i="36"/>
  <c r="E250" i="36"/>
  <c r="D250" i="36"/>
  <c r="G249" i="36"/>
  <c r="F249" i="36"/>
  <c r="E249" i="36"/>
  <c r="D249" i="36"/>
  <c r="G248" i="36"/>
  <c r="F248" i="36"/>
  <c r="E248" i="36"/>
  <c r="D248" i="36"/>
  <c r="G247" i="36"/>
  <c r="F247" i="36"/>
  <c r="E247" i="36"/>
  <c r="D247" i="36"/>
  <c r="G246" i="36"/>
  <c r="F246" i="36"/>
  <c r="E246" i="36"/>
  <c r="D246" i="36"/>
  <c r="G245" i="36"/>
  <c r="F245" i="36"/>
  <c r="E245" i="36"/>
  <c r="D245" i="36"/>
  <c r="G244" i="36"/>
  <c r="F244" i="36"/>
  <c r="E244" i="36"/>
  <c r="D244" i="36"/>
  <c r="G243" i="36"/>
  <c r="F243" i="36"/>
  <c r="E243" i="36"/>
  <c r="D243" i="36"/>
  <c r="G242" i="36"/>
  <c r="F242" i="36"/>
  <c r="E242" i="36"/>
  <c r="D242" i="36"/>
  <c r="G241" i="36"/>
  <c r="F241" i="36"/>
  <c r="E241" i="36"/>
  <c r="D241" i="36"/>
  <c r="G240" i="36"/>
  <c r="F240" i="36"/>
  <c r="E240" i="36"/>
  <c r="D240" i="36"/>
  <c r="G239" i="36"/>
  <c r="F239" i="36"/>
  <c r="E239" i="36"/>
  <c r="D239" i="36"/>
  <c r="G238" i="36"/>
  <c r="F238" i="36"/>
  <c r="E238" i="36"/>
  <c r="D238" i="36"/>
  <c r="G237" i="36"/>
  <c r="F237" i="36"/>
  <c r="E237" i="36"/>
  <c r="D237" i="36"/>
  <c r="G236" i="36"/>
  <c r="F236" i="36"/>
  <c r="E236" i="36"/>
  <c r="D236" i="36"/>
  <c r="G235" i="36"/>
  <c r="F235" i="36"/>
  <c r="E235" i="36"/>
  <c r="D235" i="36"/>
  <c r="G234" i="36"/>
  <c r="F234" i="36"/>
  <c r="E234" i="36"/>
  <c r="D234" i="36"/>
  <c r="G233" i="36"/>
  <c r="F233" i="36"/>
  <c r="E233" i="36"/>
  <c r="D233" i="36"/>
  <c r="G232" i="36"/>
  <c r="F232" i="36"/>
  <c r="E232" i="36"/>
  <c r="D232" i="36"/>
  <c r="G231" i="36"/>
  <c r="F231" i="36"/>
  <c r="E231" i="36"/>
  <c r="D231" i="36"/>
  <c r="G230" i="36"/>
  <c r="F230" i="36"/>
  <c r="E230" i="36"/>
  <c r="D230" i="36"/>
  <c r="G229" i="36"/>
  <c r="F229" i="36"/>
  <c r="E229" i="36"/>
  <c r="D229" i="36"/>
  <c r="G228" i="36"/>
  <c r="F228" i="36"/>
  <c r="E228" i="36"/>
  <c r="D228" i="36"/>
  <c r="G227" i="36"/>
  <c r="F227" i="36"/>
  <c r="E227" i="36"/>
  <c r="D227" i="36"/>
  <c r="G226" i="36"/>
  <c r="F226" i="36"/>
  <c r="E226" i="36"/>
  <c r="D226" i="36"/>
  <c r="G225" i="36"/>
  <c r="F225" i="36"/>
  <c r="E225" i="36"/>
  <c r="D225" i="36"/>
  <c r="G224" i="36"/>
  <c r="F224" i="36"/>
  <c r="E224" i="36"/>
  <c r="D224" i="36"/>
  <c r="G223" i="36"/>
  <c r="F223" i="36"/>
  <c r="E223" i="36"/>
  <c r="D223" i="36"/>
  <c r="G222" i="36"/>
  <c r="F222" i="36"/>
  <c r="E222" i="36"/>
  <c r="D222" i="36"/>
  <c r="G221" i="36"/>
  <c r="F221" i="36"/>
  <c r="E221" i="36"/>
  <c r="D221" i="36"/>
  <c r="G220" i="36"/>
  <c r="F220" i="36"/>
  <c r="E220" i="36"/>
  <c r="D220" i="36"/>
  <c r="G219" i="36"/>
  <c r="F219" i="36"/>
  <c r="E219" i="36"/>
  <c r="D219" i="36"/>
  <c r="G218" i="36"/>
  <c r="F218" i="36"/>
  <c r="E218" i="36"/>
  <c r="D218" i="36"/>
  <c r="G217" i="36"/>
  <c r="F217" i="36"/>
  <c r="E217" i="36"/>
  <c r="D217" i="36"/>
  <c r="G216" i="36"/>
  <c r="F216" i="36"/>
  <c r="E216" i="36"/>
  <c r="D216" i="36"/>
  <c r="G215" i="36"/>
  <c r="F215" i="36"/>
  <c r="E215" i="36"/>
  <c r="D215" i="36"/>
  <c r="G214" i="36"/>
  <c r="F214" i="36"/>
  <c r="E214" i="36"/>
  <c r="D214" i="36"/>
  <c r="G213" i="36"/>
  <c r="F213" i="36"/>
  <c r="E213" i="36"/>
  <c r="D213" i="36"/>
  <c r="G212" i="36"/>
  <c r="F212" i="36"/>
  <c r="E212" i="36"/>
  <c r="D212" i="36"/>
  <c r="G211" i="36"/>
  <c r="F211" i="36"/>
  <c r="E211" i="36"/>
  <c r="D211" i="36"/>
  <c r="G210" i="36"/>
  <c r="F210" i="36"/>
  <c r="E210" i="36"/>
  <c r="D210" i="36"/>
  <c r="G209" i="36"/>
  <c r="F209" i="36"/>
  <c r="E209" i="36"/>
  <c r="D209" i="36"/>
  <c r="G208" i="36"/>
  <c r="F208" i="36"/>
  <c r="E208" i="36"/>
  <c r="D208" i="36"/>
  <c r="G207" i="36"/>
  <c r="F207" i="36"/>
  <c r="E207" i="36"/>
  <c r="D207" i="36"/>
  <c r="G206" i="36"/>
  <c r="F206" i="36"/>
  <c r="E206" i="36"/>
  <c r="D206" i="36"/>
  <c r="G205" i="36"/>
  <c r="F205" i="36"/>
  <c r="E205" i="36"/>
  <c r="D205" i="36"/>
  <c r="G204" i="36"/>
  <c r="F204" i="36"/>
  <c r="E204" i="36"/>
  <c r="D204" i="36"/>
  <c r="G203" i="36"/>
  <c r="F203" i="36"/>
  <c r="E203" i="36"/>
  <c r="D203" i="36"/>
  <c r="G202" i="36"/>
  <c r="F202" i="36"/>
  <c r="E202" i="36"/>
  <c r="D202" i="36"/>
  <c r="G201" i="36"/>
  <c r="F201" i="36"/>
  <c r="E201" i="36"/>
  <c r="D201" i="36"/>
  <c r="G200" i="36"/>
  <c r="F200" i="36"/>
  <c r="E200" i="36"/>
  <c r="D200" i="36"/>
  <c r="G199" i="36"/>
  <c r="F199" i="36"/>
  <c r="E199" i="36"/>
  <c r="D199" i="36"/>
  <c r="G198" i="36"/>
  <c r="F198" i="36"/>
  <c r="E198" i="36"/>
  <c r="D198" i="36"/>
  <c r="G197" i="36"/>
  <c r="F197" i="36"/>
  <c r="E197" i="36"/>
  <c r="D197" i="36"/>
  <c r="G196" i="36"/>
  <c r="F196" i="36"/>
  <c r="E196" i="36"/>
  <c r="D196" i="36"/>
  <c r="G195" i="36"/>
  <c r="F195" i="36"/>
  <c r="E195" i="36"/>
  <c r="D195" i="36"/>
  <c r="G194" i="36"/>
  <c r="F194" i="36"/>
  <c r="E194" i="36"/>
  <c r="D194" i="36"/>
  <c r="G193" i="36"/>
  <c r="F193" i="36"/>
  <c r="E193" i="36"/>
  <c r="D193" i="36"/>
  <c r="G192" i="36"/>
  <c r="F192" i="36"/>
  <c r="E192" i="36"/>
  <c r="D192" i="36"/>
  <c r="G191" i="36"/>
  <c r="F191" i="36"/>
  <c r="E191" i="36"/>
  <c r="D191" i="36"/>
  <c r="G190" i="36"/>
  <c r="F190" i="36"/>
  <c r="E190" i="36"/>
  <c r="D190" i="36"/>
  <c r="G189" i="36"/>
  <c r="F189" i="36"/>
  <c r="E189" i="36"/>
  <c r="D189" i="36"/>
  <c r="G188" i="36"/>
  <c r="F188" i="36"/>
  <c r="E188" i="36"/>
  <c r="D188" i="36"/>
  <c r="G187" i="36"/>
  <c r="F187" i="36"/>
  <c r="E187" i="36"/>
  <c r="D187" i="36"/>
  <c r="G186" i="36"/>
  <c r="F186" i="36"/>
  <c r="E186" i="36"/>
  <c r="D186" i="36"/>
  <c r="G185" i="36"/>
  <c r="F185" i="36"/>
  <c r="E185" i="36"/>
  <c r="D185" i="36"/>
  <c r="G184" i="36"/>
  <c r="F184" i="36"/>
  <c r="E184" i="36"/>
  <c r="D184" i="36"/>
  <c r="G183" i="36"/>
  <c r="F183" i="36"/>
  <c r="E183" i="36"/>
  <c r="D183" i="36"/>
  <c r="G182" i="36"/>
  <c r="F182" i="36"/>
  <c r="E182" i="36"/>
  <c r="D182" i="36"/>
  <c r="G181" i="36"/>
  <c r="F181" i="36"/>
  <c r="E181" i="36"/>
  <c r="D181" i="36"/>
  <c r="G180" i="36"/>
  <c r="F180" i="36"/>
  <c r="E180" i="36"/>
  <c r="D180" i="36"/>
  <c r="G179" i="36"/>
  <c r="F179" i="36"/>
  <c r="E179" i="36"/>
  <c r="D179" i="36"/>
  <c r="G178" i="36"/>
  <c r="F178" i="36"/>
  <c r="E178" i="36"/>
  <c r="D178" i="36"/>
  <c r="G177" i="36"/>
  <c r="F177" i="36"/>
  <c r="E177" i="36"/>
  <c r="D177" i="36"/>
  <c r="G176" i="36"/>
  <c r="F176" i="36"/>
  <c r="E176" i="36"/>
  <c r="D176" i="36"/>
  <c r="G175" i="36"/>
  <c r="F175" i="36"/>
  <c r="E175" i="36"/>
  <c r="D175" i="36"/>
  <c r="G174" i="36"/>
  <c r="F174" i="36"/>
  <c r="E174" i="36"/>
  <c r="D174" i="36"/>
  <c r="G173" i="36"/>
  <c r="F173" i="36"/>
  <c r="E173" i="36"/>
  <c r="D173" i="36"/>
  <c r="G172" i="36"/>
  <c r="F172" i="36"/>
  <c r="E172" i="36"/>
  <c r="D172" i="36"/>
  <c r="G171" i="36"/>
  <c r="F171" i="36"/>
  <c r="E171" i="36"/>
  <c r="D171" i="36"/>
  <c r="G170" i="36"/>
  <c r="F170" i="36"/>
  <c r="E170" i="36"/>
  <c r="D170" i="36"/>
  <c r="G169" i="36"/>
  <c r="F169" i="36"/>
  <c r="E169" i="36"/>
  <c r="D169" i="36"/>
  <c r="G168" i="36"/>
  <c r="F168" i="36"/>
  <c r="E168" i="36"/>
  <c r="D168" i="36"/>
  <c r="G167" i="36"/>
  <c r="F167" i="36"/>
  <c r="E167" i="36"/>
  <c r="D167" i="36"/>
  <c r="G166" i="36"/>
  <c r="F166" i="36"/>
  <c r="E166" i="36"/>
  <c r="D166" i="36"/>
  <c r="G165" i="36"/>
  <c r="F165" i="36"/>
  <c r="E165" i="36"/>
  <c r="D165" i="36"/>
  <c r="G164" i="36"/>
  <c r="F164" i="36"/>
  <c r="E164" i="36"/>
  <c r="D164" i="36"/>
  <c r="G163" i="36"/>
  <c r="F163" i="36"/>
  <c r="E163" i="36"/>
  <c r="D163" i="36"/>
  <c r="G162" i="36"/>
  <c r="F162" i="36"/>
  <c r="E162" i="36"/>
  <c r="D162" i="36"/>
  <c r="G161" i="36"/>
  <c r="F161" i="36"/>
  <c r="E161" i="36"/>
  <c r="D161" i="36"/>
  <c r="G160" i="36"/>
  <c r="F160" i="36"/>
  <c r="E160" i="36"/>
  <c r="D160" i="36"/>
  <c r="G159" i="36"/>
  <c r="F159" i="36"/>
  <c r="E159" i="36"/>
  <c r="D159" i="36"/>
  <c r="G158" i="36"/>
  <c r="F158" i="36"/>
  <c r="E158" i="36"/>
  <c r="D158" i="36"/>
  <c r="G157" i="36"/>
  <c r="F157" i="36"/>
  <c r="E157" i="36"/>
  <c r="D157" i="36"/>
  <c r="G156" i="36"/>
  <c r="F156" i="36"/>
  <c r="E156" i="36"/>
  <c r="D156" i="36"/>
  <c r="G155" i="36"/>
  <c r="F155" i="36"/>
  <c r="E155" i="36"/>
  <c r="D155" i="36"/>
  <c r="G154" i="36"/>
  <c r="F154" i="36"/>
  <c r="E154" i="36"/>
  <c r="D154" i="36"/>
  <c r="G153" i="36"/>
  <c r="F153" i="36"/>
  <c r="E153" i="36"/>
  <c r="D153" i="36"/>
  <c r="G152" i="36"/>
  <c r="F152" i="36"/>
  <c r="E152" i="36"/>
  <c r="D152" i="36"/>
  <c r="G151" i="36"/>
  <c r="F151" i="36"/>
  <c r="E151" i="36"/>
  <c r="D151" i="36"/>
  <c r="G150" i="36"/>
  <c r="F150" i="36"/>
  <c r="E150" i="36"/>
  <c r="D150" i="36"/>
  <c r="G149" i="36"/>
  <c r="F149" i="36"/>
  <c r="E149" i="36"/>
  <c r="D149" i="36"/>
  <c r="G148" i="36"/>
  <c r="F148" i="36"/>
  <c r="E148" i="36"/>
  <c r="D148" i="36"/>
  <c r="G147" i="36"/>
  <c r="F147" i="36"/>
  <c r="E147" i="36"/>
  <c r="D147" i="36"/>
  <c r="G146" i="36"/>
  <c r="F146" i="36"/>
  <c r="E146" i="36"/>
  <c r="D146" i="36"/>
  <c r="G145" i="36"/>
  <c r="F145" i="36"/>
  <c r="E145" i="36"/>
  <c r="D145" i="36"/>
  <c r="G144" i="36"/>
  <c r="F144" i="36"/>
  <c r="E144" i="36"/>
  <c r="D144" i="36"/>
  <c r="G143" i="36"/>
  <c r="F143" i="36"/>
  <c r="E143" i="36"/>
  <c r="D143" i="36"/>
  <c r="G142" i="36"/>
  <c r="F142" i="36"/>
  <c r="E142" i="36"/>
  <c r="D142" i="36"/>
  <c r="G141" i="36"/>
  <c r="F141" i="36"/>
  <c r="E141" i="36"/>
  <c r="D141" i="36"/>
  <c r="G140" i="36"/>
  <c r="F140" i="36"/>
  <c r="E140" i="36"/>
  <c r="D140" i="36"/>
  <c r="G139" i="36"/>
  <c r="F139" i="36"/>
  <c r="E139" i="36"/>
  <c r="D139" i="36"/>
  <c r="G138" i="36"/>
  <c r="F138" i="36"/>
  <c r="E138" i="36"/>
  <c r="D138" i="36"/>
  <c r="G137" i="36"/>
  <c r="F137" i="36"/>
  <c r="E137" i="36"/>
  <c r="D137" i="36"/>
  <c r="G136" i="36"/>
  <c r="F136" i="36"/>
  <c r="E136" i="36"/>
  <c r="D136" i="36"/>
  <c r="G135" i="36"/>
  <c r="F135" i="36"/>
  <c r="E135" i="36"/>
  <c r="D135" i="36"/>
  <c r="G134" i="36"/>
  <c r="F134" i="36"/>
  <c r="E134" i="36"/>
  <c r="D134" i="36"/>
  <c r="G133" i="36"/>
  <c r="F133" i="36"/>
  <c r="E133" i="36"/>
  <c r="D133" i="36"/>
  <c r="G132" i="36"/>
  <c r="F132" i="36"/>
  <c r="E132" i="36"/>
  <c r="D132" i="36"/>
  <c r="G131" i="36"/>
  <c r="F131" i="36"/>
  <c r="E131" i="36"/>
  <c r="D131" i="36"/>
  <c r="G130" i="36"/>
  <c r="F130" i="36"/>
  <c r="E130" i="36"/>
  <c r="D130" i="36"/>
  <c r="G129" i="36"/>
  <c r="F129" i="36"/>
  <c r="E129" i="36"/>
  <c r="D129" i="36"/>
  <c r="G128" i="36"/>
  <c r="F128" i="36"/>
  <c r="E128" i="36"/>
  <c r="D128" i="36"/>
  <c r="G127" i="36"/>
  <c r="F127" i="36"/>
  <c r="E127" i="36"/>
  <c r="D127" i="36"/>
  <c r="G126" i="36"/>
  <c r="F126" i="36"/>
  <c r="E126" i="36"/>
  <c r="D126" i="36"/>
  <c r="G125" i="36"/>
  <c r="F125" i="36"/>
  <c r="E125" i="36"/>
  <c r="D125" i="36"/>
  <c r="G124" i="36"/>
  <c r="F124" i="36"/>
  <c r="E124" i="36"/>
  <c r="D124" i="36"/>
  <c r="G123" i="36"/>
  <c r="F123" i="36"/>
  <c r="E123" i="36"/>
  <c r="D123" i="36"/>
  <c r="G122" i="36"/>
  <c r="F122" i="36"/>
  <c r="E122" i="36"/>
  <c r="D122" i="36"/>
  <c r="G121" i="36"/>
  <c r="F121" i="36"/>
  <c r="E121" i="36"/>
  <c r="D121" i="36"/>
  <c r="G120" i="36"/>
  <c r="F120" i="36"/>
  <c r="E120" i="36"/>
  <c r="D120" i="36"/>
  <c r="G119" i="36"/>
  <c r="F119" i="36"/>
  <c r="E119" i="36"/>
  <c r="D119" i="36"/>
  <c r="G118" i="36"/>
  <c r="F118" i="36"/>
  <c r="E118" i="36"/>
  <c r="D118" i="36"/>
  <c r="G117" i="36"/>
  <c r="F117" i="36"/>
  <c r="E117" i="36"/>
  <c r="D117" i="36"/>
  <c r="G116" i="36"/>
  <c r="F116" i="36"/>
  <c r="E116" i="36"/>
  <c r="D116" i="36"/>
  <c r="G115" i="36"/>
  <c r="F115" i="36"/>
  <c r="E115" i="36"/>
  <c r="D115" i="36"/>
  <c r="G114" i="36"/>
  <c r="F114" i="36"/>
  <c r="E114" i="36"/>
  <c r="D114" i="36"/>
  <c r="G113" i="36"/>
  <c r="F113" i="36"/>
  <c r="E113" i="36"/>
  <c r="D113" i="36"/>
  <c r="G112" i="36"/>
  <c r="F112" i="36"/>
  <c r="E112" i="36"/>
  <c r="D112" i="36"/>
  <c r="G111" i="36"/>
  <c r="F111" i="36"/>
  <c r="E111" i="36"/>
  <c r="D111" i="36"/>
  <c r="G110" i="36"/>
  <c r="F110" i="36"/>
  <c r="E110" i="36"/>
  <c r="D110" i="36"/>
  <c r="G109" i="36"/>
  <c r="F109" i="36"/>
  <c r="E109" i="36"/>
  <c r="D109" i="36"/>
  <c r="G108" i="36"/>
  <c r="F108" i="36"/>
  <c r="E108" i="36"/>
  <c r="D108" i="36"/>
  <c r="G107" i="36"/>
  <c r="F107" i="36"/>
  <c r="E107" i="36"/>
  <c r="D107" i="36"/>
  <c r="G106" i="36"/>
  <c r="F106" i="36"/>
  <c r="E106" i="36"/>
  <c r="D106" i="36"/>
  <c r="G105" i="36"/>
  <c r="F105" i="36"/>
  <c r="E105" i="36"/>
  <c r="D105" i="36"/>
  <c r="G104" i="36"/>
  <c r="F104" i="36"/>
  <c r="E104" i="36"/>
  <c r="D104" i="36"/>
  <c r="G103" i="36"/>
  <c r="F103" i="36"/>
  <c r="E103" i="36"/>
  <c r="D103" i="36"/>
  <c r="G102" i="36"/>
  <c r="F102" i="36"/>
  <c r="E102" i="36"/>
  <c r="D102" i="36"/>
  <c r="G101" i="36"/>
  <c r="F101" i="36"/>
  <c r="E101" i="36"/>
  <c r="D101" i="36"/>
  <c r="G100" i="36"/>
  <c r="F100" i="36"/>
  <c r="E100" i="36"/>
  <c r="D100" i="36"/>
  <c r="G99" i="36"/>
  <c r="F99" i="36"/>
  <c r="E99" i="36"/>
  <c r="D99" i="36"/>
  <c r="G98" i="36"/>
  <c r="F98" i="36"/>
  <c r="E98" i="36"/>
  <c r="D98" i="36"/>
  <c r="G97" i="36"/>
  <c r="F97" i="36"/>
  <c r="E97" i="36"/>
  <c r="D97" i="36"/>
  <c r="G96" i="36"/>
  <c r="F96" i="36"/>
  <c r="E96" i="36"/>
  <c r="D96" i="36"/>
  <c r="G95" i="36"/>
  <c r="F95" i="36"/>
  <c r="E95" i="36"/>
  <c r="D95" i="36"/>
  <c r="G94" i="36"/>
  <c r="F94" i="36"/>
  <c r="E94" i="36"/>
  <c r="D94" i="36"/>
  <c r="G93" i="36"/>
  <c r="F93" i="36"/>
  <c r="E93" i="36"/>
  <c r="D93" i="36"/>
  <c r="G92" i="36"/>
  <c r="F92" i="36"/>
  <c r="E92" i="36"/>
  <c r="D92" i="36"/>
  <c r="G91" i="36"/>
  <c r="F91" i="36"/>
  <c r="E91" i="36"/>
  <c r="D91" i="36"/>
  <c r="G90" i="36"/>
  <c r="F90" i="36"/>
  <c r="E90" i="36"/>
  <c r="D90" i="36"/>
  <c r="G89" i="36"/>
  <c r="F89" i="36"/>
  <c r="E89" i="36"/>
  <c r="D89" i="36"/>
  <c r="G88" i="36"/>
  <c r="F88" i="36"/>
  <c r="E88" i="36"/>
  <c r="D88" i="36"/>
  <c r="G87" i="36"/>
  <c r="F87" i="36"/>
  <c r="E87" i="36"/>
  <c r="D87" i="36"/>
  <c r="G86" i="36"/>
  <c r="F86" i="36"/>
  <c r="E86" i="36"/>
  <c r="D86" i="36"/>
  <c r="G85" i="36"/>
  <c r="F85" i="36"/>
  <c r="E85" i="36"/>
  <c r="D85" i="36"/>
  <c r="G84" i="36"/>
  <c r="F84" i="36"/>
  <c r="E84" i="36"/>
  <c r="D84" i="36"/>
  <c r="G83" i="36"/>
  <c r="F83" i="36"/>
  <c r="E83" i="36"/>
  <c r="D83" i="36"/>
  <c r="G82" i="36"/>
  <c r="F82" i="36"/>
  <c r="E82" i="36"/>
  <c r="D82" i="36"/>
  <c r="G81" i="36"/>
  <c r="F81" i="36"/>
  <c r="E81" i="36"/>
  <c r="D81" i="36"/>
  <c r="G80" i="36"/>
  <c r="F80" i="36"/>
  <c r="E80" i="36"/>
  <c r="D80" i="36"/>
  <c r="G79" i="36"/>
  <c r="F79" i="36"/>
  <c r="E79" i="36"/>
  <c r="D79" i="36"/>
  <c r="G78" i="36"/>
  <c r="F78" i="36"/>
  <c r="E78" i="36"/>
  <c r="D78" i="36"/>
  <c r="G77" i="36"/>
  <c r="F77" i="36"/>
  <c r="E77" i="36"/>
  <c r="D77" i="36"/>
  <c r="G76" i="36"/>
  <c r="F76" i="36"/>
  <c r="E76" i="36"/>
  <c r="D76" i="36"/>
  <c r="G75" i="36"/>
  <c r="F75" i="36"/>
  <c r="E75" i="36"/>
  <c r="D75" i="36"/>
  <c r="G74" i="36"/>
  <c r="F74" i="36"/>
  <c r="E74" i="36"/>
  <c r="D74" i="36"/>
  <c r="G73" i="36"/>
  <c r="F73" i="36"/>
  <c r="E73" i="36"/>
  <c r="D73" i="36"/>
  <c r="G72" i="36"/>
  <c r="F72" i="36"/>
  <c r="E72" i="36"/>
  <c r="D72" i="36"/>
  <c r="G71" i="36"/>
  <c r="F71" i="36"/>
  <c r="E71" i="36"/>
  <c r="D71" i="36"/>
  <c r="G70" i="36"/>
  <c r="F70" i="36"/>
  <c r="E70" i="36"/>
  <c r="D70" i="36"/>
  <c r="G69" i="36"/>
  <c r="F69" i="36"/>
  <c r="E69" i="36"/>
  <c r="D69" i="36"/>
  <c r="G68" i="36"/>
  <c r="F68" i="36"/>
  <c r="E68" i="36"/>
  <c r="D68" i="36"/>
  <c r="G67" i="36"/>
  <c r="F67" i="36"/>
  <c r="E67" i="36"/>
  <c r="D67" i="36"/>
  <c r="G66" i="36"/>
  <c r="F66" i="36"/>
  <c r="E66" i="36"/>
  <c r="D66" i="36"/>
  <c r="G65" i="36"/>
  <c r="F65" i="36"/>
  <c r="E65" i="36"/>
  <c r="D65" i="36"/>
  <c r="G64" i="36"/>
  <c r="F64" i="36"/>
  <c r="E64" i="36"/>
  <c r="D64" i="36"/>
  <c r="G63" i="36"/>
  <c r="F63" i="36"/>
  <c r="E63" i="36"/>
  <c r="D63" i="36"/>
  <c r="G62" i="36"/>
  <c r="F62" i="36"/>
  <c r="E62" i="36"/>
  <c r="D62" i="36"/>
  <c r="G61" i="36"/>
  <c r="F61" i="36"/>
  <c r="E61" i="36"/>
  <c r="D61" i="36"/>
  <c r="G60" i="36"/>
  <c r="F60" i="36"/>
  <c r="E60" i="36"/>
  <c r="D60" i="36"/>
  <c r="G59" i="36"/>
  <c r="F59" i="36"/>
  <c r="E59" i="36"/>
  <c r="D59" i="36"/>
  <c r="G58" i="36"/>
  <c r="F58" i="36"/>
  <c r="E58" i="36"/>
  <c r="D58" i="36"/>
  <c r="G57" i="36"/>
  <c r="F57" i="36"/>
  <c r="E57" i="36"/>
  <c r="D57" i="36"/>
  <c r="G56" i="36"/>
  <c r="F56" i="36"/>
  <c r="E56" i="36"/>
  <c r="D56" i="36"/>
  <c r="G55" i="36"/>
  <c r="F55" i="36"/>
  <c r="E55" i="36"/>
  <c r="D55" i="36"/>
  <c r="G54" i="36"/>
  <c r="F54" i="36"/>
  <c r="E54" i="36"/>
  <c r="D54" i="36"/>
  <c r="G53" i="36"/>
  <c r="F53" i="36"/>
  <c r="E53" i="36"/>
  <c r="D53" i="36"/>
  <c r="G52" i="36"/>
  <c r="F52" i="36"/>
  <c r="E52" i="36"/>
  <c r="D52" i="36"/>
  <c r="G51" i="36"/>
  <c r="F51" i="36"/>
  <c r="E51" i="36"/>
  <c r="D51" i="36"/>
  <c r="G50" i="36"/>
  <c r="F50" i="36"/>
  <c r="E50" i="36"/>
  <c r="D50" i="36"/>
  <c r="G49" i="36"/>
  <c r="F49" i="36"/>
  <c r="E49" i="36"/>
  <c r="D49" i="36"/>
  <c r="G48" i="36"/>
  <c r="F48" i="36"/>
  <c r="E48" i="36"/>
  <c r="D48" i="36"/>
  <c r="G47" i="36"/>
  <c r="F47" i="36"/>
  <c r="E47" i="36"/>
  <c r="D47" i="36"/>
  <c r="G46" i="36"/>
  <c r="F46" i="36"/>
  <c r="E46" i="36"/>
  <c r="D46" i="36"/>
  <c r="G45" i="36"/>
  <c r="F45" i="36"/>
  <c r="E45" i="36"/>
  <c r="D45" i="36"/>
  <c r="G44" i="36"/>
  <c r="F44" i="36"/>
  <c r="E44" i="36"/>
  <c r="D44" i="36"/>
  <c r="G43" i="36"/>
  <c r="F43" i="36"/>
  <c r="E43" i="36"/>
  <c r="D43" i="36"/>
  <c r="G42" i="36"/>
  <c r="F42" i="36"/>
  <c r="E42" i="36"/>
  <c r="D42" i="36"/>
  <c r="G41" i="36"/>
  <c r="F41" i="36"/>
  <c r="E41" i="36"/>
  <c r="D41" i="36"/>
  <c r="G40" i="36"/>
  <c r="F40" i="36"/>
  <c r="E40" i="36"/>
  <c r="D40" i="36"/>
  <c r="G39" i="36"/>
  <c r="F39" i="36"/>
  <c r="E39" i="36"/>
  <c r="D39" i="36"/>
  <c r="G38" i="36"/>
  <c r="F38" i="36"/>
  <c r="E38" i="36"/>
  <c r="D38" i="36"/>
  <c r="G37" i="36"/>
  <c r="F37" i="36"/>
  <c r="E37" i="36"/>
  <c r="D37" i="36"/>
  <c r="G36" i="36"/>
  <c r="F36" i="36"/>
  <c r="E36" i="36"/>
  <c r="D36" i="36"/>
  <c r="G35" i="36"/>
  <c r="F35" i="36"/>
  <c r="E35" i="36"/>
  <c r="D35" i="36"/>
  <c r="G34" i="36"/>
  <c r="F34" i="36"/>
  <c r="E34" i="36"/>
  <c r="D34" i="36"/>
  <c r="G33" i="36"/>
  <c r="F33" i="36"/>
  <c r="E33" i="36"/>
  <c r="D33" i="36"/>
  <c r="G32" i="36"/>
  <c r="F32" i="36"/>
  <c r="E32" i="36"/>
  <c r="D32" i="36"/>
  <c r="G31" i="36"/>
  <c r="F31" i="36"/>
  <c r="E31" i="36"/>
  <c r="D31" i="36"/>
  <c r="G30" i="36"/>
  <c r="F30" i="36"/>
  <c r="E30" i="36"/>
  <c r="D30" i="36"/>
  <c r="G29" i="36"/>
  <c r="F29" i="36"/>
  <c r="E29" i="36"/>
  <c r="D29" i="36"/>
  <c r="G28" i="36"/>
  <c r="F28" i="36"/>
  <c r="E28" i="36"/>
  <c r="D28" i="36"/>
  <c r="G27" i="36"/>
  <c r="F27" i="36"/>
  <c r="E27" i="36"/>
  <c r="D27" i="36"/>
  <c r="G26" i="36"/>
  <c r="F26" i="36"/>
  <c r="E26" i="36"/>
  <c r="D26" i="36"/>
  <c r="G25" i="36"/>
  <c r="F25" i="36"/>
  <c r="E25" i="36"/>
  <c r="D25" i="36"/>
  <c r="G24" i="36"/>
  <c r="F24" i="36"/>
  <c r="E24" i="36"/>
  <c r="D24" i="36"/>
  <c r="G23" i="36"/>
  <c r="F23" i="36"/>
  <c r="E23" i="36"/>
  <c r="D23" i="36"/>
  <c r="G22" i="36"/>
  <c r="F22" i="36"/>
  <c r="E22" i="36"/>
  <c r="D22" i="36"/>
  <c r="G21" i="36"/>
  <c r="F21" i="36"/>
  <c r="E21" i="36"/>
  <c r="D21" i="36"/>
  <c r="G20" i="36"/>
  <c r="F20" i="36"/>
  <c r="E20" i="36"/>
  <c r="D20" i="36"/>
  <c r="G19" i="36"/>
  <c r="F19" i="36"/>
  <c r="E19" i="36"/>
  <c r="D19" i="36"/>
  <c r="G18" i="36"/>
  <c r="F18" i="36"/>
  <c r="E18" i="36"/>
  <c r="D18" i="36"/>
  <c r="G17" i="36"/>
  <c r="F17" i="36"/>
  <c r="E17" i="36"/>
  <c r="D17" i="36"/>
  <c r="G16" i="36"/>
  <c r="F16" i="36"/>
  <c r="E16" i="36"/>
  <c r="D16" i="36"/>
  <c r="G15" i="36"/>
  <c r="F15" i="36"/>
  <c r="E15" i="36"/>
  <c r="D15" i="36"/>
  <c r="G14" i="36"/>
  <c r="F14" i="36"/>
  <c r="E14" i="36"/>
  <c r="D14" i="36"/>
  <c r="G13" i="36"/>
  <c r="F13" i="36"/>
  <c r="E13" i="36"/>
  <c r="D13" i="36"/>
  <c r="G12" i="36"/>
  <c r="F12" i="36"/>
  <c r="E12" i="36"/>
  <c r="D12" i="36"/>
  <c r="G11" i="36"/>
  <c r="F11" i="36"/>
  <c r="E11" i="36"/>
  <c r="D11" i="36"/>
  <c r="G10" i="36"/>
  <c r="F10" i="36"/>
  <c r="E10" i="36"/>
  <c r="D10" i="36"/>
  <c r="G9" i="36"/>
  <c r="F9" i="36"/>
  <c r="E9" i="36"/>
  <c r="D9" i="36"/>
  <c r="G8" i="36"/>
  <c r="F8" i="36"/>
  <c r="E8" i="36"/>
  <c r="D8" i="36"/>
  <c r="G7" i="36"/>
  <c r="F7" i="36"/>
  <c r="E7" i="36"/>
  <c r="D7" i="36"/>
  <c r="G6" i="36"/>
  <c r="F6" i="36"/>
  <c r="E6" i="36"/>
  <c r="D6" i="36"/>
  <c r="G5" i="36"/>
  <c r="F5" i="36"/>
  <c r="E5" i="36"/>
  <c r="D5" i="36"/>
  <c r="G4" i="36"/>
  <c r="F4" i="36"/>
  <c r="E4" i="36"/>
  <c r="D4" i="36"/>
  <c r="G3" i="36"/>
  <c r="F3" i="36"/>
  <c r="E3" i="36"/>
  <c r="D3" i="36"/>
  <c r="G2" i="36"/>
  <c r="F2" i="36"/>
  <c r="E2" i="36"/>
  <c r="D2" i="36"/>
  <c r="G251" i="35"/>
  <c r="F251" i="35"/>
  <c r="E251" i="35"/>
  <c r="D251" i="35"/>
  <c r="G250" i="35"/>
  <c r="F250" i="35"/>
  <c r="E250" i="35"/>
  <c r="D250" i="35"/>
  <c r="G249" i="35"/>
  <c r="F249" i="35"/>
  <c r="E249" i="35"/>
  <c r="D249" i="35"/>
  <c r="G248" i="35"/>
  <c r="F248" i="35"/>
  <c r="E248" i="35"/>
  <c r="D248" i="35"/>
  <c r="G247" i="35"/>
  <c r="F247" i="35"/>
  <c r="E247" i="35"/>
  <c r="D247" i="35"/>
  <c r="G246" i="35"/>
  <c r="F246" i="35"/>
  <c r="E246" i="35"/>
  <c r="D246" i="35"/>
  <c r="G245" i="35"/>
  <c r="F245" i="35"/>
  <c r="E245" i="35"/>
  <c r="D245" i="35"/>
  <c r="G244" i="35"/>
  <c r="F244" i="35"/>
  <c r="E244" i="35"/>
  <c r="D244" i="35"/>
  <c r="G243" i="35"/>
  <c r="F243" i="35"/>
  <c r="E243" i="35"/>
  <c r="D243" i="35"/>
  <c r="G242" i="35"/>
  <c r="F242" i="35"/>
  <c r="E242" i="35"/>
  <c r="D242" i="35"/>
  <c r="G241" i="35"/>
  <c r="F241" i="35"/>
  <c r="E241" i="35"/>
  <c r="D241" i="35"/>
  <c r="G240" i="35"/>
  <c r="F240" i="35"/>
  <c r="E240" i="35"/>
  <c r="D240" i="35"/>
  <c r="G239" i="35"/>
  <c r="F239" i="35"/>
  <c r="E239" i="35"/>
  <c r="D239" i="35"/>
  <c r="G238" i="35"/>
  <c r="F238" i="35"/>
  <c r="E238" i="35"/>
  <c r="D238" i="35"/>
  <c r="G237" i="35"/>
  <c r="F237" i="35"/>
  <c r="E237" i="35"/>
  <c r="D237" i="35"/>
  <c r="G236" i="35"/>
  <c r="F236" i="35"/>
  <c r="E236" i="35"/>
  <c r="D236" i="35"/>
  <c r="G235" i="35"/>
  <c r="F235" i="35"/>
  <c r="E235" i="35"/>
  <c r="D235" i="35"/>
  <c r="G234" i="35"/>
  <c r="F234" i="35"/>
  <c r="E234" i="35"/>
  <c r="D234" i="35"/>
  <c r="G233" i="35"/>
  <c r="F233" i="35"/>
  <c r="E233" i="35"/>
  <c r="D233" i="35"/>
  <c r="G232" i="35"/>
  <c r="F232" i="35"/>
  <c r="E232" i="35"/>
  <c r="D232" i="35"/>
  <c r="G231" i="35"/>
  <c r="F231" i="35"/>
  <c r="E231" i="35"/>
  <c r="D231" i="35"/>
  <c r="G230" i="35"/>
  <c r="F230" i="35"/>
  <c r="E230" i="35"/>
  <c r="D230" i="35"/>
  <c r="G229" i="35"/>
  <c r="F229" i="35"/>
  <c r="E229" i="35"/>
  <c r="D229" i="35"/>
  <c r="G228" i="35"/>
  <c r="F228" i="35"/>
  <c r="E228" i="35"/>
  <c r="D228" i="35"/>
  <c r="G227" i="35"/>
  <c r="F227" i="35"/>
  <c r="E227" i="35"/>
  <c r="D227" i="35"/>
  <c r="G226" i="35"/>
  <c r="F226" i="35"/>
  <c r="E226" i="35"/>
  <c r="D226" i="35"/>
  <c r="G225" i="35"/>
  <c r="F225" i="35"/>
  <c r="E225" i="35"/>
  <c r="D225" i="35"/>
  <c r="G224" i="35"/>
  <c r="F224" i="35"/>
  <c r="E224" i="35"/>
  <c r="D224" i="35"/>
  <c r="G223" i="35"/>
  <c r="F223" i="35"/>
  <c r="E223" i="35"/>
  <c r="D223" i="35"/>
  <c r="G222" i="35"/>
  <c r="F222" i="35"/>
  <c r="E222" i="35"/>
  <c r="D222" i="35"/>
  <c r="G221" i="35"/>
  <c r="F221" i="35"/>
  <c r="E221" i="35"/>
  <c r="D221" i="35"/>
  <c r="G220" i="35"/>
  <c r="F220" i="35"/>
  <c r="E220" i="35"/>
  <c r="D220" i="35"/>
  <c r="G219" i="35"/>
  <c r="F219" i="35"/>
  <c r="E219" i="35"/>
  <c r="D219" i="35"/>
  <c r="G218" i="35"/>
  <c r="F218" i="35"/>
  <c r="E218" i="35"/>
  <c r="D218" i="35"/>
  <c r="G217" i="35"/>
  <c r="F217" i="35"/>
  <c r="E217" i="35"/>
  <c r="D217" i="35"/>
  <c r="G216" i="35"/>
  <c r="F216" i="35"/>
  <c r="E216" i="35"/>
  <c r="D216" i="35"/>
  <c r="G215" i="35"/>
  <c r="F215" i="35"/>
  <c r="E215" i="35"/>
  <c r="D215" i="35"/>
  <c r="G214" i="35"/>
  <c r="F214" i="35"/>
  <c r="E214" i="35"/>
  <c r="D214" i="35"/>
  <c r="G213" i="35"/>
  <c r="F213" i="35"/>
  <c r="E213" i="35"/>
  <c r="D213" i="35"/>
  <c r="G212" i="35"/>
  <c r="F212" i="35"/>
  <c r="E212" i="35"/>
  <c r="D212" i="35"/>
  <c r="G211" i="35"/>
  <c r="F211" i="35"/>
  <c r="E211" i="35"/>
  <c r="D211" i="35"/>
  <c r="G210" i="35"/>
  <c r="F210" i="35"/>
  <c r="E210" i="35"/>
  <c r="D210" i="35"/>
  <c r="G209" i="35"/>
  <c r="F209" i="35"/>
  <c r="E209" i="35"/>
  <c r="D209" i="35"/>
  <c r="G208" i="35"/>
  <c r="F208" i="35"/>
  <c r="E208" i="35"/>
  <c r="D208" i="35"/>
  <c r="G207" i="35"/>
  <c r="F207" i="35"/>
  <c r="E207" i="35"/>
  <c r="D207" i="35"/>
  <c r="G206" i="35"/>
  <c r="F206" i="35"/>
  <c r="E206" i="35"/>
  <c r="D206" i="35"/>
  <c r="G205" i="35"/>
  <c r="F205" i="35"/>
  <c r="E205" i="35"/>
  <c r="D205" i="35"/>
  <c r="G204" i="35"/>
  <c r="F204" i="35"/>
  <c r="E204" i="35"/>
  <c r="D204" i="35"/>
  <c r="G203" i="35"/>
  <c r="F203" i="35"/>
  <c r="E203" i="35"/>
  <c r="D203" i="35"/>
  <c r="G202" i="35"/>
  <c r="F202" i="35"/>
  <c r="E202" i="35"/>
  <c r="D202" i="35"/>
  <c r="G201" i="35"/>
  <c r="F201" i="35"/>
  <c r="E201" i="35"/>
  <c r="D201" i="35"/>
  <c r="G200" i="35"/>
  <c r="F200" i="35"/>
  <c r="E200" i="35"/>
  <c r="D200" i="35"/>
  <c r="G199" i="35"/>
  <c r="F199" i="35"/>
  <c r="E199" i="35"/>
  <c r="D199" i="35"/>
  <c r="G198" i="35"/>
  <c r="F198" i="35"/>
  <c r="E198" i="35"/>
  <c r="D198" i="35"/>
  <c r="G197" i="35"/>
  <c r="F197" i="35"/>
  <c r="E197" i="35"/>
  <c r="D197" i="35"/>
  <c r="G196" i="35"/>
  <c r="F196" i="35"/>
  <c r="E196" i="35"/>
  <c r="D196" i="35"/>
  <c r="G195" i="35"/>
  <c r="F195" i="35"/>
  <c r="E195" i="35"/>
  <c r="D195" i="35"/>
  <c r="G194" i="35"/>
  <c r="F194" i="35"/>
  <c r="E194" i="35"/>
  <c r="D194" i="35"/>
  <c r="G193" i="35"/>
  <c r="F193" i="35"/>
  <c r="E193" i="35"/>
  <c r="D193" i="35"/>
  <c r="G192" i="35"/>
  <c r="F192" i="35"/>
  <c r="E192" i="35"/>
  <c r="D192" i="35"/>
  <c r="G191" i="35"/>
  <c r="F191" i="35"/>
  <c r="E191" i="35"/>
  <c r="D191" i="35"/>
  <c r="G190" i="35"/>
  <c r="F190" i="35"/>
  <c r="E190" i="35"/>
  <c r="D190" i="35"/>
  <c r="G189" i="35"/>
  <c r="F189" i="35"/>
  <c r="E189" i="35"/>
  <c r="D189" i="35"/>
  <c r="G188" i="35"/>
  <c r="F188" i="35"/>
  <c r="E188" i="35"/>
  <c r="D188" i="35"/>
  <c r="G187" i="35"/>
  <c r="F187" i="35"/>
  <c r="E187" i="35"/>
  <c r="D187" i="35"/>
  <c r="G186" i="35"/>
  <c r="F186" i="35"/>
  <c r="E186" i="35"/>
  <c r="D186" i="35"/>
  <c r="G185" i="35"/>
  <c r="F185" i="35"/>
  <c r="E185" i="35"/>
  <c r="D185" i="35"/>
  <c r="G184" i="35"/>
  <c r="F184" i="35"/>
  <c r="E184" i="35"/>
  <c r="D184" i="35"/>
  <c r="G183" i="35"/>
  <c r="F183" i="35"/>
  <c r="E183" i="35"/>
  <c r="D183" i="35"/>
  <c r="G182" i="35"/>
  <c r="F182" i="35"/>
  <c r="E182" i="35"/>
  <c r="D182" i="35"/>
  <c r="G181" i="35"/>
  <c r="F181" i="35"/>
  <c r="E181" i="35"/>
  <c r="D181" i="35"/>
  <c r="G180" i="35"/>
  <c r="F180" i="35"/>
  <c r="E180" i="35"/>
  <c r="D180" i="35"/>
  <c r="G179" i="35"/>
  <c r="F179" i="35"/>
  <c r="E179" i="35"/>
  <c r="D179" i="35"/>
  <c r="G178" i="35"/>
  <c r="F178" i="35"/>
  <c r="E178" i="35"/>
  <c r="D178" i="35"/>
  <c r="G177" i="35"/>
  <c r="F177" i="35"/>
  <c r="E177" i="35"/>
  <c r="D177" i="35"/>
  <c r="G176" i="35"/>
  <c r="F176" i="35"/>
  <c r="E176" i="35"/>
  <c r="D176" i="35"/>
  <c r="G175" i="35"/>
  <c r="F175" i="35"/>
  <c r="E175" i="35"/>
  <c r="D175" i="35"/>
  <c r="G174" i="35"/>
  <c r="F174" i="35"/>
  <c r="E174" i="35"/>
  <c r="D174" i="35"/>
  <c r="G173" i="35"/>
  <c r="F173" i="35"/>
  <c r="E173" i="35"/>
  <c r="D173" i="35"/>
  <c r="G172" i="35"/>
  <c r="F172" i="35"/>
  <c r="E172" i="35"/>
  <c r="D172" i="35"/>
  <c r="G171" i="35"/>
  <c r="F171" i="35"/>
  <c r="E171" i="35"/>
  <c r="D171" i="35"/>
  <c r="G170" i="35"/>
  <c r="F170" i="35"/>
  <c r="E170" i="35"/>
  <c r="D170" i="35"/>
  <c r="G169" i="35"/>
  <c r="F169" i="35"/>
  <c r="E169" i="35"/>
  <c r="D169" i="35"/>
  <c r="G168" i="35"/>
  <c r="F168" i="35"/>
  <c r="E168" i="35"/>
  <c r="D168" i="35"/>
  <c r="G167" i="35"/>
  <c r="F167" i="35"/>
  <c r="E167" i="35"/>
  <c r="D167" i="35"/>
  <c r="G166" i="35"/>
  <c r="F166" i="35"/>
  <c r="E166" i="35"/>
  <c r="D166" i="35"/>
  <c r="G165" i="35"/>
  <c r="F165" i="35"/>
  <c r="E165" i="35"/>
  <c r="D165" i="35"/>
  <c r="G164" i="35"/>
  <c r="F164" i="35"/>
  <c r="E164" i="35"/>
  <c r="D164" i="35"/>
  <c r="G163" i="35"/>
  <c r="F163" i="35"/>
  <c r="E163" i="35"/>
  <c r="D163" i="35"/>
  <c r="G162" i="35"/>
  <c r="F162" i="35"/>
  <c r="E162" i="35"/>
  <c r="D162" i="35"/>
  <c r="G161" i="35"/>
  <c r="F161" i="35"/>
  <c r="E161" i="35"/>
  <c r="D161" i="35"/>
  <c r="G160" i="35"/>
  <c r="F160" i="35"/>
  <c r="E160" i="35"/>
  <c r="D160" i="35"/>
  <c r="G159" i="35"/>
  <c r="F159" i="35"/>
  <c r="E159" i="35"/>
  <c r="D159" i="35"/>
  <c r="G158" i="35"/>
  <c r="F158" i="35"/>
  <c r="E158" i="35"/>
  <c r="D158" i="35"/>
  <c r="G157" i="35"/>
  <c r="F157" i="35"/>
  <c r="E157" i="35"/>
  <c r="D157" i="35"/>
  <c r="G156" i="35"/>
  <c r="F156" i="35"/>
  <c r="E156" i="35"/>
  <c r="D156" i="35"/>
  <c r="G155" i="35"/>
  <c r="F155" i="35"/>
  <c r="E155" i="35"/>
  <c r="D155" i="35"/>
  <c r="G154" i="35"/>
  <c r="F154" i="35"/>
  <c r="E154" i="35"/>
  <c r="D154" i="35"/>
  <c r="G153" i="35"/>
  <c r="F153" i="35"/>
  <c r="E153" i="35"/>
  <c r="D153" i="35"/>
  <c r="G152" i="35"/>
  <c r="F152" i="35"/>
  <c r="E152" i="35"/>
  <c r="D152" i="35"/>
  <c r="G151" i="35"/>
  <c r="F151" i="35"/>
  <c r="E151" i="35"/>
  <c r="D151" i="35"/>
  <c r="G150" i="35"/>
  <c r="F150" i="35"/>
  <c r="E150" i="35"/>
  <c r="D150" i="35"/>
  <c r="G149" i="35"/>
  <c r="F149" i="35"/>
  <c r="E149" i="35"/>
  <c r="D149" i="35"/>
  <c r="G148" i="35"/>
  <c r="F148" i="35"/>
  <c r="E148" i="35"/>
  <c r="D148" i="35"/>
  <c r="G147" i="35"/>
  <c r="F147" i="35"/>
  <c r="E147" i="35"/>
  <c r="D147" i="35"/>
  <c r="G146" i="35"/>
  <c r="F146" i="35"/>
  <c r="E146" i="35"/>
  <c r="D146" i="35"/>
  <c r="G145" i="35"/>
  <c r="F145" i="35"/>
  <c r="E145" i="35"/>
  <c r="D145" i="35"/>
  <c r="G144" i="35"/>
  <c r="F144" i="35"/>
  <c r="E144" i="35"/>
  <c r="D144" i="35"/>
  <c r="G143" i="35"/>
  <c r="F143" i="35"/>
  <c r="E143" i="35"/>
  <c r="D143" i="35"/>
  <c r="G142" i="35"/>
  <c r="F142" i="35"/>
  <c r="E142" i="35"/>
  <c r="D142" i="35"/>
  <c r="G141" i="35"/>
  <c r="F141" i="35"/>
  <c r="E141" i="35"/>
  <c r="D141" i="35"/>
  <c r="G140" i="35"/>
  <c r="F140" i="35"/>
  <c r="E140" i="35"/>
  <c r="D140" i="35"/>
  <c r="G139" i="35"/>
  <c r="F139" i="35"/>
  <c r="E139" i="35"/>
  <c r="D139" i="35"/>
  <c r="G138" i="35"/>
  <c r="F138" i="35"/>
  <c r="E138" i="35"/>
  <c r="D138" i="35"/>
  <c r="G137" i="35"/>
  <c r="F137" i="35"/>
  <c r="E137" i="35"/>
  <c r="D137" i="35"/>
  <c r="G136" i="35"/>
  <c r="F136" i="35"/>
  <c r="E136" i="35"/>
  <c r="D136" i="35"/>
  <c r="G135" i="35"/>
  <c r="F135" i="35"/>
  <c r="E135" i="35"/>
  <c r="D135" i="35"/>
  <c r="G134" i="35"/>
  <c r="F134" i="35"/>
  <c r="E134" i="35"/>
  <c r="D134" i="35"/>
  <c r="G133" i="35"/>
  <c r="F133" i="35"/>
  <c r="E133" i="35"/>
  <c r="D133" i="35"/>
  <c r="G132" i="35"/>
  <c r="F132" i="35"/>
  <c r="E132" i="35"/>
  <c r="D132" i="35"/>
  <c r="G131" i="35"/>
  <c r="F131" i="35"/>
  <c r="E131" i="35"/>
  <c r="D131" i="35"/>
  <c r="G130" i="35"/>
  <c r="F130" i="35"/>
  <c r="E130" i="35"/>
  <c r="D130" i="35"/>
  <c r="G129" i="35"/>
  <c r="F129" i="35"/>
  <c r="E129" i="35"/>
  <c r="D129" i="35"/>
  <c r="G128" i="35"/>
  <c r="F128" i="35"/>
  <c r="E128" i="35"/>
  <c r="D128" i="35"/>
  <c r="G127" i="35"/>
  <c r="F127" i="35"/>
  <c r="E127" i="35"/>
  <c r="D127" i="35"/>
  <c r="G126" i="35"/>
  <c r="F126" i="35"/>
  <c r="E126" i="35"/>
  <c r="D126" i="35"/>
  <c r="G125" i="35"/>
  <c r="F125" i="35"/>
  <c r="E125" i="35"/>
  <c r="D125" i="35"/>
  <c r="G124" i="35"/>
  <c r="F124" i="35"/>
  <c r="E124" i="35"/>
  <c r="D124" i="35"/>
  <c r="G123" i="35"/>
  <c r="F123" i="35"/>
  <c r="E123" i="35"/>
  <c r="D123" i="35"/>
  <c r="G122" i="35"/>
  <c r="F122" i="35"/>
  <c r="E122" i="35"/>
  <c r="D122" i="35"/>
  <c r="G121" i="35"/>
  <c r="F121" i="35"/>
  <c r="E121" i="35"/>
  <c r="D121" i="35"/>
  <c r="G120" i="35"/>
  <c r="F120" i="35"/>
  <c r="E120" i="35"/>
  <c r="D120" i="35"/>
  <c r="G119" i="35"/>
  <c r="F119" i="35"/>
  <c r="E119" i="35"/>
  <c r="D119" i="35"/>
  <c r="G118" i="35"/>
  <c r="F118" i="35"/>
  <c r="E118" i="35"/>
  <c r="D118" i="35"/>
  <c r="G117" i="35"/>
  <c r="F117" i="35"/>
  <c r="E117" i="35"/>
  <c r="D117" i="35"/>
  <c r="G116" i="35"/>
  <c r="F116" i="35"/>
  <c r="E116" i="35"/>
  <c r="D116" i="35"/>
  <c r="G115" i="35"/>
  <c r="F115" i="35"/>
  <c r="E115" i="35"/>
  <c r="D115" i="35"/>
  <c r="G114" i="35"/>
  <c r="F114" i="35"/>
  <c r="E114" i="35"/>
  <c r="D114" i="35"/>
  <c r="G113" i="35"/>
  <c r="F113" i="35"/>
  <c r="E113" i="35"/>
  <c r="D113" i="35"/>
  <c r="G112" i="35"/>
  <c r="F112" i="35"/>
  <c r="E112" i="35"/>
  <c r="D112" i="35"/>
  <c r="G111" i="35"/>
  <c r="F111" i="35"/>
  <c r="E111" i="35"/>
  <c r="D111" i="35"/>
  <c r="G110" i="35"/>
  <c r="F110" i="35"/>
  <c r="E110" i="35"/>
  <c r="D110" i="35"/>
  <c r="G109" i="35"/>
  <c r="F109" i="35"/>
  <c r="E109" i="35"/>
  <c r="D109" i="35"/>
  <c r="G108" i="35"/>
  <c r="F108" i="35"/>
  <c r="E108" i="35"/>
  <c r="D108" i="35"/>
  <c r="G107" i="35"/>
  <c r="F107" i="35"/>
  <c r="E107" i="35"/>
  <c r="D107" i="35"/>
  <c r="G106" i="35"/>
  <c r="F106" i="35"/>
  <c r="E106" i="35"/>
  <c r="D106" i="35"/>
  <c r="G105" i="35"/>
  <c r="F105" i="35"/>
  <c r="E105" i="35"/>
  <c r="D105" i="35"/>
  <c r="G104" i="35"/>
  <c r="F104" i="35"/>
  <c r="E104" i="35"/>
  <c r="D104" i="35"/>
  <c r="G103" i="35"/>
  <c r="F103" i="35"/>
  <c r="E103" i="35"/>
  <c r="D103" i="35"/>
  <c r="G102" i="35"/>
  <c r="F102" i="35"/>
  <c r="E102" i="35"/>
  <c r="D102" i="35"/>
  <c r="G101" i="35"/>
  <c r="F101" i="35"/>
  <c r="E101" i="35"/>
  <c r="D101" i="35"/>
  <c r="G100" i="35"/>
  <c r="F100" i="35"/>
  <c r="E100" i="35"/>
  <c r="D100" i="35"/>
  <c r="G99" i="35"/>
  <c r="F99" i="35"/>
  <c r="E99" i="35"/>
  <c r="D99" i="35"/>
  <c r="G98" i="35"/>
  <c r="F98" i="35"/>
  <c r="E98" i="35"/>
  <c r="D98" i="35"/>
  <c r="G97" i="35"/>
  <c r="F97" i="35"/>
  <c r="E97" i="35"/>
  <c r="D97" i="35"/>
  <c r="G96" i="35"/>
  <c r="F96" i="35"/>
  <c r="E96" i="35"/>
  <c r="D96" i="35"/>
  <c r="G95" i="35"/>
  <c r="F95" i="35"/>
  <c r="E95" i="35"/>
  <c r="D95" i="35"/>
  <c r="G94" i="35"/>
  <c r="F94" i="35"/>
  <c r="E94" i="35"/>
  <c r="D94" i="35"/>
  <c r="G93" i="35"/>
  <c r="F93" i="35"/>
  <c r="E93" i="35"/>
  <c r="D93" i="35"/>
  <c r="G92" i="35"/>
  <c r="F92" i="35"/>
  <c r="E92" i="35"/>
  <c r="D92" i="35"/>
  <c r="G91" i="35"/>
  <c r="F91" i="35"/>
  <c r="E91" i="35"/>
  <c r="D91" i="35"/>
  <c r="G90" i="35"/>
  <c r="F90" i="35"/>
  <c r="E90" i="35"/>
  <c r="D90" i="35"/>
  <c r="G89" i="35"/>
  <c r="F89" i="35"/>
  <c r="E89" i="35"/>
  <c r="D89" i="35"/>
  <c r="G88" i="35"/>
  <c r="F88" i="35"/>
  <c r="E88" i="35"/>
  <c r="D88" i="35"/>
  <c r="G87" i="35"/>
  <c r="F87" i="35"/>
  <c r="E87" i="35"/>
  <c r="D87" i="35"/>
  <c r="G86" i="35"/>
  <c r="F86" i="35"/>
  <c r="E86" i="35"/>
  <c r="D86" i="35"/>
  <c r="G85" i="35"/>
  <c r="F85" i="35"/>
  <c r="E85" i="35"/>
  <c r="D85" i="35"/>
  <c r="G84" i="35"/>
  <c r="F84" i="35"/>
  <c r="E84" i="35"/>
  <c r="D84" i="35"/>
  <c r="G83" i="35"/>
  <c r="F83" i="35"/>
  <c r="E83" i="35"/>
  <c r="D83" i="35"/>
  <c r="G82" i="35"/>
  <c r="F82" i="35"/>
  <c r="E82" i="35"/>
  <c r="D82" i="35"/>
  <c r="G81" i="35"/>
  <c r="F81" i="35"/>
  <c r="E81" i="35"/>
  <c r="D81" i="35"/>
  <c r="G80" i="35"/>
  <c r="F80" i="35"/>
  <c r="E80" i="35"/>
  <c r="D80" i="35"/>
  <c r="G79" i="35"/>
  <c r="F79" i="35"/>
  <c r="E79" i="35"/>
  <c r="D79" i="35"/>
  <c r="G78" i="35"/>
  <c r="F78" i="35"/>
  <c r="E78" i="35"/>
  <c r="D78" i="35"/>
  <c r="G77" i="35"/>
  <c r="F77" i="35"/>
  <c r="E77" i="35"/>
  <c r="D77" i="35"/>
  <c r="G76" i="35"/>
  <c r="F76" i="35"/>
  <c r="E76" i="35"/>
  <c r="D76" i="35"/>
  <c r="G75" i="35"/>
  <c r="F75" i="35"/>
  <c r="E75" i="35"/>
  <c r="D75" i="35"/>
  <c r="G74" i="35"/>
  <c r="F74" i="35"/>
  <c r="E74" i="35"/>
  <c r="D74" i="35"/>
  <c r="G73" i="35"/>
  <c r="F73" i="35"/>
  <c r="E73" i="35"/>
  <c r="D73" i="35"/>
  <c r="G72" i="35"/>
  <c r="F72" i="35"/>
  <c r="E72" i="35"/>
  <c r="D72" i="35"/>
  <c r="G71" i="35"/>
  <c r="F71" i="35"/>
  <c r="E71" i="35"/>
  <c r="D71" i="35"/>
  <c r="G70" i="35"/>
  <c r="F70" i="35"/>
  <c r="E70" i="35"/>
  <c r="D70" i="35"/>
  <c r="G69" i="35"/>
  <c r="F69" i="35"/>
  <c r="E69" i="35"/>
  <c r="D69" i="35"/>
  <c r="G68" i="35"/>
  <c r="F68" i="35"/>
  <c r="E68" i="35"/>
  <c r="D68" i="35"/>
  <c r="G67" i="35"/>
  <c r="F67" i="35"/>
  <c r="E67" i="35"/>
  <c r="D67" i="35"/>
  <c r="G66" i="35"/>
  <c r="F66" i="35"/>
  <c r="E66" i="35"/>
  <c r="D66" i="35"/>
  <c r="G65" i="35"/>
  <c r="F65" i="35"/>
  <c r="E65" i="35"/>
  <c r="D65" i="35"/>
  <c r="G64" i="35"/>
  <c r="F64" i="35"/>
  <c r="E64" i="35"/>
  <c r="D64" i="35"/>
  <c r="G63" i="35"/>
  <c r="F63" i="35"/>
  <c r="E63" i="35"/>
  <c r="D63" i="35"/>
  <c r="G62" i="35"/>
  <c r="F62" i="35"/>
  <c r="E62" i="35"/>
  <c r="D62" i="35"/>
  <c r="G61" i="35"/>
  <c r="F61" i="35"/>
  <c r="E61" i="35"/>
  <c r="D61" i="35"/>
  <c r="G60" i="35"/>
  <c r="F60" i="35"/>
  <c r="E60" i="35"/>
  <c r="D60" i="35"/>
  <c r="G59" i="35"/>
  <c r="F59" i="35"/>
  <c r="E59" i="35"/>
  <c r="D59" i="35"/>
  <c r="G58" i="35"/>
  <c r="F58" i="35"/>
  <c r="E58" i="35"/>
  <c r="D58" i="35"/>
  <c r="G57" i="35"/>
  <c r="F57" i="35"/>
  <c r="E57" i="35"/>
  <c r="D57" i="35"/>
  <c r="G56" i="35"/>
  <c r="F56" i="35"/>
  <c r="E56" i="35"/>
  <c r="D56" i="35"/>
  <c r="G55" i="35"/>
  <c r="F55" i="35"/>
  <c r="E55" i="35"/>
  <c r="D55" i="35"/>
  <c r="G54" i="35"/>
  <c r="F54" i="35"/>
  <c r="E54" i="35"/>
  <c r="D54" i="35"/>
  <c r="G53" i="35"/>
  <c r="F53" i="35"/>
  <c r="E53" i="35"/>
  <c r="D53" i="35"/>
  <c r="G52" i="35"/>
  <c r="F52" i="35"/>
  <c r="E52" i="35"/>
  <c r="D52" i="35"/>
  <c r="G51" i="35"/>
  <c r="F51" i="35"/>
  <c r="E51" i="35"/>
  <c r="D51" i="35"/>
  <c r="G50" i="35"/>
  <c r="F50" i="35"/>
  <c r="E50" i="35"/>
  <c r="D50" i="35"/>
  <c r="G49" i="35"/>
  <c r="F49" i="35"/>
  <c r="E49" i="35"/>
  <c r="D49" i="35"/>
  <c r="G48" i="35"/>
  <c r="F48" i="35"/>
  <c r="E48" i="35"/>
  <c r="D48" i="35"/>
  <c r="G47" i="35"/>
  <c r="F47" i="35"/>
  <c r="E47" i="35"/>
  <c r="D47" i="35"/>
  <c r="G46" i="35"/>
  <c r="F46" i="35"/>
  <c r="E46" i="35"/>
  <c r="D46" i="35"/>
  <c r="G45" i="35"/>
  <c r="F45" i="35"/>
  <c r="E45" i="35"/>
  <c r="D45" i="35"/>
  <c r="G44" i="35"/>
  <c r="F44" i="35"/>
  <c r="E44" i="35"/>
  <c r="D44" i="35"/>
  <c r="G43" i="35"/>
  <c r="F43" i="35"/>
  <c r="E43" i="35"/>
  <c r="D43" i="35"/>
  <c r="G42" i="35"/>
  <c r="F42" i="35"/>
  <c r="E42" i="35"/>
  <c r="D42" i="35"/>
  <c r="G41" i="35"/>
  <c r="F41" i="35"/>
  <c r="E41" i="35"/>
  <c r="D41" i="35"/>
  <c r="G40" i="35"/>
  <c r="F40" i="35"/>
  <c r="E40" i="35"/>
  <c r="D40" i="35"/>
  <c r="G39" i="35"/>
  <c r="F39" i="35"/>
  <c r="E39" i="35"/>
  <c r="D39" i="35"/>
  <c r="G38" i="35"/>
  <c r="F38" i="35"/>
  <c r="E38" i="35"/>
  <c r="D38" i="35"/>
  <c r="G37" i="35"/>
  <c r="F37" i="35"/>
  <c r="E37" i="35"/>
  <c r="D37" i="35"/>
  <c r="G36" i="35"/>
  <c r="F36" i="35"/>
  <c r="E36" i="35"/>
  <c r="D36" i="35"/>
  <c r="G35" i="35"/>
  <c r="F35" i="35"/>
  <c r="E35" i="35"/>
  <c r="D35" i="35"/>
  <c r="G34" i="35"/>
  <c r="F34" i="35"/>
  <c r="E34" i="35"/>
  <c r="D34" i="35"/>
  <c r="G33" i="35"/>
  <c r="F33" i="35"/>
  <c r="E33" i="35"/>
  <c r="D33" i="35"/>
  <c r="G32" i="35"/>
  <c r="F32" i="35"/>
  <c r="E32" i="35"/>
  <c r="D32" i="35"/>
  <c r="G31" i="35"/>
  <c r="F31" i="35"/>
  <c r="E31" i="35"/>
  <c r="D31" i="35"/>
  <c r="G30" i="35"/>
  <c r="F30" i="35"/>
  <c r="E30" i="35"/>
  <c r="D30" i="35"/>
  <c r="G29" i="35"/>
  <c r="F29" i="35"/>
  <c r="E29" i="35"/>
  <c r="D29" i="35"/>
  <c r="G28" i="35"/>
  <c r="F28" i="35"/>
  <c r="E28" i="35"/>
  <c r="D28" i="35"/>
  <c r="G27" i="35"/>
  <c r="F27" i="35"/>
  <c r="E27" i="35"/>
  <c r="D27" i="35"/>
  <c r="G26" i="35"/>
  <c r="F26" i="35"/>
  <c r="E26" i="35"/>
  <c r="D26" i="35"/>
  <c r="G25" i="35"/>
  <c r="F25" i="35"/>
  <c r="E25" i="35"/>
  <c r="D25" i="35"/>
  <c r="G24" i="35"/>
  <c r="F24" i="35"/>
  <c r="E24" i="35"/>
  <c r="D24" i="35"/>
  <c r="G23" i="35"/>
  <c r="F23" i="35"/>
  <c r="E23" i="35"/>
  <c r="D23" i="35"/>
  <c r="G22" i="35"/>
  <c r="F22" i="35"/>
  <c r="E22" i="35"/>
  <c r="D22" i="35"/>
  <c r="G21" i="35"/>
  <c r="F21" i="35"/>
  <c r="E21" i="35"/>
  <c r="D21" i="35"/>
  <c r="G20" i="35"/>
  <c r="F20" i="35"/>
  <c r="E20" i="35"/>
  <c r="D20" i="35"/>
  <c r="G19" i="35"/>
  <c r="F19" i="35"/>
  <c r="E19" i="35"/>
  <c r="D19" i="35"/>
  <c r="G18" i="35"/>
  <c r="F18" i="35"/>
  <c r="E18" i="35"/>
  <c r="D18" i="35"/>
  <c r="G17" i="35"/>
  <c r="F17" i="35"/>
  <c r="E17" i="35"/>
  <c r="D17" i="35"/>
  <c r="G16" i="35"/>
  <c r="F16" i="35"/>
  <c r="E16" i="35"/>
  <c r="D16" i="35"/>
  <c r="G15" i="35"/>
  <c r="F15" i="35"/>
  <c r="E15" i="35"/>
  <c r="D15" i="35"/>
  <c r="G14" i="35"/>
  <c r="F14" i="35"/>
  <c r="E14" i="35"/>
  <c r="D14" i="35"/>
  <c r="G13" i="35"/>
  <c r="F13" i="35"/>
  <c r="E13" i="35"/>
  <c r="D13" i="35"/>
  <c r="G12" i="35"/>
  <c r="F12" i="35"/>
  <c r="E12" i="35"/>
  <c r="D12" i="35"/>
  <c r="G11" i="35"/>
  <c r="F11" i="35"/>
  <c r="E11" i="35"/>
  <c r="D11" i="35"/>
  <c r="G10" i="35"/>
  <c r="F10" i="35"/>
  <c r="E10" i="35"/>
  <c r="D10" i="35"/>
  <c r="G9" i="35"/>
  <c r="F9" i="35"/>
  <c r="E9" i="35"/>
  <c r="D9" i="35"/>
  <c r="G8" i="35"/>
  <c r="F8" i="35"/>
  <c r="E8" i="35"/>
  <c r="D8" i="35"/>
  <c r="G7" i="35"/>
  <c r="F7" i="35"/>
  <c r="E7" i="35"/>
  <c r="D7" i="35"/>
  <c r="G6" i="35"/>
  <c r="F6" i="35"/>
  <c r="E6" i="35"/>
  <c r="D6" i="35"/>
  <c r="G5" i="35"/>
  <c r="F5" i="35"/>
  <c r="E5" i="35"/>
  <c r="D5" i="35"/>
  <c r="G4" i="35"/>
  <c r="F4" i="35"/>
  <c r="E4" i="35"/>
  <c r="D4" i="35"/>
  <c r="G3" i="35"/>
  <c r="F3" i="35"/>
  <c r="E3" i="35"/>
  <c r="D3" i="35"/>
  <c r="G2" i="35"/>
  <c r="F2" i="35"/>
  <c r="E2" i="35"/>
  <c r="D2" i="35"/>
  <c r="G251" i="33"/>
  <c r="F251" i="33"/>
  <c r="E251" i="33"/>
  <c r="D251" i="33"/>
  <c r="G250" i="33"/>
  <c r="F250" i="33"/>
  <c r="E250" i="33"/>
  <c r="D250" i="33"/>
  <c r="G249" i="33"/>
  <c r="F249" i="33"/>
  <c r="E249" i="33"/>
  <c r="D249" i="33"/>
  <c r="G248" i="33"/>
  <c r="F248" i="33"/>
  <c r="E248" i="33"/>
  <c r="D248" i="33"/>
  <c r="G247" i="33"/>
  <c r="F247" i="33"/>
  <c r="E247" i="33"/>
  <c r="D247" i="33"/>
  <c r="G246" i="33"/>
  <c r="F246" i="33"/>
  <c r="E246" i="33"/>
  <c r="D246" i="33"/>
  <c r="G245" i="33"/>
  <c r="F245" i="33"/>
  <c r="E245" i="33"/>
  <c r="D245" i="33"/>
  <c r="G244" i="33"/>
  <c r="F244" i="33"/>
  <c r="E244" i="33"/>
  <c r="D244" i="33"/>
  <c r="G243" i="33"/>
  <c r="F243" i="33"/>
  <c r="E243" i="33"/>
  <c r="D243" i="33"/>
  <c r="G242" i="33"/>
  <c r="F242" i="33"/>
  <c r="E242" i="33"/>
  <c r="D242" i="33"/>
  <c r="G241" i="33"/>
  <c r="F241" i="33"/>
  <c r="E241" i="33"/>
  <c r="D241" i="33"/>
  <c r="G240" i="33"/>
  <c r="F240" i="33"/>
  <c r="E240" i="33"/>
  <c r="D240" i="33"/>
  <c r="G239" i="33"/>
  <c r="F239" i="33"/>
  <c r="E239" i="33"/>
  <c r="D239" i="33"/>
  <c r="G238" i="33"/>
  <c r="F238" i="33"/>
  <c r="E238" i="33"/>
  <c r="D238" i="33"/>
  <c r="G237" i="33"/>
  <c r="F237" i="33"/>
  <c r="E237" i="33"/>
  <c r="D237" i="33"/>
  <c r="G236" i="33"/>
  <c r="F236" i="33"/>
  <c r="E236" i="33"/>
  <c r="D236" i="33"/>
  <c r="G235" i="33"/>
  <c r="F235" i="33"/>
  <c r="E235" i="33"/>
  <c r="D235" i="33"/>
  <c r="G234" i="33"/>
  <c r="F234" i="33"/>
  <c r="E234" i="33"/>
  <c r="D234" i="33"/>
  <c r="G233" i="33"/>
  <c r="F233" i="33"/>
  <c r="E233" i="33"/>
  <c r="D233" i="33"/>
  <c r="G232" i="33"/>
  <c r="F232" i="33"/>
  <c r="E232" i="33"/>
  <c r="D232" i="33"/>
  <c r="G231" i="33"/>
  <c r="F231" i="33"/>
  <c r="E231" i="33"/>
  <c r="D231" i="33"/>
  <c r="G230" i="33"/>
  <c r="F230" i="33"/>
  <c r="E230" i="33"/>
  <c r="D230" i="33"/>
  <c r="G229" i="33"/>
  <c r="F229" i="33"/>
  <c r="E229" i="33"/>
  <c r="D229" i="33"/>
  <c r="G228" i="33"/>
  <c r="F228" i="33"/>
  <c r="E228" i="33"/>
  <c r="D228" i="33"/>
  <c r="G227" i="33"/>
  <c r="F227" i="33"/>
  <c r="E227" i="33"/>
  <c r="D227" i="33"/>
  <c r="G226" i="33"/>
  <c r="F226" i="33"/>
  <c r="E226" i="33"/>
  <c r="D226" i="33"/>
  <c r="G225" i="33"/>
  <c r="F225" i="33"/>
  <c r="E225" i="33"/>
  <c r="D225" i="33"/>
  <c r="G224" i="33"/>
  <c r="F224" i="33"/>
  <c r="E224" i="33"/>
  <c r="D224" i="33"/>
  <c r="G223" i="33"/>
  <c r="F223" i="33"/>
  <c r="E223" i="33"/>
  <c r="D223" i="33"/>
  <c r="G222" i="33"/>
  <c r="F222" i="33"/>
  <c r="E222" i="33"/>
  <c r="D222" i="33"/>
  <c r="G221" i="33"/>
  <c r="F221" i="33"/>
  <c r="E221" i="33"/>
  <c r="D221" i="33"/>
  <c r="G220" i="33"/>
  <c r="F220" i="33"/>
  <c r="E220" i="33"/>
  <c r="D220" i="33"/>
  <c r="G219" i="33"/>
  <c r="F219" i="33"/>
  <c r="E219" i="33"/>
  <c r="D219" i="33"/>
  <c r="G218" i="33"/>
  <c r="F218" i="33"/>
  <c r="E218" i="33"/>
  <c r="D218" i="33"/>
  <c r="G217" i="33"/>
  <c r="F217" i="33"/>
  <c r="E217" i="33"/>
  <c r="D217" i="33"/>
  <c r="G216" i="33"/>
  <c r="F216" i="33"/>
  <c r="E216" i="33"/>
  <c r="D216" i="33"/>
  <c r="G215" i="33"/>
  <c r="F215" i="33"/>
  <c r="E215" i="33"/>
  <c r="D215" i="33"/>
  <c r="G214" i="33"/>
  <c r="F214" i="33"/>
  <c r="E214" i="33"/>
  <c r="D214" i="33"/>
  <c r="G213" i="33"/>
  <c r="F213" i="33"/>
  <c r="E213" i="33"/>
  <c r="D213" i="33"/>
  <c r="G212" i="33"/>
  <c r="F212" i="33"/>
  <c r="E212" i="33"/>
  <c r="D212" i="33"/>
  <c r="G211" i="33"/>
  <c r="F211" i="33"/>
  <c r="E211" i="33"/>
  <c r="D211" i="33"/>
  <c r="G210" i="33"/>
  <c r="F210" i="33"/>
  <c r="E210" i="33"/>
  <c r="D210" i="33"/>
  <c r="G209" i="33"/>
  <c r="F209" i="33"/>
  <c r="E209" i="33"/>
  <c r="D209" i="33"/>
  <c r="G208" i="33"/>
  <c r="F208" i="33"/>
  <c r="E208" i="33"/>
  <c r="D208" i="33"/>
  <c r="G207" i="33"/>
  <c r="F207" i="33"/>
  <c r="E207" i="33"/>
  <c r="D207" i="33"/>
  <c r="G206" i="33"/>
  <c r="F206" i="33"/>
  <c r="E206" i="33"/>
  <c r="D206" i="33"/>
  <c r="G205" i="33"/>
  <c r="F205" i="33"/>
  <c r="E205" i="33"/>
  <c r="D205" i="33"/>
  <c r="G204" i="33"/>
  <c r="F204" i="33"/>
  <c r="E204" i="33"/>
  <c r="D204" i="33"/>
  <c r="G203" i="33"/>
  <c r="F203" i="33"/>
  <c r="E203" i="33"/>
  <c r="D203" i="33"/>
  <c r="G202" i="33"/>
  <c r="F202" i="33"/>
  <c r="E202" i="33"/>
  <c r="D202" i="33"/>
  <c r="G201" i="33"/>
  <c r="F201" i="33"/>
  <c r="E201" i="33"/>
  <c r="D201" i="33"/>
  <c r="G200" i="33"/>
  <c r="F200" i="33"/>
  <c r="E200" i="33"/>
  <c r="D200" i="33"/>
  <c r="G199" i="33"/>
  <c r="F199" i="33"/>
  <c r="E199" i="33"/>
  <c r="D199" i="33"/>
  <c r="G198" i="33"/>
  <c r="F198" i="33"/>
  <c r="E198" i="33"/>
  <c r="D198" i="33"/>
  <c r="G197" i="33"/>
  <c r="F197" i="33"/>
  <c r="E197" i="33"/>
  <c r="D197" i="33"/>
  <c r="G196" i="33"/>
  <c r="F196" i="33"/>
  <c r="E196" i="33"/>
  <c r="D196" i="33"/>
  <c r="G195" i="33"/>
  <c r="F195" i="33"/>
  <c r="E195" i="33"/>
  <c r="D195" i="33"/>
  <c r="G194" i="33"/>
  <c r="F194" i="33"/>
  <c r="E194" i="33"/>
  <c r="D194" i="33"/>
  <c r="G193" i="33"/>
  <c r="F193" i="33"/>
  <c r="E193" i="33"/>
  <c r="D193" i="33"/>
  <c r="G192" i="33"/>
  <c r="F192" i="33"/>
  <c r="E192" i="33"/>
  <c r="D192" i="33"/>
  <c r="G191" i="33"/>
  <c r="F191" i="33"/>
  <c r="E191" i="33"/>
  <c r="D191" i="33"/>
  <c r="G190" i="33"/>
  <c r="F190" i="33"/>
  <c r="E190" i="33"/>
  <c r="D190" i="33"/>
  <c r="G189" i="33"/>
  <c r="F189" i="33"/>
  <c r="E189" i="33"/>
  <c r="D189" i="33"/>
  <c r="G188" i="33"/>
  <c r="F188" i="33"/>
  <c r="E188" i="33"/>
  <c r="D188" i="33"/>
  <c r="G187" i="33"/>
  <c r="F187" i="33"/>
  <c r="E187" i="33"/>
  <c r="D187" i="33"/>
  <c r="G186" i="33"/>
  <c r="F186" i="33"/>
  <c r="E186" i="33"/>
  <c r="D186" i="33"/>
  <c r="G185" i="33"/>
  <c r="F185" i="33"/>
  <c r="E185" i="33"/>
  <c r="D185" i="33"/>
  <c r="G184" i="33"/>
  <c r="F184" i="33"/>
  <c r="E184" i="33"/>
  <c r="D184" i="33"/>
  <c r="G183" i="33"/>
  <c r="F183" i="33"/>
  <c r="E183" i="33"/>
  <c r="D183" i="33"/>
  <c r="G182" i="33"/>
  <c r="F182" i="33"/>
  <c r="E182" i="33"/>
  <c r="D182" i="33"/>
  <c r="G181" i="33"/>
  <c r="F181" i="33"/>
  <c r="E181" i="33"/>
  <c r="D181" i="33"/>
  <c r="G180" i="33"/>
  <c r="F180" i="33"/>
  <c r="E180" i="33"/>
  <c r="D180" i="33"/>
  <c r="G179" i="33"/>
  <c r="F179" i="33"/>
  <c r="E179" i="33"/>
  <c r="D179" i="33"/>
  <c r="G178" i="33"/>
  <c r="F178" i="33"/>
  <c r="E178" i="33"/>
  <c r="D178" i="33"/>
  <c r="G177" i="33"/>
  <c r="F177" i="33"/>
  <c r="E177" i="33"/>
  <c r="D177" i="33"/>
  <c r="G176" i="33"/>
  <c r="F176" i="33"/>
  <c r="E176" i="33"/>
  <c r="D176" i="33"/>
  <c r="G175" i="33"/>
  <c r="F175" i="33"/>
  <c r="E175" i="33"/>
  <c r="D175" i="33"/>
  <c r="G174" i="33"/>
  <c r="F174" i="33"/>
  <c r="E174" i="33"/>
  <c r="D174" i="33"/>
  <c r="G173" i="33"/>
  <c r="F173" i="33"/>
  <c r="E173" i="33"/>
  <c r="D173" i="33"/>
  <c r="G172" i="33"/>
  <c r="F172" i="33"/>
  <c r="E172" i="33"/>
  <c r="D172" i="33"/>
  <c r="G171" i="33"/>
  <c r="F171" i="33"/>
  <c r="E171" i="33"/>
  <c r="D171" i="33"/>
  <c r="G170" i="33"/>
  <c r="F170" i="33"/>
  <c r="E170" i="33"/>
  <c r="D170" i="33"/>
  <c r="G169" i="33"/>
  <c r="F169" i="33"/>
  <c r="E169" i="33"/>
  <c r="D169" i="33"/>
  <c r="G168" i="33"/>
  <c r="F168" i="33"/>
  <c r="E168" i="33"/>
  <c r="D168" i="33"/>
  <c r="G167" i="33"/>
  <c r="F167" i="33"/>
  <c r="E167" i="33"/>
  <c r="D167" i="33"/>
  <c r="G166" i="33"/>
  <c r="F166" i="33"/>
  <c r="E166" i="33"/>
  <c r="D166" i="33"/>
  <c r="G165" i="33"/>
  <c r="F165" i="33"/>
  <c r="E165" i="33"/>
  <c r="D165" i="33"/>
  <c r="G164" i="33"/>
  <c r="F164" i="33"/>
  <c r="E164" i="33"/>
  <c r="D164" i="33"/>
  <c r="G163" i="33"/>
  <c r="F163" i="33"/>
  <c r="E163" i="33"/>
  <c r="D163" i="33"/>
  <c r="G162" i="33"/>
  <c r="F162" i="33"/>
  <c r="E162" i="33"/>
  <c r="D162" i="33"/>
  <c r="G161" i="33"/>
  <c r="F161" i="33"/>
  <c r="E161" i="33"/>
  <c r="D161" i="33"/>
  <c r="G160" i="33"/>
  <c r="F160" i="33"/>
  <c r="E160" i="33"/>
  <c r="D160" i="33"/>
  <c r="G159" i="33"/>
  <c r="F159" i="33"/>
  <c r="E159" i="33"/>
  <c r="D159" i="33"/>
  <c r="G158" i="33"/>
  <c r="F158" i="33"/>
  <c r="E158" i="33"/>
  <c r="D158" i="33"/>
  <c r="G157" i="33"/>
  <c r="F157" i="33"/>
  <c r="E157" i="33"/>
  <c r="D157" i="33"/>
  <c r="G156" i="33"/>
  <c r="F156" i="33"/>
  <c r="E156" i="33"/>
  <c r="D156" i="33"/>
  <c r="G155" i="33"/>
  <c r="F155" i="33"/>
  <c r="E155" i="33"/>
  <c r="D155" i="33"/>
  <c r="G154" i="33"/>
  <c r="F154" i="33"/>
  <c r="E154" i="33"/>
  <c r="D154" i="33"/>
  <c r="G153" i="33"/>
  <c r="F153" i="33"/>
  <c r="E153" i="33"/>
  <c r="D153" i="33"/>
  <c r="G152" i="33"/>
  <c r="F152" i="33"/>
  <c r="E152" i="33"/>
  <c r="D152" i="33"/>
  <c r="G151" i="33"/>
  <c r="F151" i="33"/>
  <c r="E151" i="33"/>
  <c r="D151" i="33"/>
  <c r="G150" i="33"/>
  <c r="F150" i="33"/>
  <c r="E150" i="33"/>
  <c r="D150" i="33"/>
  <c r="G149" i="33"/>
  <c r="F149" i="33"/>
  <c r="E149" i="33"/>
  <c r="D149" i="33"/>
  <c r="G148" i="33"/>
  <c r="F148" i="33"/>
  <c r="E148" i="33"/>
  <c r="D148" i="33"/>
  <c r="G147" i="33"/>
  <c r="F147" i="33"/>
  <c r="E147" i="33"/>
  <c r="D147" i="33"/>
  <c r="G146" i="33"/>
  <c r="F146" i="33"/>
  <c r="E146" i="33"/>
  <c r="D146" i="33"/>
  <c r="G145" i="33"/>
  <c r="F145" i="33"/>
  <c r="E145" i="33"/>
  <c r="D145" i="33"/>
  <c r="G144" i="33"/>
  <c r="F144" i="33"/>
  <c r="E144" i="33"/>
  <c r="D144" i="33"/>
  <c r="G143" i="33"/>
  <c r="F143" i="33"/>
  <c r="E143" i="33"/>
  <c r="D143" i="33"/>
  <c r="G142" i="33"/>
  <c r="F142" i="33"/>
  <c r="E142" i="33"/>
  <c r="D142" i="33"/>
  <c r="G141" i="33"/>
  <c r="F141" i="33"/>
  <c r="E141" i="33"/>
  <c r="D141" i="33"/>
  <c r="G140" i="33"/>
  <c r="F140" i="33"/>
  <c r="E140" i="33"/>
  <c r="D140" i="33"/>
  <c r="G139" i="33"/>
  <c r="F139" i="33"/>
  <c r="E139" i="33"/>
  <c r="D139" i="33"/>
  <c r="G138" i="33"/>
  <c r="F138" i="33"/>
  <c r="E138" i="33"/>
  <c r="D138" i="33"/>
  <c r="G137" i="33"/>
  <c r="F137" i="33"/>
  <c r="E137" i="33"/>
  <c r="D137" i="33"/>
  <c r="G136" i="33"/>
  <c r="F136" i="33"/>
  <c r="E136" i="33"/>
  <c r="D136" i="33"/>
  <c r="G135" i="33"/>
  <c r="F135" i="33"/>
  <c r="E135" i="33"/>
  <c r="D135" i="33"/>
  <c r="G134" i="33"/>
  <c r="F134" i="33"/>
  <c r="E134" i="33"/>
  <c r="D134" i="33"/>
  <c r="G133" i="33"/>
  <c r="F133" i="33"/>
  <c r="E133" i="33"/>
  <c r="D133" i="33"/>
  <c r="G132" i="33"/>
  <c r="F132" i="33"/>
  <c r="E132" i="33"/>
  <c r="D132" i="33"/>
  <c r="G131" i="33"/>
  <c r="F131" i="33"/>
  <c r="E131" i="33"/>
  <c r="D131" i="33"/>
  <c r="G130" i="33"/>
  <c r="F130" i="33"/>
  <c r="E130" i="33"/>
  <c r="D130" i="33"/>
  <c r="G129" i="33"/>
  <c r="F129" i="33"/>
  <c r="E129" i="33"/>
  <c r="D129" i="33"/>
  <c r="G128" i="33"/>
  <c r="F128" i="33"/>
  <c r="E128" i="33"/>
  <c r="D128" i="33"/>
  <c r="G127" i="33"/>
  <c r="F127" i="33"/>
  <c r="E127" i="33"/>
  <c r="D127" i="33"/>
  <c r="G126" i="33"/>
  <c r="F126" i="33"/>
  <c r="E126" i="33"/>
  <c r="D126" i="33"/>
  <c r="G125" i="33"/>
  <c r="F125" i="33"/>
  <c r="E125" i="33"/>
  <c r="D125" i="33"/>
  <c r="G124" i="33"/>
  <c r="F124" i="33"/>
  <c r="E124" i="33"/>
  <c r="D124" i="33"/>
  <c r="G123" i="33"/>
  <c r="F123" i="33"/>
  <c r="E123" i="33"/>
  <c r="D123" i="33"/>
  <c r="G122" i="33"/>
  <c r="F122" i="33"/>
  <c r="E122" i="33"/>
  <c r="D122" i="33"/>
  <c r="G121" i="33"/>
  <c r="F121" i="33"/>
  <c r="E121" i="33"/>
  <c r="D121" i="33"/>
  <c r="G120" i="33"/>
  <c r="F120" i="33"/>
  <c r="E120" i="33"/>
  <c r="D120" i="33"/>
  <c r="G119" i="33"/>
  <c r="F119" i="33"/>
  <c r="E119" i="33"/>
  <c r="D119" i="33"/>
  <c r="G118" i="33"/>
  <c r="F118" i="33"/>
  <c r="E118" i="33"/>
  <c r="D118" i="33"/>
  <c r="G117" i="33"/>
  <c r="F117" i="33"/>
  <c r="E117" i="33"/>
  <c r="D117" i="33"/>
  <c r="G116" i="33"/>
  <c r="F116" i="33"/>
  <c r="E116" i="33"/>
  <c r="D116" i="33"/>
  <c r="G115" i="33"/>
  <c r="F115" i="33"/>
  <c r="E115" i="33"/>
  <c r="D115" i="33"/>
  <c r="G114" i="33"/>
  <c r="F114" i="33"/>
  <c r="E114" i="33"/>
  <c r="D114" i="33"/>
  <c r="G113" i="33"/>
  <c r="F113" i="33"/>
  <c r="E113" i="33"/>
  <c r="D113" i="33"/>
  <c r="G112" i="33"/>
  <c r="F112" i="33"/>
  <c r="E112" i="33"/>
  <c r="D112" i="33"/>
  <c r="G111" i="33"/>
  <c r="F111" i="33"/>
  <c r="E111" i="33"/>
  <c r="D111" i="33"/>
  <c r="G110" i="33"/>
  <c r="F110" i="33"/>
  <c r="E110" i="33"/>
  <c r="D110" i="33"/>
  <c r="G109" i="33"/>
  <c r="F109" i="33"/>
  <c r="E109" i="33"/>
  <c r="D109" i="33"/>
  <c r="G108" i="33"/>
  <c r="F108" i="33"/>
  <c r="E108" i="33"/>
  <c r="D108" i="33"/>
  <c r="G107" i="33"/>
  <c r="F107" i="33"/>
  <c r="E107" i="33"/>
  <c r="D107" i="33"/>
  <c r="G106" i="33"/>
  <c r="F106" i="33"/>
  <c r="E106" i="33"/>
  <c r="D106" i="33"/>
  <c r="G105" i="33"/>
  <c r="F105" i="33"/>
  <c r="E105" i="33"/>
  <c r="D105" i="33"/>
  <c r="G104" i="33"/>
  <c r="F104" i="33"/>
  <c r="E104" i="33"/>
  <c r="D104" i="33"/>
  <c r="G103" i="33"/>
  <c r="F103" i="33"/>
  <c r="E103" i="33"/>
  <c r="D103" i="33"/>
  <c r="G102" i="33"/>
  <c r="F102" i="33"/>
  <c r="E102" i="33"/>
  <c r="D102" i="33"/>
  <c r="G101" i="33"/>
  <c r="F101" i="33"/>
  <c r="E101" i="33"/>
  <c r="D101" i="33"/>
  <c r="G100" i="33"/>
  <c r="F100" i="33"/>
  <c r="E100" i="33"/>
  <c r="D100" i="33"/>
  <c r="G99" i="33"/>
  <c r="F99" i="33"/>
  <c r="E99" i="33"/>
  <c r="D99" i="33"/>
  <c r="G98" i="33"/>
  <c r="F98" i="33"/>
  <c r="E98" i="33"/>
  <c r="D98" i="33"/>
  <c r="G97" i="33"/>
  <c r="F97" i="33"/>
  <c r="E97" i="33"/>
  <c r="D97" i="33"/>
  <c r="G96" i="33"/>
  <c r="F96" i="33"/>
  <c r="E96" i="33"/>
  <c r="D96" i="33"/>
  <c r="G95" i="33"/>
  <c r="F95" i="33"/>
  <c r="E95" i="33"/>
  <c r="D95" i="33"/>
  <c r="G94" i="33"/>
  <c r="F94" i="33"/>
  <c r="E94" i="33"/>
  <c r="D94" i="33"/>
  <c r="G93" i="33"/>
  <c r="F93" i="33"/>
  <c r="E93" i="33"/>
  <c r="D93" i="33"/>
  <c r="G92" i="33"/>
  <c r="F92" i="33"/>
  <c r="E92" i="33"/>
  <c r="D92" i="33"/>
  <c r="G91" i="33"/>
  <c r="F91" i="33"/>
  <c r="E91" i="33"/>
  <c r="D91" i="33"/>
  <c r="G90" i="33"/>
  <c r="F90" i="33"/>
  <c r="E90" i="33"/>
  <c r="D90" i="33"/>
  <c r="G89" i="33"/>
  <c r="F89" i="33"/>
  <c r="E89" i="33"/>
  <c r="D89" i="33"/>
  <c r="G88" i="33"/>
  <c r="F88" i="33"/>
  <c r="E88" i="33"/>
  <c r="D88" i="33"/>
  <c r="G87" i="33"/>
  <c r="F87" i="33"/>
  <c r="E87" i="33"/>
  <c r="D87" i="33"/>
  <c r="G86" i="33"/>
  <c r="F86" i="33"/>
  <c r="E86" i="33"/>
  <c r="D86" i="33"/>
  <c r="G85" i="33"/>
  <c r="F85" i="33"/>
  <c r="E85" i="33"/>
  <c r="D85" i="33"/>
  <c r="G84" i="33"/>
  <c r="F84" i="33"/>
  <c r="E84" i="33"/>
  <c r="D84" i="33"/>
  <c r="G83" i="33"/>
  <c r="F83" i="33"/>
  <c r="E83" i="33"/>
  <c r="D83" i="33"/>
  <c r="G82" i="33"/>
  <c r="F82" i="33"/>
  <c r="E82" i="33"/>
  <c r="D82" i="33"/>
  <c r="G81" i="33"/>
  <c r="F81" i="33"/>
  <c r="E81" i="33"/>
  <c r="D81" i="33"/>
  <c r="G80" i="33"/>
  <c r="F80" i="33"/>
  <c r="E80" i="33"/>
  <c r="D80" i="33"/>
  <c r="G79" i="33"/>
  <c r="F79" i="33"/>
  <c r="E79" i="33"/>
  <c r="D79" i="33"/>
  <c r="G78" i="33"/>
  <c r="F78" i="33"/>
  <c r="E78" i="33"/>
  <c r="D78" i="33"/>
  <c r="G77" i="33"/>
  <c r="F77" i="33"/>
  <c r="E77" i="33"/>
  <c r="D77" i="33"/>
  <c r="G76" i="33"/>
  <c r="F76" i="33"/>
  <c r="E76" i="33"/>
  <c r="D76" i="33"/>
  <c r="G75" i="33"/>
  <c r="F75" i="33"/>
  <c r="E75" i="33"/>
  <c r="D75" i="33"/>
  <c r="G74" i="33"/>
  <c r="F74" i="33"/>
  <c r="E74" i="33"/>
  <c r="D74" i="33"/>
  <c r="G73" i="33"/>
  <c r="F73" i="33"/>
  <c r="E73" i="33"/>
  <c r="D73" i="33"/>
  <c r="G72" i="33"/>
  <c r="F72" i="33"/>
  <c r="E72" i="33"/>
  <c r="D72" i="33"/>
  <c r="G71" i="33"/>
  <c r="F71" i="33"/>
  <c r="E71" i="33"/>
  <c r="D71" i="33"/>
  <c r="G70" i="33"/>
  <c r="F70" i="33"/>
  <c r="E70" i="33"/>
  <c r="D70" i="33"/>
  <c r="G69" i="33"/>
  <c r="F69" i="33"/>
  <c r="E69" i="33"/>
  <c r="D69" i="33"/>
  <c r="G68" i="33"/>
  <c r="F68" i="33"/>
  <c r="E68" i="33"/>
  <c r="D68" i="33"/>
  <c r="G67" i="33"/>
  <c r="F67" i="33"/>
  <c r="E67" i="33"/>
  <c r="D67" i="33"/>
  <c r="G66" i="33"/>
  <c r="F66" i="33"/>
  <c r="E66" i="33"/>
  <c r="D66" i="33"/>
  <c r="G65" i="33"/>
  <c r="F65" i="33"/>
  <c r="E65" i="33"/>
  <c r="D65" i="33"/>
  <c r="G64" i="33"/>
  <c r="F64" i="33"/>
  <c r="E64" i="33"/>
  <c r="D64" i="33"/>
  <c r="G63" i="33"/>
  <c r="F63" i="33"/>
  <c r="E63" i="33"/>
  <c r="D63" i="33"/>
  <c r="G62" i="33"/>
  <c r="F62" i="33"/>
  <c r="E62" i="33"/>
  <c r="D62" i="33"/>
  <c r="G61" i="33"/>
  <c r="F61" i="33"/>
  <c r="E61" i="33"/>
  <c r="D61" i="33"/>
  <c r="G60" i="33"/>
  <c r="F60" i="33"/>
  <c r="E60" i="33"/>
  <c r="D60" i="33"/>
  <c r="G59" i="33"/>
  <c r="F59" i="33"/>
  <c r="E59" i="33"/>
  <c r="D59" i="33"/>
  <c r="G58" i="33"/>
  <c r="F58" i="33"/>
  <c r="E58" i="33"/>
  <c r="D58" i="33"/>
  <c r="G57" i="33"/>
  <c r="F57" i="33"/>
  <c r="E57" i="33"/>
  <c r="D57" i="33"/>
  <c r="G56" i="33"/>
  <c r="F56" i="33"/>
  <c r="E56" i="33"/>
  <c r="D56" i="33"/>
  <c r="G55" i="33"/>
  <c r="F55" i="33"/>
  <c r="E55" i="33"/>
  <c r="D55" i="33"/>
  <c r="G54" i="33"/>
  <c r="F54" i="33"/>
  <c r="E54" i="33"/>
  <c r="D54" i="33"/>
  <c r="G53" i="33"/>
  <c r="F53" i="33"/>
  <c r="E53" i="33"/>
  <c r="D53" i="33"/>
  <c r="G52" i="33"/>
  <c r="F52" i="33"/>
  <c r="E52" i="33"/>
  <c r="D52" i="33"/>
  <c r="G51" i="33"/>
  <c r="F51" i="33"/>
  <c r="E51" i="33"/>
  <c r="D51" i="33"/>
  <c r="G50" i="33"/>
  <c r="F50" i="33"/>
  <c r="E50" i="33"/>
  <c r="D50" i="33"/>
  <c r="G49" i="33"/>
  <c r="F49" i="33"/>
  <c r="E49" i="33"/>
  <c r="D49" i="33"/>
  <c r="G48" i="33"/>
  <c r="F48" i="33"/>
  <c r="E48" i="33"/>
  <c r="D48" i="33"/>
  <c r="G47" i="33"/>
  <c r="F47" i="33"/>
  <c r="E47" i="33"/>
  <c r="D47" i="33"/>
  <c r="G46" i="33"/>
  <c r="F46" i="33"/>
  <c r="E46" i="33"/>
  <c r="D46" i="33"/>
  <c r="G45" i="33"/>
  <c r="F45" i="33"/>
  <c r="E45" i="33"/>
  <c r="D45" i="33"/>
  <c r="G44" i="33"/>
  <c r="F44" i="33"/>
  <c r="E44" i="33"/>
  <c r="D44" i="33"/>
  <c r="G43" i="33"/>
  <c r="F43" i="33"/>
  <c r="E43" i="33"/>
  <c r="D43" i="33"/>
  <c r="G42" i="33"/>
  <c r="F42" i="33"/>
  <c r="E42" i="33"/>
  <c r="D42" i="33"/>
  <c r="G41" i="33"/>
  <c r="F41" i="33"/>
  <c r="E41" i="33"/>
  <c r="D41" i="33"/>
  <c r="G40" i="33"/>
  <c r="F40" i="33"/>
  <c r="E40" i="33"/>
  <c r="D40" i="33"/>
  <c r="G39" i="33"/>
  <c r="F39" i="33"/>
  <c r="E39" i="33"/>
  <c r="D39" i="33"/>
  <c r="G38" i="33"/>
  <c r="F38" i="33"/>
  <c r="E38" i="33"/>
  <c r="D38" i="33"/>
  <c r="G37" i="33"/>
  <c r="F37" i="33"/>
  <c r="E37" i="33"/>
  <c r="D37" i="33"/>
  <c r="G36" i="33"/>
  <c r="F36" i="33"/>
  <c r="E36" i="33"/>
  <c r="D36" i="33"/>
  <c r="G35" i="33"/>
  <c r="F35" i="33"/>
  <c r="E35" i="33"/>
  <c r="D35" i="33"/>
  <c r="G34" i="33"/>
  <c r="F34" i="33"/>
  <c r="E34" i="33"/>
  <c r="D34" i="33"/>
  <c r="G33" i="33"/>
  <c r="F33" i="33"/>
  <c r="E33" i="33"/>
  <c r="D33" i="33"/>
  <c r="G32" i="33"/>
  <c r="F32" i="33"/>
  <c r="E32" i="33"/>
  <c r="D32" i="33"/>
  <c r="G31" i="33"/>
  <c r="F31" i="33"/>
  <c r="E31" i="33"/>
  <c r="D31" i="33"/>
  <c r="G30" i="33"/>
  <c r="F30" i="33"/>
  <c r="E30" i="33"/>
  <c r="D30" i="33"/>
  <c r="G29" i="33"/>
  <c r="F29" i="33"/>
  <c r="E29" i="33"/>
  <c r="D29" i="33"/>
  <c r="G28" i="33"/>
  <c r="F28" i="33"/>
  <c r="E28" i="33"/>
  <c r="D28" i="33"/>
  <c r="G27" i="33"/>
  <c r="F27" i="33"/>
  <c r="E27" i="33"/>
  <c r="D27" i="33"/>
  <c r="G26" i="33"/>
  <c r="F26" i="33"/>
  <c r="E26" i="33"/>
  <c r="D26" i="33"/>
  <c r="G25" i="33"/>
  <c r="F25" i="33"/>
  <c r="E25" i="33"/>
  <c r="D25" i="33"/>
  <c r="G24" i="33"/>
  <c r="F24" i="33"/>
  <c r="E24" i="33"/>
  <c r="D24" i="33"/>
  <c r="G23" i="33"/>
  <c r="F23" i="33"/>
  <c r="E23" i="33"/>
  <c r="D23" i="33"/>
  <c r="G22" i="33"/>
  <c r="F22" i="33"/>
  <c r="E22" i="33"/>
  <c r="D22" i="33"/>
  <c r="G21" i="33"/>
  <c r="F21" i="33"/>
  <c r="E21" i="33"/>
  <c r="D21" i="33"/>
  <c r="G20" i="33"/>
  <c r="F20" i="33"/>
  <c r="E20" i="33"/>
  <c r="D20" i="33"/>
  <c r="G19" i="33"/>
  <c r="F19" i="33"/>
  <c r="E19" i="33"/>
  <c r="D19" i="33"/>
  <c r="G18" i="33"/>
  <c r="F18" i="33"/>
  <c r="E18" i="33"/>
  <c r="D18" i="33"/>
  <c r="G17" i="33"/>
  <c r="F17" i="33"/>
  <c r="E17" i="33"/>
  <c r="D17" i="33"/>
  <c r="G16" i="33"/>
  <c r="F16" i="33"/>
  <c r="E16" i="33"/>
  <c r="D16" i="33"/>
  <c r="G15" i="33"/>
  <c r="F15" i="33"/>
  <c r="E15" i="33"/>
  <c r="D15" i="33"/>
  <c r="G14" i="33"/>
  <c r="F14" i="33"/>
  <c r="E14" i="33"/>
  <c r="D14" i="33"/>
  <c r="G13" i="33"/>
  <c r="F13" i="33"/>
  <c r="E13" i="33"/>
  <c r="D13" i="33"/>
  <c r="G12" i="33"/>
  <c r="F12" i="33"/>
  <c r="E12" i="33"/>
  <c r="D12" i="33"/>
  <c r="G11" i="33"/>
  <c r="F11" i="33"/>
  <c r="E11" i="33"/>
  <c r="D11" i="33"/>
  <c r="G10" i="33"/>
  <c r="F10" i="33"/>
  <c r="E10" i="33"/>
  <c r="D10" i="33"/>
  <c r="G9" i="33"/>
  <c r="F9" i="33"/>
  <c r="E9" i="33"/>
  <c r="D9" i="33"/>
  <c r="G8" i="33"/>
  <c r="F8" i="33"/>
  <c r="E8" i="33"/>
  <c r="D8" i="33"/>
  <c r="G7" i="33"/>
  <c r="F7" i="33"/>
  <c r="E7" i="33"/>
  <c r="D7" i="33"/>
  <c r="G6" i="33"/>
  <c r="F6" i="33"/>
  <c r="E6" i="33"/>
  <c r="D6" i="33"/>
  <c r="G5" i="33"/>
  <c r="F5" i="33"/>
  <c r="E5" i="33"/>
  <c r="D5" i="33"/>
  <c r="G4" i="33"/>
  <c r="F4" i="33"/>
  <c r="E4" i="33"/>
  <c r="D4" i="33"/>
  <c r="G3" i="33"/>
  <c r="F3" i="33"/>
  <c r="E3" i="33"/>
  <c r="D3" i="33"/>
  <c r="G2" i="33"/>
  <c r="F2" i="33"/>
  <c r="E2" i="33"/>
  <c r="D2" i="33"/>
  <c r="G251" i="32"/>
  <c r="F251" i="32"/>
  <c r="E251" i="32"/>
  <c r="D251" i="32"/>
  <c r="G250" i="32"/>
  <c r="F250" i="32"/>
  <c r="E250" i="32"/>
  <c r="D250" i="32"/>
  <c r="G249" i="32"/>
  <c r="F249" i="32"/>
  <c r="E249" i="32"/>
  <c r="D249" i="32"/>
  <c r="G248" i="32"/>
  <c r="F248" i="32"/>
  <c r="E248" i="32"/>
  <c r="D248" i="32"/>
  <c r="G247" i="32"/>
  <c r="F247" i="32"/>
  <c r="E247" i="32"/>
  <c r="D247" i="32"/>
  <c r="G246" i="32"/>
  <c r="F246" i="32"/>
  <c r="E246" i="32"/>
  <c r="D246" i="32"/>
  <c r="G245" i="32"/>
  <c r="F245" i="32"/>
  <c r="E245" i="32"/>
  <c r="D245" i="32"/>
  <c r="G244" i="32"/>
  <c r="F244" i="32"/>
  <c r="E244" i="32"/>
  <c r="D244" i="32"/>
  <c r="G243" i="32"/>
  <c r="F243" i="32"/>
  <c r="E243" i="32"/>
  <c r="D243" i="32"/>
  <c r="G242" i="32"/>
  <c r="F242" i="32"/>
  <c r="E242" i="32"/>
  <c r="D242" i="32"/>
  <c r="G241" i="32"/>
  <c r="F241" i="32"/>
  <c r="E241" i="32"/>
  <c r="D241" i="32"/>
  <c r="G240" i="32"/>
  <c r="F240" i="32"/>
  <c r="E240" i="32"/>
  <c r="D240" i="32"/>
  <c r="G239" i="32"/>
  <c r="F239" i="32"/>
  <c r="E239" i="32"/>
  <c r="D239" i="32"/>
  <c r="G238" i="32"/>
  <c r="F238" i="32"/>
  <c r="E238" i="32"/>
  <c r="D238" i="32"/>
  <c r="G237" i="32"/>
  <c r="F237" i="32"/>
  <c r="E237" i="32"/>
  <c r="D237" i="32"/>
  <c r="G236" i="32"/>
  <c r="F236" i="32"/>
  <c r="E236" i="32"/>
  <c r="D236" i="32"/>
  <c r="G235" i="32"/>
  <c r="F235" i="32"/>
  <c r="E235" i="32"/>
  <c r="D235" i="32"/>
  <c r="G234" i="32"/>
  <c r="F234" i="32"/>
  <c r="E234" i="32"/>
  <c r="D234" i="32"/>
  <c r="G233" i="32"/>
  <c r="F233" i="32"/>
  <c r="E233" i="32"/>
  <c r="D233" i="32"/>
  <c r="G232" i="32"/>
  <c r="F232" i="32"/>
  <c r="E232" i="32"/>
  <c r="D232" i="32"/>
  <c r="G231" i="32"/>
  <c r="F231" i="32"/>
  <c r="E231" i="32"/>
  <c r="D231" i="32"/>
  <c r="G230" i="32"/>
  <c r="F230" i="32"/>
  <c r="E230" i="32"/>
  <c r="D230" i="32"/>
  <c r="G229" i="32"/>
  <c r="F229" i="32"/>
  <c r="E229" i="32"/>
  <c r="D229" i="32"/>
  <c r="G228" i="32"/>
  <c r="F228" i="32"/>
  <c r="E228" i="32"/>
  <c r="D228" i="32"/>
  <c r="G227" i="32"/>
  <c r="F227" i="32"/>
  <c r="E227" i="32"/>
  <c r="D227" i="32"/>
  <c r="G226" i="32"/>
  <c r="F226" i="32"/>
  <c r="E226" i="32"/>
  <c r="D226" i="32"/>
  <c r="G225" i="32"/>
  <c r="F225" i="32"/>
  <c r="E225" i="32"/>
  <c r="D225" i="32"/>
  <c r="G224" i="32"/>
  <c r="F224" i="32"/>
  <c r="E224" i="32"/>
  <c r="D224" i="32"/>
  <c r="G223" i="32"/>
  <c r="F223" i="32"/>
  <c r="E223" i="32"/>
  <c r="D223" i="32"/>
  <c r="G222" i="32"/>
  <c r="F222" i="32"/>
  <c r="E222" i="32"/>
  <c r="D222" i="32"/>
  <c r="G221" i="32"/>
  <c r="F221" i="32"/>
  <c r="E221" i="32"/>
  <c r="D221" i="32"/>
  <c r="G220" i="32"/>
  <c r="F220" i="32"/>
  <c r="E220" i="32"/>
  <c r="D220" i="32"/>
  <c r="G219" i="32"/>
  <c r="F219" i="32"/>
  <c r="E219" i="32"/>
  <c r="D219" i="32"/>
  <c r="G218" i="32"/>
  <c r="F218" i="32"/>
  <c r="E218" i="32"/>
  <c r="D218" i="32"/>
  <c r="G217" i="32"/>
  <c r="F217" i="32"/>
  <c r="E217" i="32"/>
  <c r="D217" i="32"/>
  <c r="G216" i="32"/>
  <c r="F216" i="32"/>
  <c r="E216" i="32"/>
  <c r="D216" i="32"/>
  <c r="G215" i="32"/>
  <c r="F215" i="32"/>
  <c r="E215" i="32"/>
  <c r="D215" i="32"/>
  <c r="G214" i="32"/>
  <c r="F214" i="32"/>
  <c r="E214" i="32"/>
  <c r="D214" i="32"/>
  <c r="G213" i="32"/>
  <c r="F213" i="32"/>
  <c r="E213" i="32"/>
  <c r="D213" i="32"/>
  <c r="G212" i="32"/>
  <c r="F212" i="32"/>
  <c r="E212" i="32"/>
  <c r="D212" i="32"/>
  <c r="G211" i="32"/>
  <c r="F211" i="32"/>
  <c r="E211" i="32"/>
  <c r="D211" i="32"/>
  <c r="G210" i="32"/>
  <c r="F210" i="32"/>
  <c r="E210" i="32"/>
  <c r="D210" i="32"/>
  <c r="G209" i="32"/>
  <c r="F209" i="32"/>
  <c r="E209" i="32"/>
  <c r="D209" i="32"/>
  <c r="G208" i="32"/>
  <c r="F208" i="32"/>
  <c r="E208" i="32"/>
  <c r="D208" i="32"/>
  <c r="G207" i="32"/>
  <c r="F207" i="32"/>
  <c r="E207" i="32"/>
  <c r="D207" i="32"/>
  <c r="G206" i="32"/>
  <c r="F206" i="32"/>
  <c r="E206" i="32"/>
  <c r="D206" i="32"/>
  <c r="G205" i="32"/>
  <c r="F205" i="32"/>
  <c r="E205" i="32"/>
  <c r="D205" i="32"/>
  <c r="G204" i="32"/>
  <c r="F204" i="32"/>
  <c r="E204" i="32"/>
  <c r="D204" i="32"/>
  <c r="G203" i="32"/>
  <c r="F203" i="32"/>
  <c r="E203" i="32"/>
  <c r="D203" i="32"/>
  <c r="G202" i="32"/>
  <c r="F202" i="32"/>
  <c r="E202" i="32"/>
  <c r="D202" i="32"/>
  <c r="G201" i="32"/>
  <c r="F201" i="32"/>
  <c r="E201" i="32"/>
  <c r="D201" i="32"/>
  <c r="G200" i="32"/>
  <c r="F200" i="32"/>
  <c r="E200" i="32"/>
  <c r="D200" i="32"/>
  <c r="G199" i="32"/>
  <c r="F199" i="32"/>
  <c r="E199" i="32"/>
  <c r="D199" i="32"/>
  <c r="G198" i="32"/>
  <c r="F198" i="32"/>
  <c r="E198" i="32"/>
  <c r="D198" i="32"/>
  <c r="G197" i="32"/>
  <c r="F197" i="32"/>
  <c r="E197" i="32"/>
  <c r="D197" i="32"/>
  <c r="G196" i="32"/>
  <c r="F196" i="32"/>
  <c r="E196" i="32"/>
  <c r="D196" i="32"/>
  <c r="G195" i="32"/>
  <c r="F195" i="32"/>
  <c r="E195" i="32"/>
  <c r="D195" i="32"/>
  <c r="G194" i="32"/>
  <c r="F194" i="32"/>
  <c r="E194" i="32"/>
  <c r="D194" i="32"/>
  <c r="G193" i="32"/>
  <c r="F193" i="32"/>
  <c r="E193" i="32"/>
  <c r="D193" i="32"/>
  <c r="G192" i="32"/>
  <c r="F192" i="32"/>
  <c r="E192" i="32"/>
  <c r="D192" i="32"/>
  <c r="G191" i="32"/>
  <c r="F191" i="32"/>
  <c r="E191" i="32"/>
  <c r="D191" i="32"/>
  <c r="G190" i="32"/>
  <c r="F190" i="32"/>
  <c r="E190" i="32"/>
  <c r="D190" i="32"/>
  <c r="G189" i="32"/>
  <c r="F189" i="32"/>
  <c r="E189" i="32"/>
  <c r="D189" i="32"/>
  <c r="G188" i="32"/>
  <c r="F188" i="32"/>
  <c r="E188" i="32"/>
  <c r="D188" i="32"/>
  <c r="G187" i="32"/>
  <c r="F187" i="32"/>
  <c r="E187" i="32"/>
  <c r="D187" i="32"/>
  <c r="G186" i="32"/>
  <c r="F186" i="32"/>
  <c r="E186" i="32"/>
  <c r="D186" i="32"/>
  <c r="G185" i="32"/>
  <c r="F185" i="32"/>
  <c r="E185" i="32"/>
  <c r="D185" i="32"/>
  <c r="G184" i="32"/>
  <c r="F184" i="32"/>
  <c r="E184" i="32"/>
  <c r="D184" i="32"/>
  <c r="G183" i="32"/>
  <c r="F183" i="32"/>
  <c r="E183" i="32"/>
  <c r="D183" i="32"/>
  <c r="G182" i="32"/>
  <c r="F182" i="32"/>
  <c r="E182" i="32"/>
  <c r="D182" i="32"/>
  <c r="G181" i="32"/>
  <c r="F181" i="32"/>
  <c r="E181" i="32"/>
  <c r="D181" i="32"/>
  <c r="G180" i="32"/>
  <c r="F180" i="32"/>
  <c r="E180" i="32"/>
  <c r="D180" i="32"/>
  <c r="G179" i="32"/>
  <c r="F179" i="32"/>
  <c r="E179" i="32"/>
  <c r="D179" i="32"/>
  <c r="G178" i="32"/>
  <c r="F178" i="32"/>
  <c r="E178" i="32"/>
  <c r="D178" i="32"/>
  <c r="G177" i="32"/>
  <c r="F177" i="32"/>
  <c r="E177" i="32"/>
  <c r="D177" i="32"/>
  <c r="G176" i="32"/>
  <c r="F176" i="32"/>
  <c r="E176" i="32"/>
  <c r="D176" i="32"/>
  <c r="G175" i="32"/>
  <c r="F175" i="32"/>
  <c r="E175" i="32"/>
  <c r="D175" i="32"/>
  <c r="G174" i="32"/>
  <c r="F174" i="32"/>
  <c r="E174" i="32"/>
  <c r="D174" i="32"/>
  <c r="G173" i="32"/>
  <c r="F173" i="32"/>
  <c r="E173" i="32"/>
  <c r="D173" i="32"/>
  <c r="G172" i="32"/>
  <c r="F172" i="32"/>
  <c r="E172" i="32"/>
  <c r="D172" i="32"/>
  <c r="G171" i="32"/>
  <c r="F171" i="32"/>
  <c r="E171" i="32"/>
  <c r="D171" i="32"/>
  <c r="G170" i="32"/>
  <c r="F170" i="32"/>
  <c r="E170" i="32"/>
  <c r="D170" i="32"/>
  <c r="G169" i="32"/>
  <c r="F169" i="32"/>
  <c r="E169" i="32"/>
  <c r="D169" i="32"/>
  <c r="G168" i="32"/>
  <c r="F168" i="32"/>
  <c r="E168" i="32"/>
  <c r="D168" i="32"/>
  <c r="G167" i="32"/>
  <c r="F167" i="32"/>
  <c r="E167" i="32"/>
  <c r="D167" i="32"/>
  <c r="G166" i="32"/>
  <c r="F166" i="32"/>
  <c r="E166" i="32"/>
  <c r="D166" i="32"/>
  <c r="G165" i="32"/>
  <c r="F165" i="32"/>
  <c r="E165" i="32"/>
  <c r="D165" i="32"/>
  <c r="G164" i="32"/>
  <c r="F164" i="32"/>
  <c r="E164" i="32"/>
  <c r="D164" i="32"/>
  <c r="G163" i="32"/>
  <c r="F163" i="32"/>
  <c r="E163" i="32"/>
  <c r="D163" i="32"/>
  <c r="G162" i="32"/>
  <c r="F162" i="32"/>
  <c r="E162" i="32"/>
  <c r="D162" i="32"/>
  <c r="G161" i="32"/>
  <c r="F161" i="32"/>
  <c r="E161" i="32"/>
  <c r="D161" i="32"/>
  <c r="G160" i="32"/>
  <c r="F160" i="32"/>
  <c r="E160" i="32"/>
  <c r="D160" i="32"/>
  <c r="G159" i="32"/>
  <c r="F159" i="32"/>
  <c r="E159" i="32"/>
  <c r="D159" i="32"/>
  <c r="G158" i="32"/>
  <c r="F158" i="32"/>
  <c r="E158" i="32"/>
  <c r="D158" i="32"/>
  <c r="G157" i="32"/>
  <c r="F157" i="32"/>
  <c r="E157" i="32"/>
  <c r="D157" i="32"/>
  <c r="G156" i="32"/>
  <c r="F156" i="32"/>
  <c r="E156" i="32"/>
  <c r="D156" i="32"/>
  <c r="G155" i="32"/>
  <c r="F155" i="32"/>
  <c r="E155" i="32"/>
  <c r="D155" i="32"/>
  <c r="G154" i="32"/>
  <c r="F154" i="32"/>
  <c r="E154" i="32"/>
  <c r="D154" i="32"/>
  <c r="G153" i="32"/>
  <c r="F153" i="32"/>
  <c r="E153" i="32"/>
  <c r="D153" i="32"/>
  <c r="G152" i="32"/>
  <c r="F152" i="32"/>
  <c r="E152" i="32"/>
  <c r="D152" i="32"/>
  <c r="G151" i="32"/>
  <c r="F151" i="32"/>
  <c r="E151" i="32"/>
  <c r="D151" i="32"/>
  <c r="G150" i="32"/>
  <c r="F150" i="32"/>
  <c r="E150" i="32"/>
  <c r="D150" i="32"/>
  <c r="G149" i="32"/>
  <c r="F149" i="32"/>
  <c r="E149" i="32"/>
  <c r="D149" i="32"/>
  <c r="G148" i="32"/>
  <c r="F148" i="32"/>
  <c r="E148" i="32"/>
  <c r="D148" i="32"/>
  <c r="G147" i="32"/>
  <c r="F147" i="32"/>
  <c r="E147" i="32"/>
  <c r="D147" i="32"/>
  <c r="G146" i="32"/>
  <c r="F146" i="32"/>
  <c r="E146" i="32"/>
  <c r="D146" i="32"/>
  <c r="G145" i="32"/>
  <c r="F145" i="32"/>
  <c r="E145" i="32"/>
  <c r="D145" i="32"/>
  <c r="G144" i="32"/>
  <c r="F144" i="32"/>
  <c r="E144" i="32"/>
  <c r="D144" i="32"/>
  <c r="G143" i="32"/>
  <c r="F143" i="32"/>
  <c r="E143" i="32"/>
  <c r="D143" i="32"/>
  <c r="G142" i="32"/>
  <c r="F142" i="32"/>
  <c r="E142" i="32"/>
  <c r="D142" i="32"/>
  <c r="G141" i="32"/>
  <c r="F141" i="32"/>
  <c r="E141" i="32"/>
  <c r="D141" i="32"/>
  <c r="G140" i="32"/>
  <c r="F140" i="32"/>
  <c r="E140" i="32"/>
  <c r="D140" i="32"/>
  <c r="G139" i="32"/>
  <c r="F139" i="32"/>
  <c r="E139" i="32"/>
  <c r="D139" i="32"/>
  <c r="G138" i="32"/>
  <c r="F138" i="32"/>
  <c r="E138" i="32"/>
  <c r="D138" i="32"/>
  <c r="G137" i="32"/>
  <c r="F137" i="32"/>
  <c r="E137" i="32"/>
  <c r="D137" i="32"/>
  <c r="G136" i="32"/>
  <c r="F136" i="32"/>
  <c r="E136" i="32"/>
  <c r="D136" i="32"/>
  <c r="G135" i="32"/>
  <c r="F135" i="32"/>
  <c r="E135" i="32"/>
  <c r="D135" i="32"/>
  <c r="G134" i="32"/>
  <c r="F134" i="32"/>
  <c r="E134" i="32"/>
  <c r="D134" i="32"/>
  <c r="G133" i="32"/>
  <c r="F133" i="32"/>
  <c r="E133" i="32"/>
  <c r="D133" i="32"/>
  <c r="G132" i="32"/>
  <c r="F132" i="32"/>
  <c r="E132" i="32"/>
  <c r="D132" i="32"/>
  <c r="G131" i="32"/>
  <c r="F131" i="32"/>
  <c r="E131" i="32"/>
  <c r="D131" i="32"/>
  <c r="G130" i="32"/>
  <c r="F130" i="32"/>
  <c r="E130" i="32"/>
  <c r="D130" i="32"/>
  <c r="G129" i="32"/>
  <c r="F129" i="32"/>
  <c r="E129" i="32"/>
  <c r="D129" i="32"/>
  <c r="G128" i="32"/>
  <c r="F128" i="32"/>
  <c r="E128" i="32"/>
  <c r="D128" i="32"/>
  <c r="G127" i="32"/>
  <c r="F127" i="32"/>
  <c r="E127" i="32"/>
  <c r="D127" i="32"/>
  <c r="G126" i="32"/>
  <c r="F126" i="32"/>
  <c r="E126" i="32"/>
  <c r="D126" i="32"/>
  <c r="G125" i="32"/>
  <c r="F125" i="32"/>
  <c r="E125" i="32"/>
  <c r="D125" i="32"/>
  <c r="G124" i="32"/>
  <c r="F124" i="32"/>
  <c r="E124" i="32"/>
  <c r="D124" i="32"/>
  <c r="G123" i="32"/>
  <c r="F123" i="32"/>
  <c r="E123" i="32"/>
  <c r="D123" i="32"/>
  <c r="G122" i="32"/>
  <c r="F122" i="32"/>
  <c r="E122" i="32"/>
  <c r="D122" i="32"/>
  <c r="G121" i="32"/>
  <c r="F121" i="32"/>
  <c r="E121" i="32"/>
  <c r="D121" i="32"/>
  <c r="G120" i="32"/>
  <c r="F120" i="32"/>
  <c r="E120" i="32"/>
  <c r="D120" i="32"/>
  <c r="G119" i="32"/>
  <c r="F119" i="32"/>
  <c r="E119" i="32"/>
  <c r="D119" i="32"/>
  <c r="G118" i="32"/>
  <c r="F118" i="32"/>
  <c r="E118" i="32"/>
  <c r="D118" i="32"/>
  <c r="G117" i="32"/>
  <c r="F117" i="32"/>
  <c r="E117" i="32"/>
  <c r="D117" i="32"/>
  <c r="G116" i="32"/>
  <c r="F116" i="32"/>
  <c r="E116" i="32"/>
  <c r="D116" i="32"/>
  <c r="G115" i="32"/>
  <c r="F115" i="32"/>
  <c r="E115" i="32"/>
  <c r="D115" i="32"/>
  <c r="G114" i="32"/>
  <c r="F114" i="32"/>
  <c r="E114" i="32"/>
  <c r="D114" i="32"/>
  <c r="G113" i="32"/>
  <c r="F113" i="32"/>
  <c r="E113" i="32"/>
  <c r="D113" i="32"/>
  <c r="G112" i="32"/>
  <c r="F112" i="32"/>
  <c r="E112" i="32"/>
  <c r="D112" i="32"/>
  <c r="G111" i="32"/>
  <c r="F111" i="32"/>
  <c r="E111" i="32"/>
  <c r="D111" i="32"/>
  <c r="G110" i="32"/>
  <c r="F110" i="32"/>
  <c r="E110" i="32"/>
  <c r="D110" i="32"/>
  <c r="G109" i="32"/>
  <c r="F109" i="32"/>
  <c r="E109" i="32"/>
  <c r="D109" i="32"/>
  <c r="G108" i="32"/>
  <c r="F108" i="32"/>
  <c r="E108" i="32"/>
  <c r="D108" i="32"/>
  <c r="G107" i="32"/>
  <c r="F107" i="32"/>
  <c r="E107" i="32"/>
  <c r="D107" i="32"/>
  <c r="G106" i="32"/>
  <c r="F106" i="32"/>
  <c r="E106" i="32"/>
  <c r="D106" i="32"/>
  <c r="G105" i="32"/>
  <c r="F105" i="32"/>
  <c r="E105" i="32"/>
  <c r="D105" i="32"/>
  <c r="G104" i="32"/>
  <c r="F104" i="32"/>
  <c r="E104" i="32"/>
  <c r="D104" i="32"/>
  <c r="G103" i="32"/>
  <c r="F103" i="32"/>
  <c r="E103" i="32"/>
  <c r="D103" i="32"/>
  <c r="G102" i="32"/>
  <c r="F102" i="32"/>
  <c r="E102" i="32"/>
  <c r="D102" i="32"/>
  <c r="G101" i="32"/>
  <c r="F101" i="32"/>
  <c r="E101" i="32"/>
  <c r="D101" i="32"/>
  <c r="G100" i="32"/>
  <c r="F100" i="32"/>
  <c r="E100" i="32"/>
  <c r="D100" i="32"/>
  <c r="G99" i="32"/>
  <c r="F99" i="32"/>
  <c r="E99" i="32"/>
  <c r="D99" i="32"/>
  <c r="G98" i="32"/>
  <c r="F98" i="32"/>
  <c r="E98" i="32"/>
  <c r="D98" i="32"/>
  <c r="G97" i="32"/>
  <c r="F97" i="32"/>
  <c r="E97" i="32"/>
  <c r="D97" i="32"/>
  <c r="G96" i="32"/>
  <c r="F96" i="32"/>
  <c r="E96" i="32"/>
  <c r="D96" i="32"/>
  <c r="G95" i="32"/>
  <c r="F95" i="32"/>
  <c r="E95" i="32"/>
  <c r="D95" i="32"/>
  <c r="G94" i="32"/>
  <c r="F94" i="32"/>
  <c r="E94" i="32"/>
  <c r="D94" i="32"/>
  <c r="G93" i="32"/>
  <c r="F93" i="32"/>
  <c r="E93" i="32"/>
  <c r="D93" i="32"/>
  <c r="G92" i="32"/>
  <c r="F92" i="32"/>
  <c r="E92" i="32"/>
  <c r="D92" i="32"/>
  <c r="G91" i="32"/>
  <c r="F91" i="32"/>
  <c r="E91" i="32"/>
  <c r="D91" i="32"/>
  <c r="G90" i="32"/>
  <c r="F90" i="32"/>
  <c r="E90" i="32"/>
  <c r="D90" i="32"/>
  <c r="G89" i="32"/>
  <c r="F89" i="32"/>
  <c r="E89" i="32"/>
  <c r="D89" i="32"/>
  <c r="G88" i="32"/>
  <c r="F88" i="32"/>
  <c r="E88" i="32"/>
  <c r="D88" i="32"/>
  <c r="G87" i="32"/>
  <c r="F87" i="32"/>
  <c r="E87" i="32"/>
  <c r="D87" i="32"/>
  <c r="G86" i="32"/>
  <c r="F86" i="32"/>
  <c r="E86" i="32"/>
  <c r="D86" i="32"/>
  <c r="G85" i="32"/>
  <c r="F85" i="32"/>
  <c r="E85" i="32"/>
  <c r="D85" i="32"/>
  <c r="G84" i="32"/>
  <c r="F84" i="32"/>
  <c r="E84" i="32"/>
  <c r="D84" i="32"/>
  <c r="G83" i="32"/>
  <c r="F83" i="32"/>
  <c r="E83" i="32"/>
  <c r="D83" i="32"/>
  <c r="G82" i="32"/>
  <c r="F82" i="32"/>
  <c r="E82" i="32"/>
  <c r="D82" i="32"/>
  <c r="G81" i="32"/>
  <c r="F81" i="32"/>
  <c r="E81" i="32"/>
  <c r="D81" i="32"/>
  <c r="G80" i="32"/>
  <c r="F80" i="32"/>
  <c r="E80" i="32"/>
  <c r="D80" i="32"/>
  <c r="G79" i="32"/>
  <c r="F79" i="32"/>
  <c r="E79" i="32"/>
  <c r="D79" i="32"/>
  <c r="G78" i="32"/>
  <c r="F78" i="32"/>
  <c r="E78" i="32"/>
  <c r="D78" i="32"/>
  <c r="G77" i="32"/>
  <c r="F77" i="32"/>
  <c r="E77" i="32"/>
  <c r="D77" i="32"/>
  <c r="G76" i="32"/>
  <c r="F76" i="32"/>
  <c r="E76" i="32"/>
  <c r="D76" i="32"/>
  <c r="G75" i="32"/>
  <c r="F75" i="32"/>
  <c r="E75" i="32"/>
  <c r="D75" i="32"/>
  <c r="G74" i="32"/>
  <c r="F74" i="32"/>
  <c r="E74" i="32"/>
  <c r="D74" i="32"/>
  <c r="G73" i="32"/>
  <c r="F73" i="32"/>
  <c r="E73" i="32"/>
  <c r="D73" i="32"/>
  <c r="G72" i="32"/>
  <c r="F72" i="32"/>
  <c r="E72" i="32"/>
  <c r="D72" i="32"/>
  <c r="G71" i="32"/>
  <c r="F71" i="32"/>
  <c r="E71" i="32"/>
  <c r="D71" i="32"/>
  <c r="G70" i="32"/>
  <c r="F70" i="32"/>
  <c r="E70" i="32"/>
  <c r="D70" i="32"/>
  <c r="G69" i="32"/>
  <c r="F69" i="32"/>
  <c r="E69" i="32"/>
  <c r="D69" i="32"/>
  <c r="G68" i="32"/>
  <c r="F68" i="32"/>
  <c r="E68" i="32"/>
  <c r="D68" i="32"/>
  <c r="G67" i="32"/>
  <c r="F67" i="32"/>
  <c r="E67" i="32"/>
  <c r="D67" i="32"/>
  <c r="G66" i="32"/>
  <c r="F66" i="32"/>
  <c r="E66" i="32"/>
  <c r="D66" i="32"/>
  <c r="G65" i="32"/>
  <c r="F65" i="32"/>
  <c r="E65" i="32"/>
  <c r="D65" i="32"/>
  <c r="G64" i="32"/>
  <c r="F64" i="32"/>
  <c r="E64" i="32"/>
  <c r="D64" i="32"/>
  <c r="G63" i="32"/>
  <c r="F63" i="32"/>
  <c r="E63" i="32"/>
  <c r="D63" i="32"/>
  <c r="G62" i="32"/>
  <c r="F62" i="32"/>
  <c r="E62" i="32"/>
  <c r="D62" i="32"/>
  <c r="G61" i="32"/>
  <c r="F61" i="32"/>
  <c r="E61" i="32"/>
  <c r="D61" i="32"/>
  <c r="G60" i="32"/>
  <c r="F60" i="32"/>
  <c r="E60" i="32"/>
  <c r="D60" i="32"/>
  <c r="G59" i="32"/>
  <c r="F59" i="32"/>
  <c r="E59" i="32"/>
  <c r="D59" i="32"/>
  <c r="G58" i="32"/>
  <c r="F58" i="32"/>
  <c r="E58" i="32"/>
  <c r="D58" i="32"/>
  <c r="G57" i="32"/>
  <c r="F57" i="32"/>
  <c r="E57" i="32"/>
  <c r="D57" i="32"/>
  <c r="G56" i="32"/>
  <c r="F56" i="32"/>
  <c r="E56" i="32"/>
  <c r="D56" i="32"/>
  <c r="G55" i="32"/>
  <c r="F55" i="32"/>
  <c r="E55" i="32"/>
  <c r="D55" i="32"/>
  <c r="G54" i="32"/>
  <c r="F54" i="32"/>
  <c r="E54" i="32"/>
  <c r="D54" i="32"/>
  <c r="G53" i="32"/>
  <c r="F53" i="32"/>
  <c r="E53" i="32"/>
  <c r="D53" i="32"/>
  <c r="G52" i="32"/>
  <c r="F52" i="32"/>
  <c r="E52" i="32"/>
  <c r="D52" i="32"/>
  <c r="G51" i="32"/>
  <c r="F51" i="32"/>
  <c r="E51" i="32"/>
  <c r="D51" i="32"/>
  <c r="G50" i="32"/>
  <c r="F50" i="32"/>
  <c r="E50" i="32"/>
  <c r="D50" i="32"/>
  <c r="G49" i="32"/>
  <c r="F49" i="32"/>
  <c r="E49" i="32"/>
  <c r="D49" i="32"/>
  <c r="G48" i="32"/>
  <c r="F48" i="32"/>
  <c r="E48" i="32"/>
  <c r="D48" i="32"/>
  <c r="G47" i="32"/>
  <c r="F47" i="32"/>
  <c r="E47" i="32"/>
  <c r="D47" i="32"/>
  <c r="G46" i="32"/>
  <c r="F46" i="32"/>
  <c r="E46" i="32"/>
  <c r="D46" i="32"/>
  <c r="G45" i="32"/>
  <c r="F45" i="32"/>
  <c r="E45" i="32"/>
  <c r="D45" i="32"/>
  <c r="G44" i="32"/>
  <c r="F44" i="32"/>
  <c r="E44" i="32"/>
  <c r="D44" i="32"/>
  <c r="G43" i="32"/>
  <c r="F43" i="32"/>
  <c r="E43" i="32"/>
  <c r="D43" i="32"/>
  <c r="G42" i="32"/>
  <c r="F42" i="32"/>
  <c r="E42" i="32"/>
  <c r="D42" i="32"/>
  <c r="G41" i="32"/>
  <c r="F41" i="32"/>
  <c r="E41" i="32"/>
  <c r="D41" i="32"/>
  <c r="G40" i="32"/>
  <c r="F40" i="32"/>
  <c r="E40" i="32"/>
  <c r="D40" i="32"/>
  <c r="G39" i="32"/>
  <c r="F39" i="32"/>
  <c r="E39" i="32"/>
  <c r="D39" i="32"/>
  <c r="G38" i="32"/>
  <c r="F38" i="32"/>
  <c r="E38" i="32"/>
  <c r="D38" i="32"/>
  <c r="G37" i="32"/>
  <c r="F37" i="32"/>
  <c r="E37" i="32"/>
  <c r="D37" i="32"/>
  <c r="G36" i="32"/>
  <c r="F36" i="32"/>
  <c r="E36" i="32"/>
  <c r="D36" i="32"/>
  <c r="G35" i="32"/>
  <c r="F35" i="32"/>
  <c r="E35" i="32"/>
  <c r="D35" i="32"/>
  <c r="G34" i="32"/>
  <c r="F34" i="32"/>
  <c r="E34" i="32"/>
  <c r="D34" i="32"/>
  <c r="G33" i="32"/>
  <c r="F33" i="32"/>
  <c r="E33" i="32"/>
  <c r="D33" i="32"/>
  <c r="G32" i="32"/>
  <c r="F32" i="32"/>
  <c r="E32" i="32"/>
  <c r="D32" i="32"/>
  <c r="G31" i="32"/>
  <c r="F31" i="32"/>
  <c r="E31" i="32"/>
  <c r="D31" i="32"/>
  <c r="G30" i="32"/>
  <c r="F30" i="32"/>
  <c r="E30" i="32"/>
  <c r="D30" i="32"/>
  <c r="G29" i="32"/>
  <c r="F29" i="32"/>
  <c r="E29" i="32"/>
  <c r="D29" i="32"/>
  <c r="G28" i="32"/>
  <c r="F28" i="32"/>
  <c r="E28" i="32"/>
  <c r="D28" i="32"/>
  <c r="G27" i="32"/>
  <c r="F27" i="32"/>
  <c r="E27" i="32"/>
  <c r="D27" i="32"/>
  <c r="G26" i="32"/>
  <c r="F26" i="32"/>
  <c r="E26" i="32"/>
  <c r="D26" i="32"/>
  <c r="G25" i="32"/>
  <c r="F25" i="32"/>
  <c r="E25" i="32"/>
  <c r="D25" i="32"/>
  <c r="G24" i="32"/>
  <c r="F24" i="32"/>
  <c r="E24" i="32"/>
  <c r="D24" i="32"/>
  <c r="G23" i="32"/>
  <c r="F23" i="32"/>
  <c r="E23" i="32"/>
  <c r="D23" i="32"/>
  <c r="G22" i="32"/>
  <c r="F22" i="32"/>
  <c r="E22" i="32"/>
  <c r="D22" i="32"/>
  <c r="G21" i="32"/>
  <c r="F21" i="32"/>
  <c r="E21" i="32"/>
  <c r="D21" i="32"/>
  <c r="G20" i="32"/>
  <c r="F20" i="32"/>
  <c r="E20" i="32"/>
  <c r="D20" i="32"/>
  <c r="G19" i="32"/>
  <c r="F19" i="32"/>
  <c r="E19" i="32"/>
  <c r="D19" i="32"/>
  <c r="G18" i="32"/>
  <c r="F18" i="32"/>
  <c r="E18" i="32"/>
  <c r="D18" i="32"/>
  <c r="G17" i="32"/>
  <c r="F17" i="32"/>
  <c r="E17" i="32"/>
  <c r="D17" i="32"/>
  <c r="G16" i="32"/>
  <c r="F16" i="32"/>
  <c r="E16" i="32"/>
  <c r="D16" i="32"/>
  <c r="G15" i="32"/>
  <c r="F15" i="32"/>
  <c r="E15" i="32"/>
  <c r="D15" i="32"/>
  <c r="G14" i="32"/>
  <c r="F14" i="32"/>
  <c r="E14" i="32"/>
  <c r="D14" i="32"/>
  <c r="G13" i="32"/>
  <c r="F13" i="32"/>
  <c r="E13" i="32"/>
  <c r="D13" i="32"/>
  <c r="G12" i="32"/>
  <c r="F12" i="32"/>
  <c r="E12" i="32"/>
  <c r="D12" i="32"/>
  <c r="G11" i="32"/>
  <c r="F11" i="32"/>
  <c r="E11" i="32"/>
  <c r="D11" i="32"/>
  <c r="G10" i="32"/>
  <c r="F10" i="32"/>
  <c r="E10" i="32"/>
  <c r="D10" i="32"/>
  <c r="G9" i="32"/>
  <c r="F9" i="32"/>
  <c r="E9" i="32"/>
  <c r="D9" i="32"/>
  <c r="G8" i="32"/>
  <c r="F8" i="32"/>
  <c r="E8" i="32"/>
  <c r="D8" i="32"/>
  <c r="G7" i="32"/>
  <c r="F7" i="32"/>
  <c r="E7" i="32"/>
  <c r="D7" i="32"/>
  <c r="G6" i="32"/>
  <c r="F6" i="32"/>
  <c r="E6" i="32"/>
  <c r="D6" i="32"/>
  <c r="G5" i="32"/>
  <c r="F5" i="32"/>
  <c r="E5" i="32"/>
  <c r="D5" i="32"/>
  <c r="G4" i="32"/>
  <c r="F4" i="32"/>
  <c r="E4" i="32"/>
  <c r="D4" i="32"/>
  <c r="G3" i="32"/>
  <c r="F3" i="32"/>
  <c r="E3" i="32"/>
  <c r="D3" i="32"/>
  <c r="G2" i="32"/>
  <c r="F2" i="32"/>
  <c r="E2" i="32"/>
  <c r="D2" i="32"/>
  <c r="F2" i="30"/>
  <c r="E3" i="30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32" i="30"/>
  <c r="E33" i="30"/>
  <c r="E34" i="30"/>
  <c r="E35" i="30"/>
  <c r="E36" i="30"/>
  <c r="E37" i="30"/>
  <c r="E38" i="30"/>
  <c r="E39" i="30"/>
  <c r="E40" i="30"/>
  <c r="E41" i="30"/>
  <c r="E42" i="30"/>
  <c r="E43" i="30"/>
  <c r="E44" i="30"/>
  <c r="E45" i="30"/>
  <c r="E46" i="30"/>
  <c r="E47" i="30"/>
  <c r="E48" i="30"/>
  <c r="E49" i="30"/>
  <c r="E50" i="30"/>
  <c r="E51" i="30"/>
  <c r="E52" i="30"/>
  <c r="E53" i="30"/>
  <c r="E54" i="30"/>
  <c r="E55" i="30"/>
  <c r="E56" i="30"/>
  <c r="E57" i="30"/>
  <c r="E58" i="30"/>
  <c r="E59" i="30"/>
  <c r="E60" i="30"/>
  <c r="E61" i="30"/>
  <c r="E62" i="30"/>
  <c r="E63" i="30"/>
  <c r="E64" i="30"/>
  <c r="E65" i="30"/>
  <c r="E66" i="30"/>
  <c r="E67" i="30"/>
  <c r="E68" i="30"/>
  <c r="E69" i="30"/>
  <c r="E70" i="30"/>
  <c r="E71" i="30"/>
  <c r="E72" i="30"/>
  <c r="E73" i="30"/>
  <c r="E74" i="30"/>
  <c r="E75" i="30"/>
  <c r="E76" i="30"/>
  <c r="E77" i="30"/>
  <c r="E78" i="30"/>
  <c r="E79" i="30"/>
  <c r="E80" i="30"/>
  <c r="E81" i="30"/>
  <c r="E82" i="30"/>
  <c r="E83" i="30"/>
  <c r="E84" i="30"/>
  <c r="E85" i="30"/>
  <c r="E86" i="30"/>
  <c r="E87" i="30"/>
  <c r="E88" i="30"/>
  <c r="E89" i="30"/>
  <c r="E90" i="30"/>
  <c r="E91" i="30"/>
  <c r="E92" i="30"/>
  <c r="E93" i="30"/>
  <c r="E94" i="30"/>
  <c r="E95" i="30"/>
  <c r="E96" i="30"/>
  <c r="E97" i="30"/>
  <c r="E98" i="30"/>
  <c r="E99" i="30"/>
  <c r="E100" i="30"/>
  <c r="E101" i="30"/>
  <c r="E102" i="30"/>
  <c r="E103" i="30"/>
  <c r="E104" i="30"/>
  <c r="E105" i="30"/>
  <c r="E106" i="30"/>
  <c r="E107" i="30"/>
  <c r="E108" i="30"/>
  <c r="E109" i="30"/>
  <c r="E110" i="30"/>
  <c r="E111" i="30"/>
  <c r="E112" i="30"/>
  <c r="E113" i="30"/>
  <c r="E114" i="30"/>
  <c r="E115" i="30"/>
  <c r="E116" i="30"/>
  <c r="E117" i="30"/>
  <c r="E118" i="30"/>
  <c r="E119" i="30"/>
  <c r="E120" i="30"/>
  <c r="E121" i="30"/>
  <c r="E122" i="30"/>
  <c r="E123" i="30"/>
  <c r="E124" i="30"/>
  <c r="E125" i="30"/>
  <c r="E126" i="30"/>
  <c r="E127" i="30"/>
  <c r="E128" i="30"/>
  <c r="E129" i="30"/>
  <c r="E130" i="30"/>
  <c r="E131" i="30"/>
  <c r="E132" i="30"/>
  <c r="E133" i="30"/>
  <c r="E134" i="30"/>
  <c r="E135" i="30"/>
  <c r="E136" i="30"/>
  <c r="E137" i="30"/>
  <c r="E138" i="30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51" i="30"/>
  <c r="E152" i="30"/>
  <c r="E153" i="30"/>
  <c r="E154" i="30"/>
  <c r="E155" i="30"/>
  <c r="E156" i="30"/>
  <c r="E157" i="30"/>
  <c r="E158" i="30"/>
  <c r="E159" i="30"/>
  <c r="E160" i="30"/>
  <c r="E161" i="30"/>
  <c r="E162" i="30"/>
  <c r="E163" i="30"/>
  <c r="E164" i="30"/>
  <c r="E165" i="30"/>
  <c r="E166" i="30"/>
  <c r="E167" i="30"/>
  <c r="E168" i="30"/>
  <c r="E169" i="30"/>
  <c r="E170" i="30"/>
  <c r="E171" i="30"/>
  <c r="E172" i="30"/>
  <c r="E173" i="30"/>
  <c r="E174" i="30"/>
  <c r="E175" i="30"/>
  <c r="E176" i="30"/>
  <c r="E177" i="30"/>
  <c r="E178" i="30"/>
  <c r="E179" i="30"/>
  <c r="E180" i="30"/>
  <c r="E181" i="30"/>
  <c r="E182" i="30"/>
  <c r="E183" i="30"/>
  <c r="E184" i="30"/>
  <c r="E185" i="30"/>
  <c r="E186" i="30"/>
  <c r="E187" i="30"/>
  <c r="E188" i="30"/>
  <c r="E189" i="30"/>
  <c r="E190" i="30"/>
  <c r="E191" i="30"/>
  <c r="E192" i="30"/>
  <c r="E193" i="30"/>
  <c r="E194" i="30"/>
  <c r="E195" i="30"/>
  <c r="E196" i="30"/>
  <c r="E197" i="30"/>
  <c r="E198" i="30"/>
  <c r="E199" i="30"/>
  <c r="E200" i="30"/>
  <c r="E201" i="30"/>
  <c r="E202" i="30"/>
  <c r="E203" i="30"/>
  <c r="E204" i="30"/>
  <c r="E205" i="30"/>
  <c r="E206" i="30"/>
  <c r="E207" i="30"/>
  <c r="E208" i="30"/>
  <c r="E209" i="30"/>
  <c r="E210" i="30"/>
  <c r="E211" i="30"/>
  <c r="E212" i="30"/>
  <c r="E213" i="30"/>
  <c r="E214" i="30"/>
  <c r="E215" i="30"/>
  <c r="E216" i="30"/>
  <c r="E217" i="30"/>
  <c r="E218" i="30"/>
  <c r="E219" i="30"/>
  <c r="E220" i="30"/>
  <c r="E221" i="30"/>
  <c r="E222" i="30"/>
  <c r="E223" i="30"/>
  <c r="E224" i="30"/>
  <c r="E225" i="30"/>
  <c r="E226" i="30"/>
  <c r="E227" i="30"/>
  <c r="E228" i="30"/>
  <c r="E229" i="30"/>
  <c r="E230" i="30"/>
  <c r="E231" i="30"/>
  <c r="E232" i="30"/>
  <c r="E233" i="30"/>
  <c r="E234" i="30"/>
  <c r="E235" i="30"/>
  <c r="E236" i="30"/>
  <c r="E237" i="30"/>
  <c r="E238" i="30"/>
  <c r="E239" i="30"/>
  <c r="E240" i="30"/>
  <c r="E241" i="30"/>
  <c r="E242" i="30"/>
  <c r="E243" i="30"/>
  <c r="E244" i="30"/>
  <c r="E245" i="30"/>
  <c r="E246" i="30"/>
  <c r="E247" i="30"/>
  <c r="E248" i="30"/>
  <c r="E249" i="30"/>
  <c r="E250" i="30"/>
  <c r="E251" i="30"/>
  <c r="E2" i="30"/>
  <c r="D3" i="30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4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1" i="30"/>
  <c r="D162" i="30"/>
  <c r="D163" i="30"/>
  <c r="D164" i="30"/>
  <c r="D165" i="30"/>
  <c r="D166" i="30"/>
  <c r="D167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0" i="30"/>
  <c r="D181" i="30"/>
  <c r="D182" i="30"/>
  <c r="D183" i="30"/>
  <c r="D184" i="30"/>
  <c r="D185" i="30"/>
  <c r="D186" i="30"/>
  <c r="D187" i="30"/>
  <c r="D188" i="30"/>
  <c r="D189" i="30"/>
  <c r="D190" i="30"/>
  <c r="D191" i="30"/>
  <c r="D192" i="30"/>
  <c r="D193" i="30"/>
  <c r="D194" i="30"/>
  <c r="D195" i="30"/>
  <c r="D196" i="30"/>
  <c r="D197" i="30"/>
  <c r="D198" i="30"/>
  <c r="D199" i="30"/>
  <c r="D200" i="30"/>
  <c r="D201" i="30"/>
  <c r="D202" i="30"/>
  <c r="D203" i="30"/>
  <c r="D204" i="30"/>
  <c r="D205" i="30"/>
  <c r="D206" i="30"/>
  <c r="D207" i="30"/>
  <c r="D208" i="30"/>
  <c r="D209" i="30"/>
  <c r="D210" i="30"/>
  <c r="D211" i="30"/>
  <c r="D212" i="30"/>
  <c r="D213" i="30"/>
  <c r="D214" i="30"/>
  <c r="D215" i="30"/>
  <c r="D216" i="30"/>
  <c r="D217" i="30"/>
  <c r="D218" i="30"/>
  <c r="D219" i="30"/>
  <c r="D220" i="30"/>
  <c r="D221" i="30"/>
  <c r="D222" i="30"/>
  <c r="D223" i="30"/>
  <c r="D224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5" i="30"/>
  <c r="D246" i="30"/>
  <c r="D247" i="30"/>
  <c r="D248" i="30"/>
  <c r="D249" i="30"/>
  <c r="D250" i="30"/>
  <c r="D251" i="30"/>
  <c r="D2" i="30"/>
  <c r="G251" i="30"/>
  <c r="F251" i="30"/>
  <c r="G250" i="30"/>
  <c r="F250" i="30"/>
  <c r="G249" i="30"/>
  <c r="F249" i="30"/>
  <c r="G248" i="30"/>
  <c r="F248" i="30"/>
  <c r="G247" i="30"/>
  <c r="F247" i="30"/>
  <c r="G246" i="30"/>
  <c r="F246" i="30"/>
  <c r="G245" i="30"/>
  <c r="F245" i="30"/>
  <c r="G244" i="30"/>
  <c r="F244" i="30"/>
  <c r="G243" i="30"/>
  <c r="F243" i="30"/>
  <c r="G242" i="30"/>
  <c r="F242" i="30"/>
  <c r="G241" i="30"/>
  <c r="F241" i="30"/>
  <c r="G240" i="30"/>
  <c r="F240" i="30"/>
  <c r="G239" i="30"/>
  <c r="F239" i="30"/>
  <c r="G238" i="30"/>
  <c r="F238" i="30"/>
  <c r="G237" i="30"/>
  <c r="F237" i="30"/>
  <c r="G236" i="30"/>
  <c r="F236" i="30"/>
  <c r="G235" i="30"/>
  <c r="F235" i="30"/>
  <c r="G234" i="30"/>
  <c r="F234" i="30"/>
  <c r="G233" i="30"/>
  <c r="F233" i="30"/>
  <c r="G232" i="30"/>
  <c r="F232" i="30"/>
  <c r="G231" i="30"/>
  <c r="F231" i="30"/>
  <c r="G230" i="30"/>
  <c r="F230" i="30"/>
  <c r="G229" i="30"/>
  <c r="F229" i="30"/>
  <c r="G228" i="30"/>
  <c r="F228" i="30"/>
  <c r="G227" i="30"/>
  <c r="F227" i="30"/>
  <c r="G226" i="30"/>
  <c r="F226" i="30"/>
  <c r="G225" i="30"/>
  <c r="F225" i="30"/>
  <c r="G224" i="30"/>
  <c r="F224" i="30"/>
  <c r="G223" i="30"/>
  <c r="F223" i="30"/>
  <c r="G222" i="30"/>
  <c r="F222" i="30"/>
  <c r="G221" i="30"/>
  <c r="F221" i="30"/>
  <c r="G220" i="30"/>
  <c r="F220" i="30"/>
  <c r="G219" i="30"/>
  <c r="F219" i="30"/>
  <c r="G218" i="30"/>
  <c r="F218" i="30"/>
  <c r="G217" i="30"/>
  <c r="F217" i="30"/>
  <c r="G216" i="30"/>
  <c r="F216" i="30"/>
  <c r="G215" i="30"/>
  <c r="F215" i="30"/>
  <c r="G214" i="30"/>
  <c r="F214" i="30"/>
  <c r="G213" i="30"/>
  <c r="F213" i="30"/>
  <c r="G212" i="30"/>
  <c r="F212" i="30"/>
  <c r="G211" i="30"/>
  <c r="F211" i="30"/>
  <c r="G210" i="30"/>
  <c r="F210" i="30"/>
  <c r="G209" i="30"/>
  <c r="F209" i="30"/>
  <c r="G208" i="30"/>
  <c r="F208" i="30"/>
  <c r="G207" i="30"/>
  <c r="F207" i="30"/>
  <c r="G206" i="30"/>
  <c r="F206" i="30"/>
  <c r="G205" i="30"/>
  <c r="F205" i="30"/>
  <c r="G204" i="30"/>
  <c r="F204" i="30"/>
  <c r="G203" i="30"/>
  <c r="F203" i="30"/>
  <c r="G202" i="30"/>
  <c r="F202" i="30"/>
  <c r="G201" i="30"/>
  <c r="F201" i="30"/>
  <c r="G200" i="30"/>
  <c r="F200" i="30"/>
  <c r="G199" i="30"/>
  <c r="F199" i="30"/>
  <c r="G198" i="30"/>
  <c r="F198" i="30"/>
  <c r="G197" i="30"/>
  <c r="F197" i="30"/>
  <c r="G196" i="30"/>
  <c r="F196" i="30"/>
  <c r="G195" i="30"/>
  <c r="F195" i="30"/>
  <c r="G194" i="30"/>
  <c r="F194" i="30"/>
  <c r="G193" i="30"/>
  <c r="F193" i="30"/>
  <c r="G192" i="30"/>
  <c r="F192" i="30"/>
  <c r="G191" i="30"/>
  <c r="F191" i="30"/>
  <c r="G190" i="30"/>
  <c r="F190" i="30"/>
  <c r="G189" i="30"/>
  <c r="F189" i="30"/>
  <c r="G188" i="30"/>
  <c r="F188" i="30"/>
  <c r="G187" i="30"/>
  <c r="F187" i="30"/>
  <c r="G186" i="30"/>
  <c r="F186" i="30"/>
  <c r="G185" i="30"/>
  <c r="F185" i="30"/>
  <c r="G184" i="30"/>
  <c r="F184" i="30"/>
  <c r="G183" i="30"/>
  <c r="F183" i="30"/>
  <c r="G182" i="30"/>
  <c r="F182" i="30"/>
  <c r="G181" i="30"/>
  <c r="F181" i="30"/>
  <c r="G180" i="30"/>
  <c r="F180" i="30"/>
  <c r="G179" i="30"/>
  <c r="F179" i="30"/>
  <c r="G178" i="30"/>
  <c r="F178" i="30"/>
  <c r="G177" i="30"/>
  <c r="F177" i="30"/>
  <c r="G176" i="30"/>
  <c r="F176" i="30"/>
  <c r="G175" i="30"/>
  <c r="F175" i="30"/>
  <c r="G174" i="30"/>
  <c r="F174" i="30"/>
  <c r="G173" i="30"/>
  <c r="F173" i="30"/>
  <c r="G172" i="30"/>
  <c r="F172" i="30"/>
  <c r="G171" i="30"/>
  <c r="F171" i="30"/>
  <c r="G170" i="30"/>
  <c r="F170" i="30"/>
  <c r="G169" i="30"/>
  <c r="F169" i="30"/>
  <c r="G168" i="30"/>
  <c r="F168" i="30"/>
  <c r="G167" i="30"/>
  <c r="F167" i="30"/>
  <c r="G166" i="30"/>
  <c r="F166" i="30"/>
  <c r="G165" i="30"/>
  <c r="F165" i="30"/>
  <c r="G164" i="30"/>
  <c r="F164" i="30"/>
  <c r="G163" i="30"/>
  <c r="F163" i="30"/>
  <c r="G162" i="30"/>
  <c r="F162" i="30"/>
  <c r="G161" i="30"/>
  <c r="F161" i="30"/>
  <c r="G160" i="30"/>
  <c r="F160" i="30"/>
  <c r="G159" i="30"/>
  <c r="F159" i="30"/>
  <c r="G158" i="30"/>
  <c r="F158" i="30"/>
  <c r="G157" i="30"/>
  <c r="F157" i="30"/>
  <c r="G156" i="30"/>
  <c r="F156" i="30"/>
  <c r="G155" i="30"/>
  <c r="F155" i="30"/>
  <c r="G154" i="30"/>
  <c r="F154" i="30"/>
  <c r="G153" i="30"/>
  <c r="F153" i="30"/>
  <c r="G152" i="30"/>
  <c r="F152" i="30"/>
  <c r="G151" i="30"/>
  <c r="F151" i="30"/>
  <c r="G150" i="30"/>
  <c r="F150" i="30"/>
  <c r="G149" i="30"/>
  <c r="F149" i="30"/>
  <c r="G148" i="30"/>
  <c r="F148" i="30"/>
  <c r="G147" i="30"/>
  <c r="F147" i="30"/>
  <c r="G146" i="30"/>
  <c r="F146" i="30"/>
  <c r="G145" i="30"/>
  <c r="F145" i="30"/>
  <c r="G144" i="30"/>
  <c r="F144" i="30"/>
  <c r="G143" i="30"/>
  <c r="F143" i="30"/>
  <c r="G142" i="30"/>
  <c r="F142" i="30"/>
  <c r="G141" i="30"/>
  <c r="F141" i="30"/>
  <c r="G140" i="30"/>
  <c r="F140" i="30"/>
  <c r="G139" i="30"/>
  <c r="F139" i="30"/>
  <c r="G138" i="30"/>
  <c r="F138" i="30"/>
  <c r="G137" i="30"/>
  <c r="F137" i="30"/>
  <c r="G136" i="30"/>
  <c r="F136" i="30"/>
  <c r="G135" i="30"/>
  <c r="F135" i="30"/>
  <c r="G134" i="30"/>
  <c r="F134" i="30"/>
  <c r="G133" i="30"/>
  <c r="F133" i="30"/>
  <c r="G132" i="30"/>
  <c r="F132" i="30"/>
  <c r="G131" i="30"/>
  <c r="F131" i="30"/>
  <c r="G130" i="30"/>
  <c r="F130" i="30"/>
  <c r="G129" i="30"/>
  <c r="F129" i="30"/>
  <c r="G128" i="30"/>
  <c r="F128" i="30"/>
  <c r="G127" i="30"/>
  <c r="F127" i="30"/>
  <c r="G126" i="30"/>
  <c r="F126" i="30"/>
  <c r="G125" i="30"/>
  <c r="F125" i="30"/>
  <c r="G124" i="30"/>
  <c r="F124" i="30"/>
  <c r="G123" i="30"/>
  <c r="F123" i="30"/>
  <c r="G122" i="30"/>
  <c r="F122" i="30"/>
  <c r="G121" i="30"/>
  <c r="F121" i="30"/>
  <c r="G120" i="30"/>
  <c r="F120" i="30"/>
  <c r="G119" i="30"/>
  <c r="F119" i="30"/>
  <c r="G118" i="30"/>
  <c r="F118" i="30"/>
  <c r="G117" i="30"/>
  <c r="F117" i="30"/>
  <c r="G116" i="30"/>
  <c r="F116" i="30"/>
  <c r="G115" i="30"/>
  <c r="F115" i="30"/>
  <c r="G114" i="30"/>
  <c r="F114" i="30"/>
  <c r="G113" i="30"/>
  <c r="F113" i="30"/>
  <c r="G112" i="30"/>
  <c r="F112" i="30"/>
  <c r="G111" i="30"/>
  <c r="F111" i="30"/>
  <c r="G110" i="30"/>
  <c r="F110" i="30"/>
  <c r="G109" i="30"/>
  <c r="F109" i="30"/>
  <c r="G108" i="30"/>
  <c r="F108" i="30"/>
  <c r="G107" i="30"/>
  <c r="F107" i="30"/>
  <c r="G106" i="30"/>
  <c r="F106" i="30"/>
  <c r="G105" i="30"/>
  <c r="F105" i="30"/>
  <c r="G104" i="30"/>
  <c r="F104" i="30"/>
  <c r="G103" i="30"/>
  <c r="F103" i="30"/>
  <c r="G102" i="30"/>
  <c r="F102" i="30"/>
  <c r="G101" i="30"/>
  <c r="F101" i="30"/>
  <c r="G100" i="30"/>
  <c r="F100" i="30"/>
  <c r="G99" i="30"/>
  <c r="F99" i="30"/>
  <c r="G98" i="30"/>
  <c r="F98" i="30"/>
  <c r="G97" i="30"/>
  <c r="F97" i="30"/>
  <c r="G96" i="30"/>
  <c r="F96" i="30"/>
  <c r="G95" i="30"/>
  <c r="F95" i="30"/>
  <c r="G94" i="30"/>
  <c r="F94" i="30"/>
  <c r="G93" i="30"/>
  <c r="F93" i="30"/>
  <c r="G92" i="30"/>
  <c r="F92" i="30"/>
  <c r="G91" i="30"/>
  <c r="F91" i="30"/>
  <c r="G90" i="30"/>
  <c r="F90" i="30"/>
  <c r="G89" i="30"/>
  <c r="F89" i="30"/>
  <c r="G88" i="30"/>
  <c r="F88" i="30"/>
  <c r="G87" i="30"/>
  <c r="F87" i="30"/>
  <c r="G86" i="30"/>
  <c r="F86" i="30"/>
  <c r="G85" i="30"/>
  <c r="F85" i="30"/>
  <c r="G84" i="30"/>
  <c r="F84" i="30"/>
  <c r="G83" i="30"/>
  <c r="F83" i="30"/>
  <c r="G82" i="30"/>
  <c r="F82" i="30"/>
  <c r="G81" i="30"/>
  <c r="F81" i="30"/>
  <c r="G80" i="30"/>
  <c r="F80" i="30"/>
  <c r="G79" i="30"/>
  <c r="F79" i="30"/>
  <c r="G78" i="30"/>
  <c r="F78" i="30"/>
  <c r="G77" i="30"/>
  <c r="F77" i="30"/>
  <c r="G76" i="30"/>
  <c r="F76" i="30"/>
  <c r="G75" i="30"/>
  <c r="F75" i="30"/>
  <c r="G74" i="30"/>
  <c r="F74" i="30"/>
  <c r="G73" i="30"/>
  <c r="F73" i="30"/>
  <c r="G72" i="30"/>
  <c r="F72" i="30"/>
  <c r="G71" i="30"/>
  <c r="F71" i="30"/>
  <c r="G70" i="30"/>
  <c r="F70" i="30"/>
  <c r="G69" i="30"/>
  <c r="F69" i="30"/>
  <c r="G68" i="30"/>
  <c r="F68" i="30"/>
  <c r="G67" i="30"/>
  <c r="F67" i="30"/>
  <c r="G66" i="30"/>
  <c r="F66" i="30"/>
  <c r="G65" i="30"/>
  <c r="F65" i="30"/>
  <c r="G64" i="30"/>
  <c r="F64" i="30"/>
  <c r="G63" i="30"/>
  <c r="F63" i="30"/>
  <c r="G62" i="30"/>
  <c r="F62" i="30"/>
  <c r="G61" i="30"/>
  <c r="F61" i="30"/>
  <c r="G60" i="30"/>
  <c r="F60" i="30"/>
  <c r="G59" i="30"/>
  <c r="F59" i="30"/>
  <c r="G58" i="30"/>
  <c r="F58" i="30"/>
  <c r="G57" i="30"/>
  <c r="F57" i="30"/>
  <c r="G56" i="30"/>
  <c r="F56" i="30"/>
  <c r="G55" i="30"/>
  <c r="F55" i="30"/>
  <c r="G54" i="30"/>
  <c r="F54" i="30"/>
  <c r="G53" i="30"/>
  <c r="F53" i="30"/>
  <c r="G52" i="30"/>
  <c r="F52" i="30"/>
  <c r="G51" i="30"/>
  <c r="F51" i="30"/>
  <c r="G50" i="30"/>
  <c r="F50" i="30"/>
  <c r="G49" i="30"/>
  <c r="F49" i="30"/>
  <c r="G48" i="30"/>
  <c r="F48" i="30"/>
  <c r="G47" i="30"/>
  <c r="F47" i="30"/>
  <c r="G46" i="30"/>
  <c r="F46" i="30"/>
  <c r="G45" i="30"/>
  <c r="F45" i="30"/>
  <c r="G44" i="30"/>
  <c r="F44" i="30"/>
  <c r="G43" i="30"/>
  <c r="F43" i="30"/>
  <c r="G42" i="30"/>
  <c r="F42" i="30"/>
  <c r="G41" i="30"/>
  <c r="F41" i="30"/>
  <c r="G40" i="30"/>
  <c r="F40" i="30"/>
  <c r="G39" i="30"/>
  <c r="F39" i="30"/>
  <c r="G38" i="30"/>
  <c r="F38" i="30"/>
  <c r="G37" i="30"/>
  <c r="F37" i="30"/>
  <c r="G36" i="30"/>
  <c r="F36" i="30"/>
  <c r="G35" i="30"/>
  <c r="F35" i="30"/>
  <c r="G34" i="30"/>
  <c r="F34" i="30"/>
  <c r="G33" i="30"/>
  <c r="F33" i="30"/>
  <c r="G32" i="30"/>
  <c r="F32" i="30"/>
  <c r="G31" i="30"/>
  <c r="F31" i="30"/>
  <c r="G30" i="30"/>
  <c r="F30" i="30"/>
  <c r="G29" i="30"/>
  <c r="F29" i="30"/>
  <c r="G28" i="30"/>
  <c r="F28" i="30"/>
  <c r="G27" i="30"/>
  <c r="F27" i="30"/>
  <c r="G26" i="30"/>
  <c r="F26" i="30"/>
  <c r="G25" i="30"/>
  <c r="F25" i="30"/>
  <c r="G24" i="30"/>
  <c r="F24" i="30"/>
  <c r="G23" i="30"/>
  <c r="F23" i="30"/>
  <c r="G22" i="30"/>
  <c r="F22" i="30"/>
  <c r="G21" i="30"/>
  <c r="F21" i="30"/>
  <c r="G20" i="30"/>
  <c r="F20" i="30"/>
  <c r="G19" i="30"/>
  <c r="F19" i="30"/>
  <c r="G18" i="30"/>
  <c r="F18" i="30"/>
  <c r="G17" i="30"/>
  <c r="F17" i="30"/>
  <c r="G16" i="30"/>
  <c r="F16" i="30"/>
  <c r="G15" i="30"/>
  <c r="F15" i="30"/>
  <c r="G14" i="30"/>
  <c r="F14" i="30"/>
  <c r="G13" i="30"/>
  <c r="F13" i="30"/>
  <c r="G12" i="30"/>
  <c r="F12" i="30"/>
  <c r="G11" i="30"/>
  <c r="F11" i="30"/>
  <c r="G10" i="30"/>
  <c r="F10" i="30"/>
  <c r="G9" i="30"/>
  <c r="F9" i="30"/>
  <c r="G8" i="30"/>
  <c r="F8" i="30"/>
  <c r="G7" i="30"/>
  <c r="F7" i="30"/>
  <c r="G6" i="30"/>
  <c r="F6" i="30"/>
  <c r="G5" i="30"/>
  <c r="F5" i="30"/>
  <c r="G4" i="30"/>
  <c r="F4" i="30"/>
  <c r="G3" i="30"/>
  <c r="F3" i="30"/>
  <c r="G2" i="30"/>
  <c r="G3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G72" i="29"/>
  <c r="G73" i="29"/>
  <c r="G74" i="29"/>
  <c r="G75" i="29"/>
  <c r="G76" i="29"/>
  <c r="G77" i="29"/>
  <c r="G78" i="29"/>
  <c r="G79" i="29"/>
  <c r="G80" i="29"/>
  <c r="G81" i="29"/>
  <c r="G82" i="29"/>
  <c r="G83" i="29"/>
  <c r="G84" i="29"/>
  <c r="G85" i="29"/>
  <c r="G86" i="29"/>
  <c r="G87" i="29"/>
  <c r="G88" i="29"/>
  <c r="G89" i="29"/>
  <c r="G90" i="29"/>
  <c r="G91" i="29"/>
  <c r="G92" i="29"/>
  <c r="G93" i="29"/>
  <c r="G94" i="29"/>
  <c r="G95" i="29"/>
  <c r="G96" i="29"/>
  <c r="G97" i="29"/>
  <c r="G98" i="29"/>
  <c r="G99" i="29"/>
  <c r="G100" i="29"/>
  <c r="G101" i="29"/>
  <c r="G102" i="29"/>
  <c r="G103" i="29"/>
  <c r="G104" i="29"/>
  <c r="G105" i="29"/>
  <c r="G106" i="29"/>
  <c r="G107" i="29"/>
  <c r="G108" i="29"/>
  <c r="G109" i="29"/>
  <c r="G110" i="29"/>
  <c r="G111" i="29"/>
  <c r="G112" i="29"/>
  <c r="G113" i="29"/>
  <c r="G114" i="29"/>
  <c r="G115" i="29"/>
  <c r="G116" i="29"/>
  <c r="G117" i="29"/>
  <c r="G118" i="29"/>
  <c r="G119" i="29"/>
  <c r="G120" i="29"/>
  <c r="G121" i="29"/>
  <c r="G122" i="29"/>
  <c r="G123" i="29"/>
  <c r="G124" i="29"/>
  <c r="G125" i="29"/>
  <c r="G126" i="29"/>
  <c r="G127" i="29"/>
  <c r="G128" i="29"/>
  <c r="G129" i="29"/>
  <c r="G130" i="29"/>
  <c r="G131" i="29"/>
  <c r="G132" i="29"/>
  <c r="G133" i="29"/>
  <c r="G134" i="29"/>
  <c r="G135" i="29"/>
  <c r="G136" i="29"/>
  <c r="G137" i="29"/>
  <c r="G138" i="29"/>
  <c r="G139" i="29"/>
  <c r="G140" i="29"/>
  <c r="G141" i="29"/>
  <c r="G142" i="29"/>
  <c r="G143" i="29"/>
  <c r="G144" i="29"/>
  <c r="G145" i="29"/>
  <c r="G146" i="29"/>
  <c r="G147" i="29"/>
  <c r="G148" i="29"/>
  <c r="G149" i="29"/>
  <c r="G150" i="29"/>
  <c r="G151" i="29"/>
  <c r="G152" i="29"/>
  <c r="G153" i="29"/>
  <c r="G154" i="29"/>
  <c r="G155" i="29"/>
  <c r="G156" i="29"/>
  <c r="G157" i="29"/>
  <c r="G158" i="29"/>
  <c r="G159" i="29"/>
  <c r="G160" i="29"/>
  <c r="G161" i="29"/>
  <c r="G162" i="29"/>
  <c r="G163" i="29"/>
  <c r="G164" i="29"/>
  <c r="G165" i="29"/>
  <c r="G166" i="29"/>
  <c r="G167" i="29"/>
  <c r="G168" i="29"/>
  <c r="G169" i="29"/>
  <c r="G170" i="29"/>
  <c r="G171" i="29"/>
  <c r="G172" i="29"/>
  <c r="G173" i="29"/>
  <c r="G174" i="29"/>
  <c r="G175" i="29"/>
  <c r="G176" i="29"/>
  <c r="G177" i="29"/>
  <c r="G178" i="29"/>
  <c r="G179" i="29"/>
  <c r="G180" i="29"/>
  <c r="G181" i="29"/>
  <c r="G182" i="29"/>
  <c r="G183" i="29"/>
  <c r="G184" i="29"/>
  <c r="G185" i="29"/>
  <c r="G186" i="29"/>
  <c r="G187" i="29"/>
  <c r="G188" i="29"/>
  <c r="G189" i="29"/>
  <c r="G190" i="29"/>
  <c r="G191" i="29"/>
  <c r="G192" i="29"/>
  <c r="G193" i="29"/>
  <c r="G194" i="29"/>
  <c r="G195" i="29"/>
  <c r="G196" i="29"/>
  <c r="G197" i="29"/>
  <c r="G198" i="29"/>
  <c r="G199" i="29"/>
  <c r="G200" i="29"/>
  <c r="G201" i="29"/>
  <c r="G202" i="29"/>
  <c r="G203" i="29"/>
  <c r="G204" i="29"/>
  <c r="G205" i="29"/>
  <c r="G206" i="29"/>
  <c r="G207" i="29"/>
  <c r="G208" i="29"/>
  <c r="G209" i="29"/>
  <c r="G210" i="29"/>
  <c r="G211" i="29"/>
  <c r="G212" i="29"/>
  <c r="G213" i="29"/>
  <c r="G214" i="29"/>
  <c r="G215" i="29"/>
  <c r="G216" i="29"/>
  <c r="G217" i="29"/>
  <c r="G218" i="29"/>
  <c r="G219" i="29"/>
  <c r="G220" i="29"/>
  <c r="G221" i="29"/>
  <c r="G222" i="29"/>
  <c r="G223" i="29"/>
  <c r="G224" i="29"/>
  <c r="G225" i="29"/>
  <c r="G226" i="29"/>
  <c r="G227" i="29"/>
  <c r="G228" i="29"/>
  <c r="G229" i="29"/>
  <c r="G230" i="29"/>
  <c r="G231" i="29"/>
  <c r="G232" i="29"/>
  <c r="G233" i="29"/>
  <c r="G234" i="29"/>
  <c r="G235" i="29"/>
  <c r="G236" i="29"/>
  <c r="G237" i="29"/>
  <c r="G238" i="29"/>
  <c r="G239" i="29"/>
  <c r="G240" i="29"/>
  <c r="G241" i="29"/>
  <c r="G242" i="29"/>
  <c r="G243" i="29"/>
  <c r="G244" i="29"/>
  <c r="G245" i="29"/>
  <c r="G246" i="29"/>
  <c r="G247" i="29"/>
  <c r="G248" i="29"/>
  <c r="G249" i="29"/>
  <c r="G250" i="29"/>
  <c r="G251" i="29"/>
  <c r="G2" i="29"/>
  <c r="F3" i="29"/>
  <c r="F4" i="29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F63" i="29"/>
  <c r="F64" i="29"/>
  <c r="F65" i="29"/>
  <c r="F66" i="29"/>
  <c r="F67" i="29"/>
  <c r="F68" i="29"/>
  <c r="F69" i="29"/>
  <c r="F70" i="29"/>
  <c r="F71" i="29"/>
  <c r="F72" i="29"/>
  <c r="F73" i="29"/>
  <c r="F74" i="29"/>
  <c r="F75" i="29"/>
  <c r="F76" i="29"/>
  <c r="F77" i="29"/>
  <c r="F78" i="29"/>
  <c r="F79" i="29"/>
  <c r="F80" i="29"/>
  <c r="F81" i="29"/>
  <c r="F82" i="29"/>
  <c r="F83" i="29"/>
  <c r="F84" i="29"/>
  <c r="F85" i="29"/>
  <c r="F86" i="29"/>
  <c r="F87" i="29"/>
  <c r="F88" i="29"/>
  <c r="F89" i="29"/>
  <c r="F90" i="29"/>
  <c r="F91" i="29"/>
  <c r="F92" i="29"/>
  <c r="F93" i="29"/>
  <c r="F94" i="29"/>
  <c r="F95" i="29"/>
  <c r="F96" i="29"/>
  <c r="F97" i="29"/>
  <c r="F98" i="29"/>
  <c r="F99" i="29"/>
  <c r="F100" i="29"/>
  <c r="F101" i="29"/>
  <c r="F102" i="29"/>
  <c r="F103" i="29"/>
  <c r="F104" i="29"/>
  <c r="F105" i="29"/>
  <c r="F106" i="29"/>
  <c r="F107" i="29"/>
  <c r="F108" i="29"/>
  <c r="F109" i="29"/>
  <c r="F110" i="29"/>
  <c r="F111" i="29"/>
  <c r="F112" i="29"/>
  <c r="F113" i="29"/>
  <c r="F114" i="29"/>
  <c r="F115" i="29"/>
  <c r="F116" i="29"/>
  <c r="F117" i="29"/>
  <c r="F118" i="29"/>
  <c r="F119" i="29"/>
  <c r="F120" i="29"/>
  <c r="F121" i="29"/>
  <c r="F122" i="29"/>
  <c r="F123" i="29"/>
  <c r="F124" i="29"/>
  <c r="F125" i="29"/>
  <c r="F126" i="29"/>
  <c r="F127" i="29"/>
  <c r="F128" i="29"/>
  <c r="F129" i="29"/>
  <c r="F130" i="29"/>
  <c r="F131" i="29"/>
  <c r="F132" i="29"/>
  <c r="F133" i="29"/>
  <c r="F134" i="29"/>
  <c r="F135" i="29"/>
  <c r="F136" i="29"/>
  <c r="F137" i="29"/>
  <c r="F138" i="29"/>
  <c r="F139" i="29"/>
  <c r="F140" i="29"/>
  <c r="F141" i="29"/>
  <c r="F142" i="29"/>
  <c r="F143" i="29"/>
  <c r="F144" i="29"/>
  <c r="F145" i="29"/>
  <c r="F146" i="29"/>
  <c r="F147" i="29"/>
  <c r="F148" i="29"/>
  <c r="F149" i="29"/>
  <c r="F150" i="29"/>
  <c r="F151" i="29"/>
  <c r="F152" i="29"/>
  <c r="F153" i="29"/>
  <c r="F154" i="29"/>
  <c r="F155" i="29"/>
  <c r="F156" i="29"/>
  <c r="F157" i="29"/>
  <c r="F158" i="29"/>
  <c r="F159" i="29"/>
  <c r="F160" i="29"/>
  <c r="F161" i="29"/>
  <c r="F162" i="29"/>
  <c r="F163" i="29"/>
  <c r="F164" i="29"/>
  <c r="F165" i="29"/>
  <c r="F166" i="29"/>
  <c r="F167" i="29"/>
  <c r="F168" i="29"/>
  <c r="F169" i="29"/>
  <c r="F170" i="29"/>
  <c r="F171" i="29"/>
  <c r="F172" i="29"/>
  <c r="F173" i="29"/>
  <c r="F174" i="29"/>
  <c r="F175" i="29"/>
  <c r="F176" i="29"/>
  <c r="F177" i="29"/>
  <c r="F178" i="29"/>
  <c r="F179" i="29"/>
  <c r="F180" i="29"/>
  <c r="F181" i="29"/>
  <c r="F182" i="29"/>
  <c r="F183" i="29"/>
  <c r="F184" i="29"/>
  <c r="F185" i="29"/>
  <c r="F186" i="29"/>
  <c r="F187" i="29"/>
  <c r="F188" i="29"/>
  <c r="F189" i="29"/>
  <c r="F190" i="29"/>
  <c r="F191" i="29"/>
  <c r="F192" i="29"/>
  <c r="F193" i="29"/>
  <c r="F194" i="29"/>
  <c r="F195" i="29"/>
  <c r="F196" i="29"/>
  <c r="F197" i="29"/>
  <c r="F198" i="29"/>
  <c r="F199" i="29"/>
  <c r="F200" i="29"/>
  <c r="F201" i="29"/>
  <c r="F202" i="29"/>
  <c r="F203" i="29"/>
  <c r="F204" i="29"/>
  <c r="F205" i="29"/>
  <c r="F206" i="29"/>
  <c r="F207" i="29"/>
  <c r="F208" i="29"/>
  <c r="F209" i="29"/>
  <c r="F210" i="29"/>
  <c r="F211" i="29"/>
  <c r="F212" i="29"/>
  <c r="F213" i="29"/>
  <c r="F214" i="29"/>
  <c r="F215" i="29"/>
  <c r="F216" i="29"/>
  <c r="F217" i="29"/>
  <c r="F218" i="29"/>
  <c r="F219" i="29"/>
  <c r="F220" i="29"/>
  <c r="F221" i="29"/>
  <c r="F222" i="29"/>
  <c r="F223" i="29"/>
  <c r="F224" i="29"/>
  <c r="F225" i="29"/>
  <c r="F226" i="29"/>
  <c r="F227" i="29"/>
  <c r="F228" i="29"/>
  <c r="F229" i="29"/>
  <c r="F230" i="29"/>
  <c r="F231" i="29"/>
  <c r="F232" i="29"/>
  <c r="F233" i="29"/>
  <c r="F234" i="29"/>
  <c r="F235" i="29"/>
  <c r="F236" i="29"/>
  <c r="F237" i="29"/>
  <c r="F238" i="29"/>
  <c r="F239" i="29"/>
  <c r="F240" i="29"/>
  <c r="F241" i="29"/>
  <c r="F242" i="29"/>
  <c r="F243" i="29"/>
  <c r="F244" i="29"/>
  <c r="F245" i="29"/>
  <c r="F246" i="29"/>
  <c r="F247" i="29"/>
  <c r="F248" i="29"/>
  <c r="F249" i="29"/>
  <c r="F250" i="29"/>
  <c r="F251" i="29"/>
  <c r="F2" i="29"/>
  <c r="E3" i="29"/>
  <c r="E4" i="29"/>
  <c r="E5" i="29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E85" i="29"/>
  <c r="E86" i="29"/>
  <c r="E87" i="29"/>
  <c r="E88" i="29"/>
  <c r="E89" i="29"/>
  <c r="E90" i="29"/>
  <c r="E91" i="29"/>
  <c r="E92" i="29"/>
  <c r="E93" i="29"/>
  <c r="E94" i="29"/>
  <c r="E95" i="29"/>
  <c r="E96" i="29"/>
  <c r="E97" i="29"/>
  <c r="E98" i="29"/>
  <c r="E99" i="29"/>
  <c r="E100" i="29"/>
  <c r="E101" i="29"/>
  <c r="E102" i="29"/>
  <c r="E103" i="29"/>
  <c r="E104" i="29"/>
  <c r="E105" i="29"/>
  <c r="E106" i="29"/>
  <c r="E107" i="29"/>
  <c r="E108" i="29"/>
  <c r="E109" i="29"/>
  <c r="E110" i="29"/>
  <c r="E111" i="29"/>
  <c r="E112" i="29"/>
  <c r="E113" i="29"/>
  <c r="E114" i="29"/>
  <c r="E115" i="29"/>
  <c r="E116" i="29"/>
  <c r="E117" i="29"/>
  <c r="E118" i="29"/>
  <c r="E119" i="29"/>
  <c r="E120" i="29"/>
  <c r="E121" i="29"/>
  <c r="E122" i="29"/>
  <c r="E123" i="29"/>
  <c r="E124" i="29"/>
  <c r="E125" i="29"/>
  <c r="E126" i="29"/>
  <c r="E127" i="29"/>
  <c r="E128" i="29"/>
  <c r="E129" i="29"/>
  <c r="E130" i="29"/>
  <c r="E131" i="29"/>
  <c r="E132" i="29"/>
  <c r="E133" i="29"/>
  <c r="E134" i="29"/>
  <c r="E135" i="29"/>
  <c r="E136" i="29"/>
  <c r="E137" i="29"/>
  <c r="E138" i="29"/>
  <c r="E139" i="29"/>
  <c r="E140" i="29"/>
  <c r="E141" i="29"/>
  <c r="E142" i="29"/>
  <c r="E143" i="29"/>
  <c r="E144" i="29"/>
  <c r="E145" i="29"/>
  <c r="E146" i="29"/>
  <c r="E147" i="29"/>
  <c r="E148" i="29"/>
  <c r="E149" i="29"/>
  <c r="E150" i="29"/>
  <c r="E151" i="29"/>
  <c r="E152" i="29"/>
  <c r="E153" i="29"/>
  <c r="E154" i="29"/>
  <c r="E155" i="29"/>
  <c r="E156" i="29"/>
  <c r="E157" i="29"/>
  <c r="E158" i="29"/>
  <c r="E159" i="29"/>
  <c r="E160" i="29"/>
  <c r="E161" i="29"/>
  <c r="E162" i="29"/>
  <c r="E163" i="29"/>
  <c r="E164" i="29"/>
  <c r="E165" i="29"/>
  <c r="E166" i="29"/>
  <c r="E167" i="29"/>
  <c r="E168" i="29"/>
  <c r="E169" i="29"/>
  <c r="E170" i="29"/>
  <c r="E171" i="29"/>
  <c r="E172" i="29"/>
  <c r="E173" i="29"/>
  <c r="E174" i="29"/>
  <c r="E175" i="29"/>
  <c r="E176" i="29"/>
  <c r="E177" i="29"/>
  <c r="E178" i="29"/>
  <c r="E179" i="29"/>
  <c r="E180" i="29"/>
  <c r="E181" i="29"/>
  <c r="E182" i="29"/>
  <c r="E183" i="29"/>
  <c r="E184" i="29"/>
  <c r="E185" i="29"/>
  <c r="E186" i="29"/>
  <c r="E187" i="29"/>
  <c r="E188" i="29"/>
  <c r="E189" i="29"/>
  <c r="E190" i="29"/>
  <c r="E191" i="29"/>
  <c r="E192" i="29"/>
  <c r="E193" i="29"/>
  <c r="E194" i="29"/>
  <c r="E195" i="29"/>
  <c r="E196" i="29"/>
  <c r="E197" i="29"/>
  <c r="E198" i="29"/>
  <c r="E199" i="29"/>
  <c r="E200" i="29"/>
  <c r="E201" i="29"/>
  <c r="E202" i="29"/>
  <c r="E203" i="29"/>
  <c r="E204" i="29"/>
  <c r="E205" i="29"/>
  <c r="E206" i="29"/>
  <c r="E207" i="29"/>
  <c r="E208" i="29"/>
  <c r="E209" i="29"/>
  <c r="E210" i="29"/>
  <c r="E211" i="29"/>
  <c r="E212" i="29"/>
  <c r="E213" i="29"/>
  <c r="E214" i="29"/>
  <c r="E215" i="29"/>
  <c r="E216" i="29"/>
  <c r="E217" i="29"/>
  <c r="E218" i="29"/>
  <c r="E219" i="29"/>
  <c r="E220" i="29"/>
  <c r="E221" i="29"/>
  <c r="E222" i="29"/>
  <c r="E223" i="29"/>
  <c r="E224" i="29"/>
  <c r="E225" i="29"/>
  <c r="E226" i="29"/>
  <c r="E227" i="29"/>
  <c r="E228" i="29"/>
  <c r="E229" i="29"/>
  <c r="E230" i="29"/>
  <c r="E231" i="29"/>
  <c r="E232" i="29"/>
  <c r="E233" i="29"/>
  <c r="E234" i="29"/>
  <c r="E235" i="29"/>
  <c r="E236" i="29"/>
  <c r="E237" i="29"/>
  <c r="E238" i="29"/>
  <c r="E239" i="29"/>
  <c r="E240" i="29"/>
  <c r="E241" i="29"/>
  <c r="E242" i="29"/>
  <c r="E243" i="29"/>
  <c r="E244" i="29"/>
  <c r="E245" i="29"/>
  <c r="E246" i="29"/>
  <c r="E247" i="29"/>
  <c r="E248" i="29"/>
  <c r="E249" i="29"/>
  <c r="E250" i="29"/>
  <c r="E251" i="29"/>
  <c r="E2" i="29"/>
  <c r="D3" i="29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0" i="29"/>
  <c r="D111" i="29"/>
  <c r="D112" i="29"/>
  <c r="D113" i="29"/>
  <c r="D114" i="29"/>
  <c r="D115" i="29"/>
  <c r="D116" i="29"/>
  <c r="D117" i="29"/>
  <c r="D118" i="29"/>
  <c r="D119" i="29"/>
  <c r="D120" i="29"/>
  <c r="D121" i="29"/>
  <c r="D122" i="29"/>
  <c r="D123" i="29"/>
  <c r="D124" i="29"/>
  <c r="D125" i="29"/>
  <c r="D126" i="29"/>
  <c r="D127" i="29"/>
  <c r="D128" i="29"/>
  <c r="D129" i="29"/>
  <c r="D130" i="29"/>
  <c r="D131" i="29"/>
  <c r="D132" i="29"/>
  <c r="D133" i="29"/>
  <c r="D134" i="29"/>
  <c r="D135" i="29"/>
  <c r="D136" i="29"/>
  <c r="D137" i="29"/>
  <c r="D138" i="29"/>
  <c r="D139" i="29"/>
  <c r="D140" i="29"/>
  <c r="D141" i="29"/>
  <c r="D142" i="29"/>
  <c r="D143" i="29"/>
  <c r="D144" i="29"/>
  <c r="D145" i="29"/>
  <c r="D146" i="29"/>
  <c r="D147" i="29"/>
  <c r="D148" i="29"/>
  <c r="D149" i="29"/>
  <c r="D150" i="29"/>
  <c r="D151" i="29"/>
  <c r="D152" i="29"/>
  <c r="D153" i="29"/>
  <c r="D154" i="29"/>
  <c r="D155" i="29"/>
  <c r="D156" i="29"/>
  <c r="D157" i="29"/>
  <c r="D158" i="29"/>
  <c r="D159" i="29"/>
  <c r="D160" i="29"/>
  <c r="D161" i="29"/>
  <c r="D162" i="29"/>
  <c r="D163" i="29"/>
  <c r="D164" i="29"/>
  <c r="D165" i="29"/>
  <c r="D166" i="29"/>
  <c r="D167" i="29"/>
  <c r="D168" i="29"/>
  <c r="D169" i="29"/>
  <c r="D170" i="29"/>
  <c r="D171" i="29"/>
  <c r="D172" i="29"/>
  <c r="D173" i="29"/>
  <c r="D174" i="29"/>
  <c r="D175" i="29"/>
  <c r="D176" i="29"/>
  <c r="D177" i="29"/>
  <c r="D178" i="29"/>
  <c r="D179" i="29"/>
  <c r="D180" i="29"/>
  <c r="D181" i="29"/>
  <c r="D182" i="29"/>
  <c r="D183" i="29"/>
  <c r="D184" i="29"/>
  <c r="D185" i="29"/>
  <c r="D186" i="29"/>
  <c r="D187" i="29"/>
  <c r="D188" i="29"/>
  <c r="D189" i="29"/>
  <c r="D190" i="29"/>
  <c r="D191" i="29"/>
  <c r="D192" i="29"/>
  <c r="D193" i="29"/>
  <c r="D194" i="29"/>
  <c r="D195" i="29"/>
  <c r="D196" i="29"/>
  <c r="D197" i="29"/>
  <c r="D198" i="29"/>
  <c r="D199" i="29"/>
  <c r="D200" i="29"/>
  <c r="D201" i="29"/>
  <c r="D202" i="29"/>
  <c r="D203" i="29"/>
  <c r="D204" i="29"/>
  <c r="D205" i="29"/>
  <c r="D206" i="29"/>
  <c r="D207" i="29"/>
  <c r="D208" i="29"/>
  <c r="D209" i="29"/>
  <c r="D210" i="29"/>
  <c r="D211" i="29"/>
  <c r="D212" i="29"/>
  <c r="D213" i="29"/>
  <c r="D214" i="29"/>
  <c r="D215" i="29"/>
  <c r="D216" i="29"/>
  <c r="D217" i="29"/>
  <c r="D218" i="29"/>
  <c r="D219" i="29"/>
  <c r="D220" i="29"/>
  <c r="D221" i="29"/>
  <c r="D222" i="29"/>
  <c r="D223" i="29"/>
  <c r="D224" i="29"/>
  <c r="D225" i="29"/>
  <c r="D226" i="29"/>
  <c r="D227" i="29"/>
  <c r="D228" i="29"/>
  <c r="D229" i="29"/>
  <c r="D230" i="29"/>
  <c r="D231" i="29"/>
  <c r="D232" i="29"/>
  <c r="D233" i="29"/>
  <c r="D234" i="29"/>
  <c r="D235" i="29"/>
  <c r="D236" i="29"/>
  <c r="D237" i="29"/>
  <c r="D238" i="29"/>
  <c r="D239" i="29"/>
  <c r="D240" i="29"/>
  <c r="D241" i="29"/>
  <c r="D242" i="29"/>
  <c r="D243" i="29"/>
  <c r="D244" i="29"/>
  <c r="D245" i="29"/>
  <c r="D246" i="29"/>
  <c r="D247" i="29"/>
  <c r="D248" i="29"/>
  <c r="D249" i="29"/>
  <c r="D250" i="29"/>
  <c r="D251" i="29"/>
  <c r="D2" i="29"/>
  <c r="N2" i="26"/>
  <c r="O2" i="26"/>
  <c r="N3" i="26"/>
  <c r="O3" i="26"/>
  <c r="N4" i="26"/>
  <c r="O4" i="26"/>
  <c r="N5" i="26"/>
  <c r="O5" i="26"/>
  <c r="N6" i="26"/>
  <c r="O6" i="26"/>
  <c r="N7" i="26"/>
  <c r="O7" i="26"/>
  <c r="N8" i="26"/>
  <c r="O8" i="26"/>
  <c r="N9" i="26"/>
  <c r="O9" i="26"/>
  <c r="N10" i="26"/>
  <c r="O10" i="26"/>
  <c r="N11" i="26"/>
  <c r="O11" i="26"/>
  <c r="N12" i="26"/>
  <c r="O12" i="26"/>
  <c r="N13" i="26"/>
  <c r="O13" i="26"/>
  <c r="N14" i="26"/>
  <c r="O14" i="26"/>
  <c r="N15" i="26"/>
  <c r="O15" i="26"/>
  <c r="N16" i="26"/>
  <c r="O16" i="26"/>
  <c r="N17" i="26"/>
  <c r="O17" i="26"/>
  <c r="N18" i="26"/>
  <c r="O18" i="26"/>
  <c r="N19" i="26"/>
  <c r="O19" i="26"/>
  <c r="N20" i="26"/>
  <c r="O20" i="26"/>
  <c r="N21" i="26"/>
  <c r="O21" i="26"/>
  <c r="N22" i="26"/>
  <c r="O22" i="26"/>
  <c r="N23" i="26"/>
  <c r="O23" i="26"/>
  <c r="N24" i="26"/>
  <c r="O24" i="26"/>
  <c r="N25" i="26"/>
  <c r="O25" i="26"/>
  <c r="N26" i="26"/>
  <c r="O26" i="26"/>
  <c r="N27" i="26"/>
  <c r="O27" i="26"/>
  <c r="N28" i="26"/>
  <c r="O28" i="26"/>
  <c r="N29" i="26"/>
  <c r="O29" i="26"/>
  <c r="N30" i="26"/>
  <c r="O30" i="26"/>
  <c r="N31" i="26"/>
  <c r="O31" i="26"/>
  <c r="N32" i="26"/>
  <c r="O32" i="26"/>
  <c r="N33" i="26"/>
  <c r="O33" i="26"/>
  <c r="N34" i="26"/>
  <c r="O34" i="26"/>
  <c r="N35" i="26"/>
  <c r="O35" i="26"/>
  <c r="N36" i="26"/>
  <c r="O36" i="26"/>
  <c r="N37" i="26"/>
  <c r="O37" i="26"/>
  <c r="N38" i="26"/>
  <c r="O38" i="26"/>
  <c r="N39" i="26"/>
  <c r="O39" i="26"/>
  <c r="N40" i="26"/>
  <c r="O40" i="26"/>
  <c r="N41" i="26"/>
  <c r="O41" i="26"/>
  <c r="N42" i="26"/>
  <c r="O42" i="26"/>
  <c r="N43" i="26"/>
  <c r="O43" i="26"/>
  <c r="N44" i="26"/>
  <c r="O44" i="26"/>
  <c r="N45" i="26"/>
  <c r="O45" i="26"/>
  <c r="N46" i="26"/>
  <c r="O46" i="26"/>
  <c r="N47" i="26"/>
  <c r="O47" i="26"/>
  <c r="N48" i="26"/>
  <c r="O48" i="26"/>
  <c r="N49" i="26"/>
  <c r="O49" i="26"/>
  <c r="N50" i="26"/>
  <c r="O50" i="26"/>
  <c r="N51" i="26"/>
  <c r="O51" i="26"/>
  <c r="N52" i="26"/>
  <c r="O52" i="26"/>
  <c r="N53" i="26"/>
  <c r="O53" i="26"/>
  <c r="N54" i="26"/>
  <c r="O54" i="26"/>
  <c r="N55" i="26"/>
  <c r="O55" i="26"/>
  <c r="N56" i="26"/>
  <c r="O56" i="26"/>
  <c r="N57" i="26"/>
  <c r="O57" i="26"/>
  <c r="N58" i="26"/>
  <c r="O58" i="26"/>
  <c r="N59" i="26"/>
  <c r="O59" i="26"/>
  <c r="N60" i="26"/>
  <c r="O60" i="26"/>
  <c r="N61" i="26"/>
  <c r="O61" i="26"/>
  <c r="N62" i="26"/>
  <c r="O62" i="26"/>
  <c r="N63" i="26"/>
  <c r="O63" i="26"/>
  <c r="N64" i="26"/>
  <c r="O64" i="26"/>
  <c r="N65" i="26"/>
  <c r="O65" i="26"/>
  <c r="N66" i="26"/>
  <c r="O66" i="26"/>
  <c r="N67" i="26"/>
  <c r="O67" i="26"/>
  <c r="N68" i="26"/>
  <c r="O68" i="26"/>
  <c r="N69" i="26"/>
  <c r="O69" i="26"/>
  <c r="N70" i="26"/>
  <c r="O70" i="26"/>
  <c r="N71" i="26"/>
  <c r="O71" i="26"/>
  <c r="N72" i="26"/>
  <c r="O72" i="26"/>
  <c r="N73" i="26"/>
  <c r="O73" i="26"/>
  <c r="N74" i="26"/>
  <c r="O74" i="26"/>
  <c r="N75" i="26"/>
  <c r="O75" i="26"/>
  <c r="N76" i="26"/>
  <c r="O76" i="26"/>
  <c r="N77" i="26"/>
  <c r="O77" i="26"/>
  <c r="N78" i="26"/>
  <c r="O78" i="26"/>
  <c r="N79" i="26"/>
  <c r="O79" i="26"/>
  <c r="N80" i="26"/>
  <c r="O80" i="26"/>
  <c r="N81" i="26"/>
  <c r="O81" i="26"/>
  <c r="N82" i="26"/>
  <c r="O82" i="26"/>
  <c r="N83" i="26"/>
  <c r="O83" i="26"/>
  <c r="N84" i="26"/>
  <c r="O84" i="26"/>
  <c r="N85" i="26"/>
  <c r="O85" i="26"/>
  <c r="N86" i="26"/>
  <c r="O86" i="26"/>
  <c r="N87" i="26"/>
  <c r="O87" i="26"/>
  <c r="N88" i="26"/>
  <c r="O88" i="26"/>
  <c r="N89" i="26"/>
  <c r="O89" i="26"/>
  <c r="N90" i="26"/>
  <c r="O90" i="26"/>
  <c r="N91" i="26"/>
  <c r="O91" i="26"/>
  <c r="N92" i="26"/>
  <c r="O92" i="26"/>
  <c r="N93" i="26"/>
  <c r="O93" i="26"/>
  <c r="N94" i="26"/>
  <c r="O94" i="26"/>
  <c r="N95" i="26"/>
  <c r="O95" i="26"/>
  <c r="N96" i="26"/>
  <c r="O96" i="26"/>
  <c r="N97" i="26"/>
  <c r="O97" i="26"/>
  <c r="N98" i="26"/>
  <c r="O98" i="26"/>
  <c r="N99" i="26"/>
  <c r="O99" i="26"/>
  <c r="N100" i="26"/>
  <c r="O100" i="26"/>
  <c r="N101" i="26"/>
  <c r="O101" i="26"/>
  <c r="N102" i="26"/>
  <c r="O102" i="26"/>
  <c r="N103" i="26"/>
  <c r="O103" i="26"/>
  <c r="N104" i="26"/>
  <c r="O104" i="26"/>
  <c r="N105" i="26"/>
  <c r="O105" i="26"/>
  <c r="N106" i="26"/>
  <c r="O106" i="26"/>
  <c r="N107" i="26"/>
  <c r="O107" i="26"/>
  <c r="N108" i="26"/>
  <c r="O108" i="26"/>
  <c r="N109" i="26"/>
  <c r="O109" i="26"/>
  <c r="N110" i="26"/>
  <c r="O110" i="26"/>
  <c r="N111" i="26"/>
  <c r="O111" i="26"/>
  <c r="N112" i="26"/>
  <c r="O112" i="26"/>
  <c r="N113" i="26"/>
  <c r="O113" i="26"/>
  <c r="N114" i="26"/>
  <c r="O114" i="26"/>
  <c r="N115" i="26"/>
  <c r="O115" i="26"/>
  <c r="N116" i="26"/>
  <c r="O116" i="26"/>
  <c r="N117" i="26"/>
  <c r="O117" i="26"/>
  <c r="N118" i="26"/>
  <c r="O118" i="26"/>
  <c r="N119" i="26"/>
  <c r="O119" i="26"/>
  <c r="N120" i="26"/>
  <c r="O120" i="26"/>
  <c r="N121" i="26"/>
  <c r="O121" i="26"/>
  <c r="N122" i="26"/>
  <c r="O122" i="26"/>
  <c r="N123" i="26"/>
  <c r="O123" i="26"/>
  <c r="N124" i="26"/>
  <c r="O124" i="26"/>
  <c r="N125" i="26"/>
  <c r="O125" i="26"/>
  <c r="N126" i="26"/>
  <c r="O126" i="26"/>
  <c r="N127" i="26"/>
  <c r="O127" i="26"/>
  <c r="N128" i="26"/>
  <c r="O128" i="26"/>
  <c r="N129" i="26"/>
  <c r="O129" i="26"/>
  <c r="N130" i="26"/>
  <c r="O130" i="26"/>
  <c r="N131" i="26"/>
  <c r="O131" i="26"/>
  <c r="N132" i="26"/>
  <c r="O132" i="26"/>
  <c r="N133" i="26"/>
  <c r="O133" i="26"/>
  <c r="N134" i="26"/>
  <c r="O134" i="26"/>
  <c r="N135" i="26"/>
  <c r="O135" i="26"/>
  <c r="N136" i="26"/>
  <c r="O136" i="26"/>
  <c r="N137" i="26"/>
  <c r="O137" i="26"/>
  <c r="N138" i="26"/>
  <c r="O138" i="26"/>
  <c r="N139" i="26"/>
  <c r="O139" i="26"/>
  <c r="N140" i="26"/>
  <c r="O140" i="26"/>
  <c r="N141" i="26"/>
  <c r="O141" i="26"/>
  <c r="N142" i="26"/>
  <c r="O142" i="26"/>
  <c r="N143" i="26"/>
  <c r="O143" i="26"/>
  <c r="N144" i="26"/>
  <c r="O144" i="26"/>
  <c r="N145" i="26"/>
  <c r="O145" i="26"/>
  <c r="N146" i="26"/>
  <c r="O146" i="26"/>
  <c r="N147" i="26"/>
  <c r="O147" i="26"/>
  <c r="N148" i="26"/>
  <c r="O148" i="26"/>
  <c r="N149" i="26"/>
  <c r="O149" i="26"/>
  <c r="N150" i="26"/>
  <c r="O150" i="26"/>
  <c r="N151" i="26"/>
  <c r="O151" i="26"/>
  <c r="N152" i="26"/>
  <c r="O152" i="26"/>
  <c r="N153" i="26"/>
  <c r="O153" i="26"/>
  <c r="N154" i="26"/>
  <c r="O154" i="26"/>
  <c r="N155" i="26"/>
  <c r="O155" i="26"/>
  <c r="N156" i="26"/>
  <c r="O156" i="26"/>
  <c r="N157" i="26"/>
  <c r="O157" i="26"/>
  <c r="N158" i="26"/>
  <c r="O158" i="26"/>
  <c r="N159" i="26"/>
  <c r="O159" i="26"/>
  <c r="N160" i="26"/>
  <c r="O160" i="26"/>
  <c r="N161" i="26"/>
  <c r="O161" i="26"/>
  <c r="N162" i="26"/>
  <c r="O162" i="26"/>
  <c r="N163" i="26"/>
  <c r="O163" i="26"/>
  <c r="N164" i="26"/>
  <c r="O164" i="26"/>
  <c r="N165" i="26"/>
  <c r="O165" i="26"/>
  <c r="N166" i="26"/>
  <c r="O166" i="26"/>
  <c r="N167" i="26"/>
  <c r="O167" i="26"/>
  <c r="N168" i="26"/>
  <c r="O168" i="26"/>
  <c r="N169" i="26"/>
  <c r="O169" i="26"/>
  <c r="N170" i="26"/>
  <c r="O170" i="26"/>
  <c r="N171" i="26"/>
  <c r="O171" i="26"/>
  <c r="N172" i="26"/>
  <c r="O172" i="26"/>
  <c r="N173" i="26"/>
  <c r="O173" i="26"/>
  <c r="N174" i="26"/>
  <c r="O174" i="26"/>
  <c r="N175" i="26"/>
  <c r="O175" i="26"/>
  <c r="N176" i="26"/>
  <c r="O176" i="26"/>
  <c r="N177" i="26"/>
  <c r="O177" i="26"/>
  <c r="N178" i="26"/>
  <c r="O178" i="26"/>
  <c r="N179" i="26"/>
  <c r="O179" i="26"/>
  <c r="N180" i="26"/>
  <c r="O180" i="26"/>
  <c r="N181" i="26"/>
  <c r="O181" i="26"/>
  <c r="N182" i="26"/>
  <c r="O182" i="26"/>
  <c r="N183" i="26"/>
  <c r="O183" i="26"/>
  <c r="N184" i="26"/>
  <c r="O184" i="26"/>
  <c r="N185" i="26"/>
  <c r="O185" i="26"/>
  <c r="N186" i="26"/>
  <c r="O186" i="26"/>
  <c r="N187" i="26"/>
  <c r="O187" i="26"/>
  <c r="N188" i="26"/>
  <c r="O188" i="26"/>
  <c r="N189" i="26"/>
  <c r="O189" i="26"/>
  <c r="N190" i="26"/>
  <c r="O190" i="26"/>
  <c r="N191" i="26"/>
  <c r="O191" i="26"/>
  <c r="N192" i="26"/>
  <c r="O192" i="26"/>
  <c r="N193" i="26"/>
  <c r="O193" i="26"/>
  <c r="N194" i="26"/>
  <c r="O194" i="26"/>
  <c r="N195" i="26"/>
  <c r="O195" i="26"/>
  <c r="N196" i="26"/>
  <c r="O196" i="26"/>
  <c r="N197" i="26"/>
  <c r="O197" i="26"/>
  <c r="N198" i="26"/>
  <c r="O198" i="26"/>
  <c r="N199" i="26"/>
  <c r="O199" i="26"/>
  <c r="N200" i="26"/>
  <c r="O200" i="26"/>
  <c r="N201" i="26"/>
  <c r="O201" i="26"/>
  <c r="N202" i="26"/>
  <c r="O202" i="26"/>
  <c r="N203" i="26"/>
  <c r="O203" i="26"/>
  <c r="N204" i="26"/>
  <c r="O204" i="26"/>
  <c r="N205" i="26"/>
  <c r="O205" i="26"/>
  <c r="N206" i="26"/>
  <c r="O206" i="26"/>
  <c r="N207" i="26"/>
  <c r="O207" i="26"/>
  <c r="N208" i="26"/>
  <c r="O208" i="26"/>
  <c r="N209" i="26"/>
  <c r="O209" i="26"/>
  <c r="N210" i="26"/>
  <c r="O210" i="26"/>
  <c r="N211" i="26"/>
  <c r="O211" i="26"/>
  <c r="N212" i="26"/>
  <c r="O212" i="26"/>
  <c r="N213" i="26"/>
  <c r="O213" i="26"/>
  <c r="N214" i="26"/>
  <c r="O214" i="26"/>
  <c r="N215" i="26"/>
  <c r="O215" i="26"/>
  <c r="N216" i="26"/>
  <c r="O216" i="26"/>
  <c r="N217" i="26"/>
  <c r="O217" i="26"/>
  <c r="N218" i="26"/>
  <c r="O218" i="26"/>
  <c r="N219" i="26"/>
  <c r="O219" i="26"/>
  <c r="N220" i="26"/>
  <c r="O220" i="26"/>
  <c r="N221" i="26"/>
  <c r="O221" i="26"/>
  <c r="N222" i="26"/>
  <c r="O222" i="26"/>
  <c r="N223" i="26"/>
  <c r="O223" i="26"/>
  <c r="N224" i="26"/>
  <c r="O224" i="26"/>
  <c r="N225" i="26"/>
  <c r="O225" i="26"/>
  <c r="N226" i="26"/>
  <c r="O226" i="26"/>
  <c r="N227" i="26"/>
  <c r="O227" i="26"/>
  <c r="N228" i="26"/>
  <c r="O228" i="26"/>
  <c r="N229" i="26"/>
  <c r="O229" i="26"/>
  <c r="N230" i="26"/>
  <c r="O230" i="26"/>
  <c r="N231" i="26"/>
  <c r="O231" i="26"/>
  <c r="N232" i="26"/>
  <c r="O232" i="26"/>
  <c r="N233" i="26"/>
  <c r="O233" i="26"/>
  <c r="N234" i="26"/>
  <c r="O234" i="26"/>
  <c r="N235" i="26"/>
  <c r="O235" i="26"/>
  <c r="N236" i="26"/>
  <c r="O236" i="26"/>
  <c r="N237" i="26"/>
  <c r="O237" i="26"/>
  <c r="N238" i="26"/>
  <c r="O238" i="26"/>
  <c r="N239" i="26"/>
  <c r="O239" i="26"/>
  <c r="N240" i="26"/>
  <c r="O240" i="26"/>
  <c r="N241" i="26"/>
  <c r="O241" i="26"/>
  <c r="N242" i="26"/>
  <c r="O242" i="26"/>
  <c r="N243" i="26"/>
  <c r="O243" i="26"/>
  <c r="N244" i="26"/>
  <c r="O244" i="26"/>
  <c r="N245" i="26"/>
  <c r="O245" i="26"/>
  <c r="N246" i="26"/>
  <c r="O246" i="26"/>
  <c r="N247" i="26"/>
  <c r="O247" i="26"/>
  <c r="N248" i="26"/>
  <c r="O248" i="26"/>
  <c r="N249" i="26"/>
  <c r="O249" i="26"/>
  <c r="N250" i="26"/>
  <c r="O250" i="26"/>
  <c r="N251" i="26"/>
  <c r="O251" i="26"/>
  <c r="P2" i="26"/>
  <c r="Q2" i="26"/>
  <c r="P3" i="26"/>
  <c r="Q3" i="26"/>
  <c r="P4" i="26"/>
  <c r="Q4" i="26"/>
  <c r="P5" i="26"/>
  <c r="Q5" i="26"/>
  <c r="P6" i="26"/>
  <c r="Q6" i="26"/>
  <c r="P7" i="26"/>
  <c r="Q7" i="26"/>
  <c r="P8" i="26"/>
  <c r="Q8" i="26"/>
  <c r="P9" i="26"/>
  <c r="Q9" i="26"/>
  <c r="P10" i="26"/>
  <c r="Q10" i="26"/>
  <c r="P11" i="26"/>
  <c r="Q11" i="26"/>
  <c r="P12" i="26"/>
  <c r="Q12" i="26"/>
  <c r="P13" i="26"/>
  <c r="Q13" i="26"/>
  <c r="P14" i="26"/>
  <c r="Q14" i="26"/>
  <c r="P15" i="26"/>
  <c r="Q15" i="26"/>
  <c r="P16" i="26"/>
  <c r="Q16" i="26"/>
  <c r="P17" i="26"/>
  <c r="Q17" i="26"/>
  <c r="P18" i="26"/>
  <c r="Q18" i="26"/>
  <c r="P19" i="26"/>
  <c r="Q19" i="26"/>
  <c r="P20" i="26"/>
  <c r="Q20" i="26"/>
  <c r="P21" i="26"/>
  <c r="Q21" i="26"/>
  <c r="P22" i="26"/>
  <c r="Q22" i="26"/>
  <c r="P23" i="26"/>
  <c r="Q23" i="26"/>
  <c r="P24" i="26"/>
  <c r="Q24" i="26"/>
  <c r="P25" i="26"/>
  <c r="Q25" i="26"/>
  <c r="P26" i="26"/>
  <c r="Q26" i="26"/>
  <c r="P27" i="26"/>
  <c r="Q27" i="26"/>
  <c r="P28" i="26"/>
  <c r="Q28" i="26"/>
  <c r="P29" i="26"/>
  <c r="Q29" i="26"/>
  <c r="P30" i="26"/>
  <c r="Q30" i="26"/>
  <c r="P31" i="26"/>
  <c r="Q31" i="26"/>
  <c r="P32" i="26"/>
  <c r="Q32" i="26"/>
  <c r="P33" i="26"/>
  <c r="Q33" i="26"/>
  <c r="P34" i="26"/>
  <c r="Q34" i="26"/>
  <c r="P35" i="26"/>
  <c r="Q35" i="26"/>
  <c r="P36" i="26"/>
  <c r="Q36" i="26"/>
  <c r="P37" i="26"/>
  <c r="Q37" i="26"/>
  <c r="P38" i="26"/>
  <c r="Q38" i="26"/>
  <c r="P39" i="26"/>
  <c r="Q39" i="26"/>
  <c r="P40" i="26"/>
  <c r="Q40" i="26"/>
  <c r="P41" i="26"/>
  <c r="Q41" i="26"/>
  <c r="P42" i="26"/>
  <c r="Q42" i="26"/>
  <c r="P43" i="26"/>
  <c r="Q43" i="26"/>
  <c r="P44" i="26"/>
  <c r="Q44" i="26"/>
  <c r="P45" i="26"/>
  <c r="Q45" i="26"/>
  <c r="P46" i="26"/>
  <c r="Q46" i="26"/>
  <c r="P47" i="26"/>
  <c r="Q47" i="26"/>
  <c r="P48" i="26"/>
  <c r="Q48" i="26"/>
  <c r="P49" i="26"/>
  <c r="Q49" i="26"/>
  <c r="P50" i="26"/>
  <c r="Q50" i="26"/>
  <c r="P51" i="26"/>
  <c r="Q51" i="26"/>
  <c r="P52" i="26"/>
  <c r="Q52" i="26"/>
  <c r="P53" i="26"/>
  <c r="Q53" i="26"/>
  <c r="P54" i="26"/>
  <c r="Q54" i="26"/>
  <c r="P55" i="26"/>
  <c r="Q55" i="26"/>
  <c r="P56" i="26"/>
  <c r="Q56" i="26"/>
  <c r="P57" i="26"/>
  <c r="Q57" i="26"/>
  <c r="P58" i="26"/>
  <c r="Q58" i="26"/>
  <c r="P59" i="26"/>
  <c r="Q59" i="26"/>
  <c r="P60" i="26"/>
  <c r="Q60" i="26"/>
  <c r="P61" i="26"/>
  <c r="Q61" i="26"/>
  <c r="P62" i="26"/>
  <c r="Q62" i="26"/>
  <c r="P63" i="26"/>
  <c r="Q63" i="26"/>
  <c r="P64" i="26"/>
  <c r="Q64" i="26"/>
  <c r="P65" i="26"/>
  <c r="Q65" i="26"/>
  <c r="P66" i="26"/>
  <c r="Q66" i="26"/>
  <c r="P67" i="26"/>
  <c r="Q67" i="26"/>
  <c r="P68" i="26"/>
  <c r="Q68" i="26"/>
  <c r="P69" i="26"/>
  <c r="Q69" i="26"/>
  <c r="P70" i="26"/>
  <c r="Q70" i="26"/>
  <c r="P71" i="26"/>
  <c r="Q71" i="26"/>
  <c r="P72" i="26"/>
  <c r="Q72" i="26"/>
  <c r="P73" i="26"/>
  <c r="Q73" i="26"/>
  <c r="P74" i="26"/>
  <c r="Q74" i="26"/>
  <c r="P75" i="26"/>
  <c r="Q75" i="26"/>
  <c r="P76" i="26"/>
  <c r="Q76" i="26"/>
  <c r="P77" i="26"/>
  <c r="Q77" i="26"/>
  <c r="P78" i="26"/>
  <c r="Q78" i="26"/>
  <c r="P79" i="26"/>
  <c r="Q79" i="26"/>
  <c r="P80" i="26"/>
  <c r="Q80" i="26"/>
  <c r="P81" i="26"/>
  <c r="Q81" i="26"/>
  <c r="P82" i="26"/>
  <c r="Q82" i="26"/>
  <c r="P83" i="26"/>
  <c r="Q83" i="26"/>
  <c r="P84" i="26"/>
  <c r="Q84" i="26"/>
  <c r="P85" i="26"/>
  <c r="Q85" i="26"/>
  <c r="P86" i="26"/>
  <c r="Q86" i="26"/>
  <c r="P87" i="26"/>
  <c r="Q87" i="26"/>
  <c r="P88" i="26"/>
  <c r="Q88" i="26"/>
  <c r="P89" i="26"/>
  <c r="Q89" i="26"/>
  <c r="P90" i="26"/>
  <c r="Q90" i="26"/>
  <c r="P91" i="26"/>
  <c r="Q91" i="26"/>
  <c r="P92" i="26"/>
  <c r="Q92" i="26"/>
  <c r="P93" i="26"/>
  <c r="Q93" i="26"/>
  <c r="P94" i="26"/>
  <c r="Q94" i="26"/>
  <c r="P95" i="26"/>
  <c r="Q95" i="26"/>
  <c r="P96" i="26"/>
  <c r="Q96" i="26"/>
  <c r="P97" i="26"/>
  <c r="Q97" i="26"/>
  <c r="P98" i="26"/>
  <c r="Q98" i="26"/>
  <c r="P99" i="26"/>
  <c r="Q99" i="26"/>
  <c r="P100" i="26"/>
  <c r="Q100" i="26"/>
  <c r="P101" i="26"/>
  <c r="Q101" i="26"/>
  <c r="P102" i="26"/>
  <c r="Q102" i="26"/>
  <c r="P103" i="26"/>
  <c r="Q103" i="26"/>
  <c r="P104" i="26"/>
  <c r="Q104" i="26"/>
  <c r="P105" i="26"/>
  <c r="Q105" i="26"/>
  <c r="P106" i="26"/>
  <c r="Q106" i="26"/>
  <c r="P107" i="26"/>
  <c r="Q107" i="26"/>
  <c r="P108" i="26"/>
  <c r="Q108" i="26"/>
  <c r="P109" i="26"/>
  <c r="Q109" i="26"/>
  <c r="P110" i="26"/>
  <c r="Q110" i="26"/>
  <c r="P111" i="26"/>
  <c r="Q111" i="26"/>
  <c r="P112" i="26"/>
  <c r="Q112" i="26"/>
  <c r="P113" i="26"/>
  <c r="Q113" i="26"/>
  <c r="P114" i="26"/>
  <c r="Q114" i="26"/>
  <c r="P115" i="26"/>
  <c r="Q115" i="26"/>
  <c r="P116" i="26"/>
  <c r="Q116" i="26"/>
  <c r="P117" i="26"/>
  <c r="Q117" i="26"/>
  <c r="P118" i="26"/>
  <c r="Q118" i="26"/>
  <c r="P119" i="26"/>
  <c r="Q119" i="26"/>
  <c r="P120" i="26"/>
  <c r="Q120" i="26"/>
  <c r="P121" i="26"/>
  <c r="Q121" i="26"/>
  <c r="P122" i="26"/>
  <c r="Q122" i="26"/>
  <c r="P123" i="26"/>
  <c r="Q123" i="26"/>
  <c r="P124" i="26"/>
  <c r="Q124" i="26"/>
  <c r="P125" i="26"/>
  <c r="Q125" i="26"/>
  <c r="P126" i="26"/>
  <c r="Q126" i="26"/>
  <c r="P127" i="26"/>
  <c r="Q127" i="26"/>
  <c r="P128" i="26"/>
  <c r="Q128" i="26"/>
  <c r="P129" i="26"/>
  <c r="Q129" i="26"/>
  <c r="P130" i="26"/>
  <c r="Q130" i="26"/>
  <c r="P131" i="26"/>
  <c r="Q131" i="26"/>
  <c r="P132" i="26"/>
  <c r="Q132" i="26"/>
  <c r="P133" i="26"/>
  <c r="Q133" i="26"/>
  <c r="P134" i="26"/>
  <c r="Q134" i="26"/>
  <c r="P135" i="26"/>
  <c r="Q135" i="26"/>
  <c r="P136" i="26"/>
  <c r="Q136" i="26"/>
  <c r="P137" i="26"/>
  <c r="Q137" i="26"/>
  <c r="P138" i="26"/>
  <c r="Q138" i="26"/>
  <c r="P139" i="26"/>
  <c r="Q139" i="26"/>
  <c r="P140" i="26"/>
  <c r="Q140" i="26"/>
  <c r="P141" i="26"/>
  <c r="Q141" i="26"/>
  <c r="P142" i="26"/>
  <c r="Q142" i="26"/>
  <c r="P143" i="26"/>
  <c r="Q143" i="26"/>
  <c r="P144" i="26"/>
  <c r="Q144" i="26"/>
  <c r="P145" i="26"/>
  <c r="Q145" i="26"/>
  <c r="P146" i="26"/>
  <c r="Q146" i="26"/>
  <c r="P147" i="26"/>
  <c r="Q147" i="26"/>
  <c r="P148" i="26"/>
  <c r="Q148" i="26"/>
  <c r="P149" i="26"/>
  <c r="Q149" i="26"/>
  <c r="P150" i="26"/>
  <c r="Q150" i="26"/>
  <c r="P151" i="26"/>
  <c r="Q151" i="26"/>
  <c r="P152" i="26"/>
  <c r="Q152" i="26"/>
  <c r="P153" i="26"/>
  <c r="Q153" i="26"/>
  <c r="P154" i="26"/>
  <c r="Q154" i="26"/>
  <c r="P155" i="26"/>
  <c r="Q155" i="26"/>
  <c r="P156" i="26"/>
  <c r="Q156" i="26"/>
  <c r="P157" i="26"/>
  <c r="Q157" i="26"/>
  <c r="P158" i="26"/>
  <c r="Q158" i="26"/>
  <c r="P159" i="26"/>
  <c r="Q159" i="26"/>
  <c r="P160" i="26"/>
  <c r="Q160" i="26"/>
  <c r="P161" i="26"/>
  <c r="Q161" i="26"/>
  <c r="P162" i="26"/>
  <c r="Q162" i="26"/>
  <c r="P163" i="26"/>
  <c r="Q163" i="26"/>
  <c r="P164" i="26"/>
  <c r="Q164" i="26"/>
  <c r="P165" i="26"/>
  <c r="Q165" i="26"/>
  <c r="P166" i="26"/>
  <c r="Q166" i="26"/>
  <c r="P167" i="26"/>
  <c r="Q167" i="26"/>
  <c r="P168" i="26"/>
  <c r="Q168" i="26"/>
  <c r="P169" i="26"/>
  <c r="Q169" i="26"/>
  <c r="P170" i="26"/>
  <c r="Q170" i="26"/>
  <c r="P171" i="26"/>
  <c r="Q171" i="26"/>
  <c r="P172" i="26"/>
  <c r="Q172" i="26"/>
  <c r="P173" i="26"/>
  <c r="Q173" i="26"/>
  <c r="P174" i="26"/>
  <c r="Q174" i="26"/>
  <c r="P175" i="26"/>
  <c r="Q175" i="26"/>
  <c r="P176" i="26"/>
  <c r="Q176" i="26"/>
  <c r="P177" i="26"/>
  <c r="Q177" i="26"/>
  <c r="P178" i="26"/>
  <c r="Q178" i="26"/>
  <c r="P179" i="26"/>
  <c r="Q179" i="26"/>
  <c r="P180" i="26"/>
  <c r="Q180" i="26"/>
  <c r="P181" i="26"/>
  <c r="Q181" i="26"/>
  <c r="P182" i="26"/>
  <c r="Q182" i="26"/>
  <c r="P183" i="26"/>
  <c r="Q183" i="26"/>
  <c r="P184" i="26"/>
  <c r="Q184" i="26"/>
  <c r="P185" i="26"/>
  <c r="Q185" i="26"/>
  <c r="P186" i="26"/>
  <c r="Q186" i="26"/>
  <c r="P187" i="26"/>
  <c r="Q187" i="26"/>
  <c r="P188" i="26"/>
  <c r="Q188" i="26"/>
  <c r="P189" i="26"/>
  <c r="Q189" i="26"/>
  <c r="P190" i="26"/>
  <c r="Q190" i="26"/>
  <c r="P191" i="26"/>
  <c r="Q191" i="26"/>
  <c r="P192" i="26"/>
  <c r="Q192" i="26"/>
  <c r="P193" i="26"/>
  <c r="Q193" i="26"/>
  <c r="P194" i="26"/>
  <c r="Q194" i="26"/>
  <c r="P195" i="26"/>
  <c r="Q195" i="26"/>
  <c r="P196" i="26"/>
  <c r="Q196" i="26"/>
  <c r="P197" i="26"/>
  <c r="Q197" i="26"/>
  <c r="P198" i="26"/>
  <c r="Q198" i="26"/>
  <c r="P199" i="26"/>
  <c r="Q199" i="26"/>
  <c r="P200" i="26"/>
  <c r="Q200" i="26"/>
  <c r="P201" i="26"/>
  <c r="Q201" i="26"/>
  <c r="P202" i="26"/>
  <c r="Q202" i="26"/>
  <c r="P203" i="26"/>
  <c r="Q203" i="26"/>
  <c r="P204" i="26"/>
  <c r="Q204" i="26"/>
  <c r="P205" i="26"/>
  <c r="Q205" i="26"/>
  <c r="P206" i="26"/>
  <c r="Q206" i="26"/>
  <c r="P207" i="26"/>
  <c r="Q207" i="26"/>
  <c r="P208" i="26"/>
  <c r="Q208" i="26"/>
  <c r="P209" i="26"/>
  <c r="Q209" i="26"/>
  <c r="P210" i="26"/>
  <c r="Q210" i="26"/>
  <c r="P211" i="26"/>
  <c r="Q211" i="26"/>
  <c r="P212" i="26"/>
  <c r="Q212" i="26"/>
  <c r="P213" i="26"/>
  <c r="Q213" i="26"/>
  <c r="P214" i="26"/>
  <c r="Q214" i="26"/>
  <c r="P215" i="26"/>
  <c r="Q215" i="26"/>
  <c r="P216" i="26"/>
  <c r="Q216" i="26"/>
  <c r="P217" i="26"/>
  <c r="Q217" i="26"/>
  <c r="P218" i="26"/>
  <c r="Q218" i="26"/>
  <c r="P219" i="26"/>
  <c r="Q219" i="26"/>
  <c r="P220" i="26"/>
  <c r="Q220" i="26"/>
  <c r="P221" i="26"/>
  <c r="Q221" i="26"/>
  <c r="P222" i="26"/>
  <c r="Q222" i="26"/>
  <c r="P223" i="26"/>
  <c r="Q223" i="26"/>
  <c r="P224" i="26"/>
  <c r="Q224" i="26"/>
  <c r="P225" i="26"/>
  <c r="Q225" i="26"/>
  <c r="P226" i="26"/>
  <c r="Q226" i="26"/>
  <c r="P227" i="26"/>
  <c r="Q227" i="26"/>
  <c r="P228" i="26"/>
  <c r="Q228" i="26"/>
  <c r="P229" i="26"/>
  <c r="Q229" i="26"/>
  <c r="P230" i="26"/>
  <c r="Q230" i="26"/>
  <c r="P231" i="26"/>
  <c r="Q231" i="26"/>
  <c r="P232" i="26"/>
  <c r="Q232" i="26"/>
  <c r="P233" i="26"/>
  <c r="Q233" i="26"/>
  <c r="P234" i="26"/>
  <c r="Q234" i="26"/>
  <c r="P235" i="26"/>
  <c r="Q235" i="26"/>
  <c r="P236" i="26"/>
  <c r="Q236" i="26"/>
  <c r="P237" i="26"/>
  <c r="Q237" i="26"/>
  <c r="P238" i="26"/>
  <c r="Q238" i="26"/>
  <c r="P239" i="26"/>
  <c r="Q239" i="26"/>
  <c r="P240" i="26"/>
  <c r="Q240" i="26"/>
  <c r="P241" i="26"/>
  <c r="Q241" i="26"/>
  <c r="P242" i="26"/>
  <c r="Q242" i="26"/>
  <c r="P243" i="26"/>
  <c r="Q243" i="26"/>
  <c r="P244" i="26"/>
  <c r="Q244" i="26"/>
  <c r="P245" i="26"/>
  <c r="Q245" i="26"/>
  <c r="P246" i="26"/>
  <c r="Q246" i="26"/>
  <c r="P247" i="26"/>
  <c r="Q247" i="26"/>
  <c r="P248" i="26"/>
  <c r="Q248" i="26"/>
  <c r="P249" i="26"/>
  <c r="Q249" i="26"/>
  <c r="P250" i="26"/>
  <c r="Q250" i="26"/>
  <c r="P251" i="26"/>
  <c r="Q251" i="26"/>
  <c r="G3" i="3"/>
  <c r="G4" i="3"/>
  <c r="G5" i="3"/>
  <c r="G6" i="3"/>
  <c r="G7" i="3"/>
  <c r="G8" i="3"/>
  <c r="G2" i="3"/>
  <c r="F8" i="3"/>
  <c r="F7" i="3"/>
  <c r="F6" i="3"/>
  <c r="F5" i="3"/>
  <c r="F4" i="3"/>
  <c r="F3" i="3"/>
  <c r="F2" i="3"/>
  <c r="E8" i="3"/>
  <c r="E7" i="3"/>
  <c r="E6" i="3"/>
  <c r="E5" i="3"/>
  <c r="E4" i="3"/>
  <c r="E3" i="3"/>
  <c r="E2" i="3"/>
  <c r="D8" i="3"/>
  <c r="D7" i="3"/>
  <c r="D6" i="3"/>
  <c r="D5" i="3"/>
  <c r="D4" i="3"/>
  <c r="D3" i="3"/>
  <c r="D2" i="3"/>
  <c r="C8" i="3"/>
  <c r="C7" i="3"/>
  <c r="C6" i="3"/>
  <c r="C5" i="3"/>
  <c r="C4" i="3"/>
  <c r="C3" i="3"/>
  <c r="C2" i="3"/>
  <c r="B8" i="3"/>
  <c r="B7" i="3"/>
  <c r="B6" i="3"/>
  <c r="B5" i="3"/>
  <c r="B4" i="3"/>
  <c r="B3" i="3"/>
  <c r="B2" i="3"/>
  <c r="G4" i="2"/>
  <c r="G3" i="2"/>
  <c r="G7" i="2"/>
  <c r="G6" i="2"/>
  <c r="G8" i="2"/>
  <c r="G5" i="2"/>
  <c r="G2" i="2"/>
  <c r="F8" i="2"/>
  <c r="F7" i="2"/>
  <c r="F6" i="2"/>
  <c r="F5" i="2"/>
  <c r="F4" i="2"/>
  <c r="F3" i="2"/>
  <c r="F2" i="2"/>
  <c r="E8" i="2"/>
  <c r="E7" i="2"/>
  <c r="E6" i="2"/>
  <c r="E5" i="2"/>
  <c r="E4" i="2"/>
  <c r="E3" i="2"/>
  <c r="E2" i="2"/>
  <c r="D8" i="2"/>
  <c r="D7" i="2"/>
  <c r="D6" i="2"/>
  <c r="D5" i="2"/>
  <c r="D4" i="2"/>
  <c r="D3" i="2"/>
  <c r="D2" i="2"/>
  <c r="C8" i="2"/>
  <c r="C7" i="2"/>
  <c r="C6" i="2"/>
  <c r="C5" i="2"/>
  <c r="C4" i="2"/>
  <c r="C3" i="2"/>
  <c r="C2" i="2"/>
  <c r="B5" i="2"/>
  <c r="B8" i="2"/>
  <c r="B7" i="2"/>
  <c r="B6" i="2"/>
  <c r="B4" i="2"/>
  <c r="B3" i="2"/>
  <c r="B2" i="2"/>
  <c r="F8" i="1"/>
  <c r="F7" i="1"/>
  <c r="F6" i="1"/>
  <c r="F5" i="1"/>
  <c r="F4" i="1"/>
  <c r="F3" i="1"/>
  <c r="F2" i="1"/>
  <c r="E8" i="1"/>
  <c r="E7" i="1"/>
  <c r="E6" i="1"/>
  <c r="E5" i="1"/>
  <c r="E4" i="1"/>
  <c r="E3" i="1"/>
  <c r="E2" i="1"/>
  <c r="D8" i="1"/>
  <c r="D7" i="1"/>
  <c r="D6" i="1"/>
  <c r="D5" i="1"/>
  <c r="D4" i="1"/>
  <c r="D3" i="1"/>
  <c r="D2" i="1"/>
  <c r="C8" i="1"/>
  <c r="C7" i="1"/>
  <c r="C6" i="1"/>
  <c r="C5" i="1"/>
  <c r="C4" i="1"/>
  <c r="C3" i="1"/>
  <c r="C2" i="1"/>
  <c r="B8" i="1"/>
  <c r="B7" i="1"/>
  <c r="B6" i="1"/>
  <c r="B5" i="1"/>
  <c r="B4" i="1"/>
  <c r="B3" i="1"/>
  <c r="B2" i="1"/>
  <c r="AB13" i="50"/>
  <c r="AB12" i="50"/>
  <c r="AB11" i="50"/>
  <c r="AB10" i="50"/>
  <c r="U13" i="50"/>
  <c r="U12" i="50"/>
  <c r="U11" i="50"/>
  <c r="U10" i="50"/>
  <c r="AE12" i="49"/>
  <c r="AE11" i="49"/>
  <c r="AE10" i="49"/>
  <c r="X14" i="49"/>
  <c r="X13" i="49"/>
  <c r="X12" i="49"/>
  <c r="X11" i="49"/>
  <c r="X10" i="49"/>
  <c r="K27" i="45"/>
  <c r="K26" i="45"/>
  <c r="K25" i="45"/>
  <c r="K24" i="45"/>
  <c r="C6" i="43"/>
  <c r="C5" i="43"/>
  <c r="C4" i="43"/>
  <c r="T19" i="51" l="1"/>
  <c r="V2" i="51"/>
  <c r="V239" i="51"/>
  <c r="V219" i="51"/>
  <c r="V95" i="51"/>
  <c r="T2" i="51"/>
  <c r="V85" i="51"/>
  <c r="T184" i="51"/>
  <c r="V55" i="51"/>
  <c r="T102" i="51"/>
  <c r="V45" i="51"/>
  <c r="T34" i="51"/>
  <c r="V35" i="51"/>
  <c r="T20" i="51"/>
  <c r="V5" i="51"/>
  <c r="Y245" i="51"/>
  <c r="T245" i="51"/>
  <c r="X241" i="51"/>
  <c r="S241" i="51"/>
  <c r="X231" i="51"/>
  <c r="S231" i="51"/>
  <c r="X221" i="51"/>
  <c r="S221" i="51"/>
  <c r="S211" i="51"/>
  <c r="X211" i="51"/>
  <c r="X191" i="51"/>
  <c r="S191" i="51"/>
  <c r="X181" i="51"/>
  <c r="S181" i="51"/>
  <c r="X171" i="51"/>
  <c r="S171" i="51"/>
  <c r="S161" i="51"/>
  <c r="X161" i="51"/>
  <c r="X141" i="51"/>
  <c r="S141" i="51"/>
  <c r="X131" i="51"/>
  <c r="S131" i="51"/>
  <c r="X121" i="51"/>
  <c r="S121" i="51"/>
  <c r="S111" i="51"/>
  <c r="X111" i="51"/>
  <c r="X91" i="51"/>
  <c r="S91" i="51"/>
  <c r="X81" i="51"/>
  <c r="S81" i="51"/>
  <c r="X71" i="51"/>
  <c r="S71" i="51"/>
  <c r="S61" i="51"/>
  <c r="X61" i="51"/>
  <c r="X41" i="51"/>
  <c r="S41" i="51"/>
  <c r="X31" i="51"/>
  <c r="S31" i="51"/>
  <c r="X21" i="51"/>
  <c r="S21" i="51"/>
  <c r="X11" i="51"/>
  <c r="S11" i="51"/>
  <c r="Z241" i="51"/>
  <c r="U241" i="51"/>
  <c r="Z231" i="51"/>
  <c r="U231" i="51"/>
  <c r="Z221" i="51"/>
  <c r="U221" i="51"/>
  <c r="U211" i="51"/>
  <c r="Z211" i="51"/>
  <c r="Z191" i="51"/>
  <c r="U191" i="51"/>
  <c r="Z181" i="51"/>
  <c r="U181" i="51"/>
  <c r="Z171" i="51"/>
  <c r="U171" i="51"/>
  <c r="Z161" i="51"/>
  <c r="U161" i="51"/>
  <c r="Z141" i="51"/>
  <c r="U141" i="51"/>
  <c r="Z131" i="51"/>
  <c r="U131" i="51"/>
  <c r="Z121" i="51"/>
  <c r="U121" i="51"/>
  <c r="Z111" i="51"/>
  <c r="U111" i="51"/>
  <c r="Z91" i="51"/>
  <c r="U91" i="51"/>
  <c r="Z81" i="51"/>
  <c r="U81" i="51"/>
  <c r="Z71" i="51"/>
  <c r="U71" i="51"/>
  <c r="Z61" i="51"/>
  <c r="U61" i="51"/>
  <c r="Z41" i="51"/>
  <c r="U41" i="51"/>
  <c r="Z31" i="51"/>
  <c r="U31" i="51"/>
  <c r="U21" i="51"/>
  <c r="Z21" i="51"/>
  <c r="Z11" i="51"/>
  <c r="U11" i="51"/>
  <c r="Y241" i="51"/>
  <c r="T241" i="51"/>
  <c r="Y231" i="51"/>
  <c r="T231" i="51"/>
  <c r="Y221" i="51"/>
  <c r="T221" i="51"/>
  <c r="T211" i="51"/>
  <c r="Y211" i="51"/>
  <c r="Y191" i="51"/>
  <c r="T191" i="51"/>
  <c r="T181" i="51"/>
  <c r="Y181" i="51"/>
  <c r="Y171" i="51"/>
  <c r="T171" i="51"/>
  <c r="Y161" i="51"/>
  <c r="T161" i="51"/>
  <c r="Y141" i="51"/>
  <c r="T141" i="51"/>
  <c r="Y131" i="51"/>
  <c r="AB131" i="51" s="1"/>
  <c r="T131" i="51"/>
  <c r="Y121" i="51"/>
  <c r="T121" i="51"/>
  <c r="Y111" i="51"/>
  <c r="T111" i="51"/>
  <c r="Y91" i="51"/>
  <c r="T91" i="51"/>
  <c r="Y81" i="51"/>
  <c r="T81" i="51"/>
  <c r="Y71" i="51"/>
  <c r="T71" i="51"/>
  <c r="Y61" i="51"/>
  <c r="T61" i="51"/>
  <c r="Y41" i="51"/>
  <c r="T41" i="51"/>
  <c r="Y31" i="51"/>
  <c r="T31" i="51"/>
  <c r="Y21" i="51"/>
  <c r="T21" i="51"/>
  <c r="Y11" i="51"/>
  <c r="T11" i="51"/>
  <c r="AA241" i="51"/>
  <c r="V241" i="51"/>
  <c r="AA231" i="51"/>
  <c r="V231" i="51"/>
  <c r="AA221" i="51"/>
  <c r="V221" i="51"/>
  <c r="AA211" i="51"/>
  <c r="V211" i="51"/>
  <c r="AA201" i="51"/>
  <c r="AB201" i="51" s="1"/>
  <c r="V201" i="51"/>
  <c r="AA191" i="51"/>
  <c r="V191" i="51"/>
  <c r="V181" i="51"/>
  <c r="AA181" i="51"/>
  <c r="AA171" i="51"/>
  <c r="V171" i="51"/>
  <c r="AA161" i="51"/>
  <c r="AB161" i="51" s="1"/>
  <c r="V161" i="51"/>
  <c r="AA151" i="51"/>
  <c r="AB151" i="51" s="1"/>
  <c r="V151" i="51"/>
  <c r="V141" i="51"/>
  <c r="AA141" i="51"/>
  <c r="V131" i="51"/>
  <c r="AA131" i="51"/>
  <c r="AA121" i="51"/>
  <c r="V121" i="51"/>
  <c r="AA111" i="51"/>
  <c r="V111" i="51"/>
  <c r="AA101" i="51"/>
  <c r="AB101" i="51" s="1"/>
  <c r="V101" i="51"/>
  <c r="AA91" i="51"/>
  <c r="V91" i="51"/>
  <c r="AA81" i="51"/>
  <c r="V81" i="51"/>
  <c r="AA71" i="51"/>
  <c r="V71" i="51"/>
  <c r="AA61" i="51"/>
  <c r="V61" i="51"/>
  <c r="AA51" i="51"/>
  <c r="AB51" i="51" s="1"/>
  <c r="V51" i="51"/>
  <c r="AA41" i="51"/>
  <c r="V41" i="51"/>
  <c r="AA31" i="51"/>
  <c r="V31" i="51"/>
  <c r="AA21" i="51"/>
  <c r="V21" i="51"/>
  <c r="AA11" i="51"/>
  <c r="V11" i="51"/>
  <c r="AB251" i="51"/>
  <c r="S251" i="51"/>
  <c r="S200" i="51"/>
  <c r="S135" i="51"/>
  <c r="S84" i="51"/>
  <c r="S32" i="51"/>
  <c r="T219" i="51"/>
  <c r="T134" i="51"/>
  <c r="T51" i="51"/>
  <c r="U219" i="51"/>
  <c r="U134" i="51"/>
  <c r="U51" i="51"/>
  <c r="V220" i="51"/>
  <c r="X95" i="51"/>
  <c r="S95" i="51"/>
  <c r="X240" i="51"/>
  <c r="S240" i="51"/>
  <c r="X230" i="51"/>
  <c r="S230" i="51"/>
  <c r="X210" i="51"/>
  <c r="S210" i="51"/>
  <c r="X190" i="51"/>
  <c r="S190" i="51"/>
  <c r="X180" i="51"/>
  <c r="S180" i="51"/>
  <c r="X160" i="51"/>
  <c r="S160" i="51"/>
  <c r="X140" i="51"/>
  <c r="S140" i="51"/>
  <c r="X130" i="51"/>
  <c r="S130" i="51"/>
  <c r="X110" i="51"/>
  <c r="S110" i="51"/>
  <c r="S90" i="51"/>
  <c r="X90" i="51"/>
  <c r="X80" i="51"/>
  <c r="S80" i="51"/>
  <c r="X60" i="51"/>
  <c r="S60" i="51"/>
  <c r="X40" i="51"/>
  <c r="S40" i="51"/>
  <c r="X30" i="51"/>
  <c r="S30" i="51"/>
  <c r="X10" i="51"/>
  <c r="S10" i="51"/>
  <c r="Z250" i="51"/>
  <c r="U250" i="51"/>
  <c r="Z240" i="51"/>
  <c r="U240" i="51"/>
  <c r="Z230" i="51"/>
  <c r="U230" i="51"/>
  <c r="Z210" i="51"/>
  <c r="U210" i="51"/>
  <c r="Z200" i="51"/>
  <c r="U200" i="51"/>
  <c r="Z190" i="51"/>
  <c r="U190" i="51"/>
  <c r="U180" i="51"/>
  <c r="Z180" i="51"/>
  <c r="Z160" i="51"/>
  <c r="U160" i="51"/>
  <c r="Z150" i="51"/>
  <c r="U150" i="51"/>
  <c r="Z140" i="51"/>
  <c r="U140" i="51"/>
  <c r="Z130" i="51"/>
  <c r="U130" i="51"/>
  <c r="Z110" i="51"/>
  <c r="U110" i="51"/>
  <c r="Z100" i="51"/>
  <c r="U100" i="51"/>
  <c r="Z90" i="51"/>
  <c r="U90" i="51"/>
  <c r="Z80" i="51"/>
  <c r="U80" i="51"/>
  <c r="Z60" i="51"/>
  <c r="U60" i="51"/>
  <c r="Z50" i="51"/>
  <c r="U50" i="51"/>
  <c r="Z40" i="51"/>
  <c r="U40" i="51"/>
  <c r="Z30" i="51"/>
  <c r="U30" i="51"/>
  <c r="Z10" i="51"/>
  <c r="U10" i="51"/>
  <c r="Y240" i="51"/>
  <c r="T240" i="51"/>
  <c r="Y230" i="51"/>
  <c r="T230" i="51"/>
  <c r="Y210" i="51"/>
  <c r="T210" i="51"/>
  <c r="Y200" i="51"/>
  <c r="T200" i="51"/>
  <c r="Y190" i="51"/>
  <c r="T190" i="51"/>
  <c r="Y180" i="51"/>
  <c r="T180" i="51"/>
  <c r="Y160" i="51"/>
  <c r="T160" i="51"/>
  <c r="Y150" i="51"/>
  <c r="T150" i="51"/>
  <c r="Y140" i="51"/>
  <c r="T140" i="51"/>
  <c r="Y130" i="51"/>
  <c r="T130" i="51"/>
  <c r="Y110" i="51"/>
  <c r="T110" i="51"/>
  <c r="Y100" i="51"/>
  <c r="T100" i="51"/>
  <c r="Y90" i="51"/>
  <c r="T90" i="51"/>
  <c r="Y80" i="51"/>
  <c r="T80" i="51"/>
  <c r="Y60" i="51"/>
  <c r="T60" i="51"/>
  <c r="Y50" i="51"/>
  <c r="T50" i="51"/>
  <c r="Y40" i="51"/>
  <c r="T40" i="51"/>
  <c r="Y30" i="51"/>
  <c r="T30" i="51"/>
  <c r="Y10" i="51"/>
  <c r="T10" i="51"/>
  <c r="AA250" i="51"/>
  <c r="V250" i="51"/>
  <c r="AA240" i="51"/>
  <c r="V240" i="51"/>
  <c r="AA230" i="51"/>
  <c r="V230" i="51"/>
  <c r="AA210" i="51"/>
  <c r="V210" i="51"/>
  <c r="AA200" i="51"/>
  <c r="V200" i="51"/>
  <c r="AA190" i="51"/>
  <c r="V190" i="51"/>
  <c r="AA180" i="51"/>
  <c r="V180" i="51"/>
  <c r="AA170" i="51"/>
  <c r="AB170" i="51" s="1"/>
  <c r="V170" i="51"/>
  <c r="AA160" i="51"/>
  <c r="V160" i="51"/>
  <c r="AA150" i="51"/>
  <c r="V150" i="51"/>
  <c r="AA140" i="51"/>
  <c r="V140" i="51"/>
  <c r="AA130" i="51"/>
  <c r="V130" i="51"/>
  <c r="AA120" i="51"/>
  <c r="AB120" i="51" s="1"/>
  <c r="V120" i="51"/>
  <c r="AA110" i="51"/>
  <c r="AB110" i="51" s="1"/>
  <c r="V110" i="51"/>
  <c r="AA100" i="51"/>
  <c r="V100" i="51"/>
  <c r="AA90" i="51"/>
  <c r="V90" i="51"/>
  <c r="AA80" i="51"/>
  <c r="V80" i="51"/>
  <c r="V70" i="51"/>
  <c r="AA70" i="51"/>
  <c r="AB70" i="51" s="1"/>
  <c r="AA60" i="51"/>
  <c r="V60" i="51"/>
  <c r="AA50" i="51"/>
  <c r="V50" i="51"/>
  <c r="AA40" i="51"/>
  <c r="V40" i="51"/>
  <c r="AA30" i="51"/>
  <c r="V30" i="51"/>
  <c r="AA20" i="51"/>
  <c r="AB20" i="51" s="1"/>
  <c r="V20" i="51"/>
  <c r="AA10" i="51"/>
  <c r="V10" i="51"/>
  <c r="AB220" i="51"/>
  <c r="S250" i="51"/>
  <c r="S185" i="51"/>
  <c r="S134" i="51"/>
  <c r="S82" i="51"/>
  <c r="S20" i="51"/>
  <c r="T202" i="51"/>
  <c r="T120" i="51"/>
  <c r="T35" i="51"/>
  <c r="U202" i="51"/>
  <c r="U120" i="51"/>
  <c r="U35" i="51"/>
  <c r="X249" i="51"/>
  <c r="S249" i="51"/>
  <c r="X239" i="51"/>
  <c r="S239" i="51"/>
  <c r="S229" i="51"/>
  <c r="X229" i="51"/>
  <c r="X209" i="51"/>
  <c r="S209" i="51"/>
  <c r="X199" i="51"/>
  <c r="S199" i="51"/>
  <c r="X189" i="51"/>
  <c r="S189" i="51"/>
  <c r="S179" i="51"/>
  <c r="X179" i="51"/>
  <c r="X159" i="51"/>
  <c r="S159" i="51"/>
  <c r="X149" i="51"/>
  <c r="S149" i="51"/>
  <c r="X139" i="51"/>
  <c r="S139" i="51"/>
  <c r="S129" i="51"/>
  <c r="X129" i="51"/>
  <c r="X109" i="51"/>
  <c r="S109" i="51"/>
  <c r="X99" i="51"/>
  <c r="S99" i="51"/>
  <c r="X89" i="51"/>
  <c r="S89" i="51"/>
  <c r="S79" i="51"/>
  <c r="X79" i="51"/>
  <c r="X59" i="51"/>
  <c r="S59" i="51"/>
  <c r="X49" i="51"/>
  <c r="S49" i="51"/>
  <c r="X39" i="51"/>
  <c r="S39" i="51"/>
  <c r="X29" i="51"/>
  <c r="S29" i="51"/>
  <c r="X9" i="51"/>
  <c r="S9" i="51"/>
  <c r="Z249" i="51"/>
  <c r="U249" i="51"/>
  <c r="Z239" i="51"/>
  <c r="U239" i="51"/>
  <c r="U229" i="51"/>
  <c r="Z229" i="51"/>
  <c r="Z209" i="51"/>
  <c r="U209" i="51"/>
  <c r="Z199" i="51"/>
  <c r="U199" i="51"/>
  <c r="Z189" i="51"/>
  <c r="U189" i="51"/>
  <c r="Z179" i="51"/>
  <c r="U179" i="51"/>
  <c r="Z159" i="51"/>
  <c r="U159" i="51"/>
  <c r="Z149" i="51"/>
  <c r="U149" i="51"/>
  <c r="Z139" i="51"/>
  <c r="U139" i="51"/>
  <c r="Z129" i="51"/>
  <c r="U129" i="51"/>
  <c r="Z109" i="51"/>
  <c r="U109" i="51"/>
  <c r="Z99" i="51"/>
  <c r="U99" i="51"/>
  <c r="Z89" i="51"/>
  <c r="U89" i="51"/>
  <c r="Z79" i="51"/>
  <c r="U79" i="51"/>
  <c r="Z59" i="51"/>
  <c r="U59" i="51"/>
  <c r="Z49" i="51"/>
  <c r="U49" i="51"/>
  <c r="Z39" i="51"/>
  <c r="U39" i="51"/>
  <c r="Z29" i="51"/>
  <c r="U29" i="51"/>
  <c r="Z9" i="51"/>
  <c r="U9" i="51"/>
  <c r="Y249" i="51"/>
  <c r="T249" i="51"/>
  <c r="Y239" i="51"/>
  <c r="T239" i="51"/>
  <c r="T229" i="51"/>
  <c r="Y229" i="51"/>
  <c r="Y209" i="51"/>
  <c r="T209" i="51"/>
  <c r="Y199" i="51"/>
  <c r="T199" i="51"/>
  <c r="Y189" i="51"/>
  <c r="T189" i="51"/>
  <c r="Y179" i="51"/>
  <c r="T179" i="51"/>
  <c r="Y159" i="51"/>
  <c r="T159" i="51"/>
  <c r="Y149" i="51"/>
  <c r="T149" i="51"/>
  <c r="Y139" i="51"/>
  <c r="T139" i="51"/>
  <c r="Y129" i="51"/>
  <c r="T129" i="51"/>
  <c r="Y109" i="51"/>
  <c r="T109" i="51"/>
  <c r="Y99" i="51"/>
  <c r="T99" i="51"/>
  <c r="Y89" i="51"/>
  <c r="T89" i="51"/>
  <c r="Y79" i="51"/>
  <c r="T79" i="51"/>
  <c r="S235" i="51"/>
  <c r="S184" i="51"/>
  <c r="S132" i="51"/>
  <c r="S70" i="51"/>
  <c r="S19" i="51"/>
  <c r="T201" i="51"/>
  <c r="T119" i="51"/>
  <c r="U201" i="51"/>
  <c r="U119" i="51"/>
  <c r="U34" i="51"/>
  <c r="V195" i="51"/>
  <c r="X248" i="51"/>
  <c r="S248" i="51"/>
  <c r="S238" i="51"/>
  <c r="X238" i="51"/>
  <c r="S228" i="51"/>
  <c r="X228" i="51"/>
  <c r="X218" i="51"/>
  <c r="S218" i="51"/>
  <c r="S208" i="51"/>
  <c r="X208" i="51"/>
  <c r="X198" i="51"/>
  <c r="S198" i="51"/>
  <c r="S188" i="51"/>
  <c r="X188" i="51"/>
  <c r="S178" i="51"/>
  <c r="X178" i="51"/>
  <c r="X168" i="51"/>
  <c r="S168" i="51"/>
  <c r="S158" i="51"/>
  <c r="X158" i="51"/>
  <c r="X148" i="51"/>
  <c r="S148" i="51"/>
  <c r="S138" i="51"/>
  <c r="X138" i="51"/>
  <c r="S128" i="51"/>
  <c r="X128" i="51"/>
  <c r="X118" i="51"/>
  <c r="S118" i="51"/>
  <c r="S108" i="51"/>
  <c r="X108" i="51"/>
  <c r="X98" i="51"/>
  <c r="S98" i="51"/>
  <c r="S88" i="51"/>
  <c r="X88" i="51"/>
  <c r="S78" i="51"/>
  <c r="X78" i="51"/>
  <c r="X68" i="51"/>
  <c r="S68" i="51"/>
  <c r="S58" i="51"/>
  <c r="X58" i="51"/>
  <c r="X48" i="51"/>
  <c r="S48" i="51"/>
  <c r="S38" i="51"/>
  <c r="X38" i="51"/>
  <c r="S28" i="51"/>
  <c r="X28" i="51"/>
  <c r="S18" i="51"/>
  <c r="X18" i="51"/>
  <c r="S8" i="51"/>
  <c r="X8" i="51"/>
  <c r="U248" i="51"/>
  <c r="Z248" i="51"/>
  <c r="Z238" i="51"/>
  <c r="U238" i="51"/>
  <c r="U228" i="51"/>
  <c r="Z228" i="51"/>
  <c r="Z218" i="51"/>
  <c r="U218" i="51"/>
  <c r="Z208" i="51"/>
  <c r="U208" i="51"/>
  <c r="U198" i="51"/>
  <c r="Z198" i="51"/>
  <c r="Z188" i="51"/>
  <c r="U188" i="51"/>
  <c r="U178" i="51"/>
  <c r="Z178" i="51"/>
  <c r="Z168" i="51"/>
  <c r="U168" i="51"/>
  <c r="Z158" i="51"/>
  <c r="U158" i="51"/>
  <c r="Z148" i="51"/>
  <c r="U148" i="51"/>
  <c r="Z138" i="51"/>
  <c r="U138" i="51"/>
  <c r="Z128" i="51"/>
  <c r="U128" i="51"/>
  <c r="Z118" i="51"/>
  <c r="U118" i="51"/>
  <c r="Z108" i="51"/>
  <c r="U108" i="51"/>
  <c r="Z98" i="51"/>
  <c r="U98" i="51"/>
  <c r="U88" i="51"/>
  <c r="Z88" i="51"/>
  <c r="Z78" i="51"/>
  <c r="U78" i="51"/>
  <c r="Z68" i="51"/>
  <c r="U68" i="51"/>
  <c r="Z58" i="51"/>
  <c r="U58" i="51"/>
  <c r="U48" i="51"/>
  <c r="Z48" i="51"/>
  <c r="Z38" i="51"/>
  <c r="U38" i="51"/>
  <c r="Z28" i="51"/>
  <c r="U28" i="51"/>
  <c r="U18" i="51"/>
  <c r="Z18" i="51"/>
  <c r="U8" i="51"/>
  <c r="Z8" i="51"/>
  <c r="T248" i="51"/>
  <c r="Y248" i="51"/>
  <c r="Y238" i="51"/>
  <c r="T238" i="51"/>
  <c r="T228" i="51"/>
  <c r="Y228" i="51"/>
  <c r="Y218" i="51"/>
  <c r="T218" i="51"/>
  <c r="Y208" i="51"/>
  <c r="T208" i="51"/>
  <c r="T198" i="51"/>
  <c r="Y198" i="51"/>
  <c r="S234" i="51"/>
  <c r="S182" i="51"/>
  <c r="S120" i="51"/>
  <c r="S69" i="51"/>
  <c r="S15" i="51"/>
  <c r="T185" i="51"/>
  <c r="U185" i="51"/>
  <c r="U102" i="51"/>
  <c r="U20" i="51"/>
  <c r="V145" i="51"/>
  <c r="X247" i="51"/>
  <c r="S247" i="51"/>
  <c r="X237" i="51"/>
  <c r="S237" i="51"/>
  <c r="X227" i="51"/>
  <c r="S227" i="51"/>
  <c r="X217" i="51"/>
  <c r="S217" i="51"/>
  <c r="X207" i="51"/>
  <c r="S207" i="51"/>
  <c r="X197" i="51"/>
  <c r="S197" i="51"/>
  <c r="X187" i="51"/>
  <c r="S187" i="51"/>
  <c r="X177" i="51"/>
  <c r="S177" i="51"/>
  <c r="X167" i="51"/>
  <c r="S167" i="51"/>
  <c r="X157" i="51"/>
  <c r="S157" i="51"/>
  <c r="X147" i="51"/>
  <c r="S147" i="51"/>
  <c r="X137" i="51"/>
  <c r="S137" i="51"/>
  <c r="X127" i="51"/>
  <c r="S127" i="51"/>
  <c r="X117" i="51"/>
  <c r="S117" i="51"/>
  <c r="X107" i="51"/>
  <c r="S107" i="51"/>
  <c r="X97" i="51"/>
  <c r="S97" i="51"/>
  <c r="X87" i="51"/>
  <c r="S87" i="51"/>
  <c r="X77" i="51"/>
  <c r="S77" i="51"/>
  <c r="X67" i="51"/>
  <c r="S67" i="51"/>
  <c r="X57" i="51"/>
  <c r="S57" i="51"/>
  <c r="X47" i="51"/>
  <c r="S47" i="51"/>
  <c r="X37" i="51"/>
  <c r="S37" i="51"/>
  <c r="S27" i="51"/>
  <c r="X27" i="51"/>
  <c r="S17" i="51"/>
  <c r="X17" i="51"/>
  <c r="S7" i="51"/>
  <c r="X7" i="51"/>
  <c r="U247" i="51"/>
  <c r="Z247" i="51"/>
  <c r="U237" i="51"/>
  <c r="Z237" i="51"/>
  <c r="U227" i="51"/>
  <c r="Z227" i="51"/>
  <c r="Z217" i="51"/>
  <c r="U217" i="51"/>
  <c r="Z207" i="51"/>
  <c r="U207" i="51"/>
  <c r="U197" i="51"/>
  <c r="Z197" i="51"/>
  <c r="Z187" i="51"/>
  <c r="U187" i="51"/>
  <c r="U177" i="51"/>
  <c r="Z177" i="51"/>
  <c r="Z167" i="51"/>
  <c r="U167" i="51"/>
  <c r="Z157" i="51"/>
  <c r="U157" i="51"/>
  <c r="Z147" i="51"/>
  <c r="U147" i="51"/>
  <c r="Z137" i="51"/>
  <c r="U137" i="51"/>
  <c r="Z127" i="51"/>
  <c r="U127" i="51"/>
  <c r="Z117" i="51"/>
  <c r="U117" i="51"/>
  <c r="U107" i="51"/>
  <c r="Z107" i="51"/>
  <c r="Z97" i="51"/>
  <c r="U97" i="51"/>
  <c r="Z87" i="51"/>
  <c r="U87" i="51"/>
  <c r="Z77" i="51"/>
  <c r="U77" i="51"/>
  <c r="Z67" i="51"/>
  <c r="U67" i="51"/>
  <c r="Z57" i="51"/>
  <c r="U57" i="51"/>
  <c r="U47" i="51"/>
  <c r="Z47" i="51"/>
  <c r="U37" i="51"/>
  <c r="Z37" i="51"/>
  <c r="Z27" i="51"/>
  <c r="U27" i="51"/>
  <c r="U17" i="51"/>
  <c r="Z17" i="51"/>
  <c r="S232" i="51"/>
  <c r="S170" i="51"/>
  <c r="S119" i="51"/>
  <c r="S65" i="51"/>
  <c r="T101" i="51"/>
  <c r="U184" i="51"/>
  <c r="U101" i="51"/>
  <c r="U19" i="51"/>
  <c r="X125" i="51"/>
  <c r="S125" i="51"/>
  <c r="X246" i="51"/>
  <c r="S246" i="51"/>
  <c r="X236" i="51"/>
  <c r="S236" i="51"/>
  <c r="X226" i="51"/>
  <c r="S226" i="51"/>
  <c r="X216" i="51"/>
  <c r="S216" i="51"/>
  <c r="X206" i="51"/>
  <c r="S206" i="51"/>
  <c r="X196" i="51"/>
  <c r="S196" i="51"/>
  <c r="X186" i="51"/>
  <c r="S186" i="51"/>
  <c r="X176" i="51"/>
  <c r="S176" i="51"/>
  <c r="X166" i="51"/>
  <c r="S166" i="51"/>
  <c r="X156" i="51"/>
  <c r="S156" i="51"/>
  <c r="X146" i="51"/>
  <c r="S146" i="51"/>
  <c r="X136" i="51"/>
  <c r="S136" i="51"/>
  <c r="X126" i="51"/>
  <c r="S126" i="51"/>
  <c r="X116" i="51"/>
  <c r="S116" i="51"/>
  <c r="X106" i="51"/>
  <c r="S106" i="51"/>
  <c r="X96" i="51"/>
  <c r="S96" i="51"/>
  <c r="X86" i="51"/>
  <c r="S86" i="51"/>
  <c r="X76" i="51"/>
  <c r="S76" i="51"/>
  <c r="X66" i="51"/>
  <c r="S66" i="51"/>
  <c r="X56" i="51"/>
  <c r="S56" i="51"/>
  <c r="X46" i="51"/>
  <c r="S46" i="51"/>
  <c r="X36" i="51"/>
  <c r="S36" i="51"/>
  <c r="X26" i="51"/>
  <c r="S26" i="51"/>
  <c r="S16" i="51"/>
  <c r="X16" i="51"/>
  <c r="S6" i="51"/>
  <c r="X6" i="51"/>
  <c r="U246" i="51"/>
  <c r="Z246" i="51"/>
  <c r="U236" i="51"/>
  <c r="Z236" i="51"/>
  <c r="Z226" i="51"/>
  <c r="U226" i="51"/>
  <c r="U216" i="51"/>
  <c r="Z216" i="51"/>
  <c r="Z206" i="51"/>
  <c r="U206" i="51"/>
  <c r="U196" i="51"/>
  <c r="Z196" i="51"/>
  <c r="Z186" i="51"/>
  <c r="U186" i="51"/>
  <c r="U176" i="51"/>
  <c r="Z176" i="51"/>
  <c r="U166" i="51"/>
  <c r="Z166" i="51"/>
  <c r="Z156" i="51"/>
  <c r="U156" i="51"/>
  <c r="U146" i="51"/>
  <c r="Z146" i="51"/>
  <c r="U136" i="51"/>
  <c r="Z136" i="51"/>
  <c r="Z126" i="51"/>
  <c r="U126" i="51"/>
  <c r="Z116" i="51"/>
  <c r="U116" i="51"/>
  <c r="U106" i="51"/>
  <c r="Z106" i="51"/>
  <c r="Z96" i="51"/>
  <c r="U96" i="51"/>
  <c r="Z86" i="51"/>
  <c r="U86" i="51"/>
  <c r="Z76" i="51"/>
  <c r="U76" i="51"/>
  <c r="Z66" i="51"/>
  <c r="U66" i="51"/>
  <c r="Z56" i="51"/>
  <c r="U56" i="51"/>
  <c r="Z46" i="51"/>
  <c r="U46" i="51"/>
  <c r="U36" i="51"/>
  <c r="Z36" i="51"/>
  <c r="Z26" i="51"/>
  <c r="U26" i="51"/>
  <c r="Z16" i="51"/>
  <c r="U16" i="51"/>
  <c r="Z6" i="51"/>
  <c r="U6" i="51"/>
  <c r="T246" i="51"/>
  <c r="Y246" i="51"/>
  <c r="T236" i="51"/>
  <c r="Y236" i="51"/>
  <c r="Y226" i="51"/>
  <c r="T226" i="51"/>
  <c r="T216" i="51"/>
  <c r="Y216" i="51"/>
  <c r="Y206" i="51"/>
  <c r="T206" i="51"/>
  <c r="T196" i="51"/>
  <c r="Y196" i="51"/>
  <c r="Y186" i="51"/>
  <c r="T186" i="51"/>
  <c r="Y176" i="51"/>
  <c r="T176" i="51"/>
  <c r="T166" i="51"/>
  <c r="Y166" i="51"/>
  <c r="Y156" i="51"/>
  <c r="T156" i="51"/>
  <c r="T146" i="51"/>
  <c r="Y146" i="51"/>
  <c r="T136" i="51"/>
  <c r="Y136" i="51"/>
  <c r="Y126" i="51"/>
  <c r="T126" i="51"/>
  <c r="T116" i="51"/>
  <c r="Y116" i="51"/>
  <c r="Y106" i="51"/>
  <c r="T106" i="51"/>
  <c r="T96" i="51"/>
  <c r="Y96" i="51"/>
  <c r="T86" i="51"/>
  <c r="Y86" i="51"/>
  <c r="Y76" i="51"/>
  <c r="T76" i="51"/>
  <c r="T66" i="51"/>
  <c r="Y66" i="51"/>
  <c r="Y56" i="51"/>
  <c r="T56" i="51"/>
  <c r="T46" i="51"/>
  <c r="Y46" i="51"/>
  <c r="T36" i="51"/>
  <c r="Y36" i="51"/>
  <c r="Y26" i="51"/>
  <c r="T26" i="51"/>
  <c r="T16" i="51"/>
  <c r="Y16" i="51"/>
  <c r="Y6" i="51"/>
  <c r="T6" i="51"/>
  <c r="AA246" i="51"/>
  <c r="V246" i="51"/>
  <c r="AA236" i="51"/>
  <c r="V236" i="51"/>
  <c r="V226" i="51"/>
  <c r="AA226" i="51"/>
  <c r="V216" i="51"/>
  <c r="AA216" i="51"/>
  <c r="AA206" i="51"/>
  <c r="V206" i="51"/>
  <c r="V196" i="51"/>
  <c r="AA196" i="51"/>
  <c r="AA186" i="51"/>
  <c r="V186" i="51"/>
  <c r="AA176" i="51"/>
  <c r="V176" i="51"/>
  <c r="V166" i="51"/>
  <c r="AA166" i="51"/>
  <c r="AA156" i="51"/>
  <c r="V156" i="51"/>
  <c r="AA146" i="51"/>
  <c r="V146" i="51"/>
  <c r="AA136" i="51"/>
  <c r="V136" i="51"/>
  <c r="V126" i="51"/>
  <c r="AA126" i="51"/>
  <c r="AA116" i="51"/>
  <c r="V116" i="51"/>
  <c r="AA106" i="51"/>
  <c r="V106" i="51"/>
  <c r="V96" i="51"/>
  <c r="AA96" i="51"/>
  <c r="V86" i="51"/>
  <c r="AA86" i="51"/>
  <c r="AA76" i="51"/>
  <c r="V76" i="51"/>
  <c r="AA66" i="51"/>
  <c r="V66" i="51"/>
  <c r="AA56" i="51"/>
  <c r="V56" i="51"/>
  <c r="AA46" i="51"/>
  <c r="V46" i="51"/>
  <c r="AA36" i="51"/>
  <c r="V36" i="51"/>
  <c r="V26" i="51"/>
  <c r="AA26" i="51"/>
  <c r="AA16" i="51"/>
  <c r="V16" i="51"/>
  <c r="AA6" i="51"/>
  <c r="V6" i="51"/>
  <c r="S220" i="51"/>
  <c r="S169" i="51"/>
  <c r="S115" i="51"/>
  <c r="S52" i="51"/>
  <c r="T251" i="51"/>
  <c r="T170" i="51"/>
  <c r="T85" i="51"/>
  <c r="U2" i="51"/>
  <c r="U170" i="51"/>
  <c r="U85" i="51"/>
  <c r="Y125" i="51"/>
  <c r="T125" i="51"/>
  <c r="Y115" i="51"/>
  <c r="T115" i="51"/>
  <c r="Y105" i="51"/>
  <c r="T105" i="51"/>
  <c r="T95" i="51"/>
  <c r="Y95" i="51"/>
  <c r="Y75" i="51"/>
  <c r="T75" i="51"/>
  <c r="T65" i="51"/>
  <c r="Y65" i="51"/>
  <c r="Y55" i="51"/>
  <c r="T55" i="51"/>
  <c r="Y45" i="51"/>
  <c r="T45" i="51"/>
  <c r="Y25" i="51"/>
  <c r="T25" i="51"/>
  <c r="Y15" i="51"/>
  <c r="T15" i="51"/>
  <c r="Y5" i="51"/>
  <c r="T5" i="51"/>
  <c r="AA245" i="51"/>
  <c r="V245" i="51"/>
  <c r="AA225" i="51"/>
  <c r="V225" i="51"/>
  <c r="AA215" i="51"/>
  <c r="V215" i="51"/>
  <c r="AA205" i="51"/>
  <c r="V205" i="51"/>
  <c r="AA185" i="51"/>
  <c r="AB185" i="51" s="1"/>
  <c r="V185" i="51"/>
  <c r="AA175" i="51"/>
  <c r="V175" i="51"/>
  <c r="AA165" i="51"/>
  <c r="V165" i="51"/>
  <c r="AA155" i="51"/>
  <c r="V155" i="51"/>
  <c r="AA135" i="51"/>
  <c r="AB135" i="51" s="1"/>
  <c r="V135" i="51"/>
  <c r="AA125" i="51"/>
  <c r="V125" i="51"/>
  <c r="AA115" i="51"/>
  <c r="V115" i="51"/>
  <c r="S219" i="51"/>
  <c r="S165" i="51"/>
  <c r="S102" i="51"/>
  <c r="S51" i="51"/>
  <c r="T250" i="51"/>
  <c r="T169" i="51"/>
  <c r="T84" i="51"/>
  <c r="U251" i="51"/>
  <c r="U169" i="51"/>
  <c r="U84" i="51"/>
  <c r="V251" i="51"/>
  <c r="X225" i="51"/>
  <c r="S225" i="51"/>
  <c r="X195" i="51"/>
  <c r="S195" i="51"/>
  <c r="X175" i="51"/>
  <c r="S175" i="51"/>
  <c r="X145" i="51"/>
  <c r="S145" i="51"/>
  <c r="Z205" i="51"/>
  <c r="U205" i="51"/>
  <c r="Z165" i="51"/>
  <c r="U165" i="51"/>
  <c r="Z145" i="51"/>
  <c r="U145" i="51"/>
  <c r="Z125" i="51"/>
  <c r="U125" i="51"/>
  <c r="Z15" i="51"/>
  <c r="U15" i="51"/>
  <c r="Y225" i="51"/>
  <c r="T225" i="51"/>
  <c r="Y215" i="51"/>
  <c r="T215" i="51"/>
  <c r="Y205" i="51"/>
  <c r="T205" i="51"/>
  <c r="Y195" i="51"/>
  <c r="T195" i="51"/>
  <c r="Y175" i="51"/>
  <c r="T175" i="51"/>
  <c r="Y165" i="51"/>
  <c r="T165" i="51"/>
  <c r="S244" i="51"/>
  <c r="X244" i="51"/>
  <c r="X224" i="51"/>
  <c r="S224" i="51"/>
  <c r="X214" i="51"/>
  <c r="S214" i="51"/>
  <c r="X204" i="51"/>
  <c r="S204" i="51"/>
  <c r="S194" i="51"/>
  <c r="X194" i="51"/>
  <c r="X174" i="51"/>
  <c r="S174" i="51"/>
  <c r="X164" i="51"/>
  <c r="S164" i="51"/>
  <c r="X154" i="51"/>
  <c r="S154" i="51"/>
  <c r="S144" i="51"/>
  <c r="X144" i="51"/>
  <c r="X124" i="51"/>
  <c r="S124" i="51"/>
  <c r="X114" i="51"/>
  <c r="S114" i="51"/>
  <c r="X104" i="51"/>
  <c r="S104" i="51"/>
  <c r="S94" i="51"/>
  <c r="X94" i="51"/>
  <c r="X74" i="51"/>
  <c r="S74" i="51"/>
  <c r="X64" i="51"/>
  <c r="S64" i="51"/>
  <c r="X54" i="51"/>
  <c r="S54" i="51"/>
  <c r="S44" i="51"/>
  <c r="X44" i="51"/>
  <c r="X24" i="51"/>
  <c r="S24" i="51"/>
  <c r="X14" i="51"/>
  <c r="S14" i="51"/>
  <c r="X4" i="51"/>
  <c r="S4" i="51"/>
  <c r="Z244" i="51"/>
  <c r="U244" i="51"/>
  <c r="Z224" i="51"/>
  <c r="U224" i="51"/>
  <c r="Z214" i="51"/>
  <c r="U214" i="51"/>
  <c r="Z204" i="51"/>
  <c r="U204" i="51"/>
  <c r="Z194" i="51"/>
  <c r="U194" i="51"/>
  <c r="Z174" i="51"/>
  <c r="U174" i="51"/>
  <c r="Z164" i="51"/>
  <c r="U164" i="51"/>
  <c r="Z154" i="51"/>
  <c r="U154" i="51"/>
  <c r="Z144" i="51"/>
  <c r="U144" i="51"/>
  <c r="Z124" i="51"/>
  <c r="U124" i="51"/>
  <c r="Z114" i="51"/>
  <c r="U114" i="51"/>
  <c r="Z104" i="51"/>
  <c r="U104" i="51"/>
  <c r="Z94" i="51"/>
  <c r="U94" i="51"/>
  <c r="Z74" i="51"/>
  <c r="U74" i="51"/>
  <c r="Z64" i="51"/>
  <c r="U64" i="51"/>
  <c r="Z54" i="51"/>
  <c r="U54" i="51"/>
  <c r="Z44" i="51"/>
  <c r="U44" i="51"/>
  <c r="Z24" i="51"/>
  <c r="U24" i="51"/>
  <c r="Z14" i="51"/>
  <c r="U14" i="51"/>
  <c r="Z4" i="51"/>
  <c r="U4" i="51"/>
  <c r="Y244" i="51"/>
  <c r="T244" i="51"/>
  <c r="Y224" i="51"/>
  <c r="T224" i="51"/>
  <c r="Y214" i="51"/>
  <c r="T214" i="51"/>
  <c r="Y204" i="51"/>
  <c r="T204" i="51"/>
  <c r="Y194" i="51"/>
  <c r="T194" i="51"/>
  <c r="Y174" i="51"/>
  <c r="T174" i="51"/>
  <c r="Y164" i="51"/>
  <c r="T164" i="51"/>
  <c r="Y154" i="51"/>
  <c r="T154" i="51"/>
  <c r="Y144" i="51"/>
  <c r="T144" i="51"/>
  <c r="Y124" i="51"/>
  <c r="T124" i="51"/>
  <c r="Y114" i="51"/>
  <c r="T114" i="51"/>
  <c r="Y104" i="51"/>
  <c r="T104" i="51"/>
  <c r="Y94" i="51"/>
  <c r="T94" i="51"/>
  <c r="Y74" i="51"/>
  <c r="T74" i="51"/>
  <c r="Y64" i="51"/>
  <c r="T64" i="51"/>
  <c r="Y54" i="51"/>
  <c r="T54" i="51"/>
  <c r="Y44" i="51"/>
  <c r="T44" i="51"/>
  <c r="Y24" i="51"/>
  <c r="T24" i="51"/>
  <c r="Y14" i="51"/>
  <c r="T14" i="51"/>
  <c r="Y4" i="51"/>
  <c r="T4" i="51"/>
  <c r="AA244" i="51"/>
  <c r="V244" i="51"/>
  <c r="AA224" i="51"/>
  <c r="V224" i="51"/>
  <c r="AA214" i="51"/>
  <c r="V214" i="51"/>
  <c r="AA204" i="51"/>
  <c r="V204" i="51"/>
  <c r="AA194" i="51"/>
  <c r="V194" i="51"/>
  <c r="AA184" i="51"/>
  <c r="AB184" i="51" s="1"/>
  <c r="V184" i="51"/>
  <c r="AA174" i="51"/>
  <c r="V174" i="51"/>
  <c r="AA164" i="51"/>
  <c r="V164" i="51"/>
  <c r="AA154" i="51"/>
  <c r="V154" i="51"/>
  <c r="AA144" i="51"/>
  <c r="V144" i="51"/>
  <c r="AA134" i="51"/>
  <c r="AB134" i="51" s="1"/>
  <c r="V134" i="51"/>
  <c r="AA124" i="51"/>
  <c r="V124" i="51"/>
  <c r="AA114" i="51"/>
  <c r="V114" i="51"/>
  <c r="AA104" i="51"/>
  <c r="V104" i="51"/>
  <c r="AA94" i="51"/>
  <c r="AB94" i="51" s="1"/>
  <c r="V94" i="51"/>
  <c r="AA84" i="51"/>
  <c r="AB84" i="51" s="1"/>
  <c r="V84" i="51"/>
  <c r="AA74" i="51"/>
  <c r="V74" i="51"/>
  <c r="AA64" i="51"/>
  <c r="V64" i="51"/>
  <c r="AA54" i="51"/>
  <c r="V54" i="51"/>
  <c r="AA44" i="51"/>
  <c r="V44" i="51"/>
  <c r="AA34" i="51"/>
  <c r="AB34" i="51" s="1"/>
  <c r="V34" i="51"/>
  <c r="AA24" i="51"/>
  <c r="V24" i="51"/>
  <c r="AA14" i="51"/>
  <c r="V14" i="51"/>
  <c r="AA4" i="51"/>
  <c r="V4" i="51"/>
  <c r="AB234" i="51"/>
  <c r="S215" i="51"/>
  <c r="S152" i="51"/>
  <c r="S101" i="51"/>
  <c r="S50" i="51"/>
  <c r="T235" i="51"/>
  <c r="T152" i="51"/>
  <c r="T70" i="51"/>
  <c r="U235" i="51"/>
  <c r="U152" i="51"/>
  <c r="U70" i="51"/>
  <c r="X245" i="51"/>
  <c r="S245" i="51"/>
  <c r="X205" i="51"/>
  <c r="S205" i="51"/>
  <c r="X55" i="51"/>
  <c r="S55" i="51"/>
  <c r="X45" i="51"/>
  <c r="S45" i="51"/>
  <c r="Z245" i="51"/>
  <c r="U245" i="51"/>
  <c r="Z225" i="51"/>
  <c r="U225" i="51"/>
  <c r="Z215" i="51"/>
  <c r="U215" i="51"/>
  <c r="Z195" i="51"/>
  <c r="U195" i="51"/>
  <c r="Z175" i="51"/>
  <c r="U175" i="51"/>
  <c r="Z155" i="51"/>
  <c r="U155" i="51"/>
  <c r="Z75" i="51"/>
  <c r="U75" i="51"/>
  <c r="Z55" i="51"/>
  <c r="U55" i="51"/>
  <c r="Z45" i="51"/>
  <c r="U45" i="51"/>
  <c r="Z25" i="51"/>
  <c r="U25" i="51"/>
  <c r="Z5" i="51"/>
  <c r="U5" i="51"/>
  <c r="Y145" i="51"/>
  <c r="T145" i="51"/>
  <c r="S243" i="51"/>
  <c r="X243" i="51"/>
  <c r="X233" i="51"/>
  <c r="S233" i="51"/>
  <c r="S223" i="51"/>
  <c r="X223" i="51"/>
  <c r="X213" i="51"/>
  <c r="S213" i="51"/>
  <c r="X203" i="51"/>
  <c r="S203" i="51"/>
  <c r="S193" i="51"/>
  <c r="X193" i="51"/>
  <c r="X183" i="51"/>
  <c r="S183" i="51"/>
  <c r="S173" i="51"/>
  <c r="X173" i="51"/>
  <c r="X163" i="51"/>
  <c r="S163" i="51"/>
  <c r="X153" i="51"/>
  <c r="S153" i="51"/>
  <c r="S143" i="51"/>
  <c r="X143" i="51"/>
  <c r="X133" i="51"/>
  <c r="S133" i="51"/>
  <c r="S123" i="51"/>
  <c r="X123" i="51"/>
  <c r="X113" i="51"/>
  <c r="S113" i="51"/>
  <c r="X103" i="51"/>
  <c r="S103" i="51"/>
  <c r="S93" i="51"/>
  <c r="X93" i="51"/>
  <c r="X83" i="51"/>
  <c r="S83" i="51"/>
  <c r="S73" i="51"/>
  <c r="X73" i="51"/>
  <c r="X63" i="51"/>
  <c r="S63" i="51"/>
  <c r="X53" i="51"/>
  <c r="S53" i="51"/>
  <c r="S43" i="51"/>
  <c r="X43" i="51"/>
  <c r="X33" i="51"/>
  <c r="S33" i="51"/>
  <c r="X23" i="51"/>
  <c r="S23" i="51"/>
  <c r="X13" i="51"/>
  <c r="S13" i="51"/>
  <c r="X3" i="51"/>
  <c r="S3" i="51"/>
  <c r="Z243" i="51"/>
  <c r="U243" i="51"/>
  <c r="Z233" i="51"/>
  <c r="U233" i="51"/>
  <c r="Z223" i="51"/>
  <c r="U223" i="51"/>
  <c r="Z213" i="51"/>
  <c r="U213" i="51"/>
  <c r="Z203" i="51"/>
  <c r="U203" i="51"/>
  <c r="Z193" i="51"/>
  <c r="U193" i="51"/>
  <c r="Z183" i="51"/>
  <c r="U183" i="51"/>
  <c r="Z173" i="51"/>
  <c r="U173" i="51"/>
  <c r="Z163" i="51"/>
  <c r="U163" i="51"/>
  <c r="Z153" i="51"/>
  <c r="U153" i="51"/>
  <c r="Z143" i="51"/>
  <c r="U143" i="51"/>
  <c r="Z133" i="51"/>
  <c r="U133" i="51"/>
  <c r="Z123" i="51"/>
  <c r="U123" i="51"/>
  <c r="Z113" i="51"/>
  <c r="U113" i="51"/>
  <c r="Z103" i="51"/>
  <c r="U103" i="51"/>
  <c r="Z93" i="51"/>
  <c r="U93" i="51"/>
  <c r="Z83" i="51"/>
  <c r="U83" i="51"/>
  <c r="Z73" i="51"/>
  <c r="U73" i="51"/>
  <c r="Z63" i="51"/>
  <c r="U63" i="51"/>
  <c r="Z53" i="51"/>
  <c r="U53" i="51"/>
  <c r="Z43" i="51"/>
  <c r="U43" i="51"/>
  <c r="Z33" i="51"/>
  <c r="U33" i="51"/>
  <c r="Z23" i="51"/>
  <c r="U23" i="51"/>
  <c r="Z13" i="51"/>
  <c r="U13" i="51"/>
  <c r="Z3" i="51"/>
  <c r="U3" i="51"/>
  <c r="Y243" i="51"/>
  <c r="T243" i="51"/>
  <c r="Y233" i="51"/>
  <c r="T233" i="51"/>
  <c r="Y223" i="51"/>
  <c r="T223" i="51"/>
  <c r="Y213" i="51"/>
  <c r="T213" i="51"/>
  <c r="Y203" i="51"/>
  <c r="T203" i="51"/>
  <c r="Y193" i="51"/>
  <c r="T193" i="51"/>
  <c r="Y183" i="51"/>
  <c r="T183" i="51"/>
  <c r="Y173" i="51"/>
  <c r="T173" i="51"/>
  <c r="Y163" i="51"/>
  <c r="T163" i="51"/>
  <c r="Y153" i="51"/>
  <c r="T153" i="51"/>
  <c r="Y143" i="51"/>
  <c r="T143" i="51"/>
  <c r="Y133" i="51"/>
  <c r="T133" i="51"/>
  <c r="Y123" i="51"/>
  <c r="T123" i="51"/>
  <c r="Y113" i="51"/>
  <c r="T113" i="51"/>
  <c r="Y103" i="51"/>
  <c r="T103" i="51"/>
  <c r="Y93" i="51"/>
  <c r="T93" i="51"/>
  <c r="Y83" i="51"/>
  <c r="T83" i="51"/>
  <c r="Y73" i="51"/>
  <c r="T73" i="51"/>
  <c r="Y63" i="51"/>
  <c r="T63" i="51"/>
  <c r="Y53" i="51"/>
  <c r="T53" i="51"/>
  <c r="Y43" i="51"/>
  <c r="T43" i="51"/>
  <c r="Y33" i="51"/>
  <c r="T33" i="51"/>
  <c r="Y23" i="51"/>
  <c r="T23" i="51"/>
  <c r="Y13" i="51"/>
  <c r="T13" i="51"/>
  <c r="Y3" i="51"/>
  <c r="T3" i="51"/>
  <c r="AA243" i="51"/>
  <c r="V243" i="51"/>
  <c r="AA233" i="51"/>
  <c r="V233" i="51"/>
  <c r="AA223" i="51"/>
  <c r="V223" i="51"/>
  <c r="AA213" i="51"/>
  <c r="V213" i="51"/>
  <c r="AA203" i="51"/>
  <c r="V203" i="51"/>
  <c r="AA193" i="51"/>
  <c r="V193" i="51"/>
  <c r="AA183" i="51"/>
  <c r="AB183" i="51" s="1"/>
  <c r="V183" i="51"/>
  <c r="AA173" i="51"/>
  <c r="V173" i="51"/>
  <c r="AA163" i="51"/>
  <c r="V163" i="51"/>
  <c r="AA153" i="51"/>
  <c r="V153" i="51"/>
  <c r="AA143" i="51"/>
  <c r="V143" i="51"/>
  <c r="AA133" i="51"/>
  <c r="V133" i="51"/>
  <c r="AA123" i="51"/>
  <c r="V123" i="51"/>
  <c r="AA113" i="51"/>
  <c r="V113" i="51"/>
  <c r="AA103" i="51"/>
  <c r="V103" i="51"/>
  <c r="AA93" i="51"/>
  <c r="V93" i="51"/>
  <c r="AA83" i="51"/>
  <c r="V83" i="51"/>
  <c r="AA73" i="51"/>
  <c r="V73" i="51"/>
  <c r="AA63" i="51"/>
  <c r="AB63" i="51" s="1"/>
  <c r="V63" i="51"/>
  <c r="AA53" i="51"/>
  <c r="V53" i="51"/>
  <c r="AA43" i="51"/>
  <c r="V43" i="51"/>
  <c r="AA33" i="51"/>
  <c r="V33" i="51"/>
  <c r="AA23" i="51"/>
  <c r="V23" i="51"/>
  <c r="AA13" i="51"/>
  <c r="V13" i="51"/>
  <c r="AA3" i="51"/>
  <c r="V3" i="51"/>
  <c r="S202" i="51"/>
  <c r="S151" i="51"/>
  <c r="S100" i="51"/>
  <c r="S35" i="51"/>
  <c r="T234" i="51"/>
  <c r="T151" i="51"/>
  <c r="T69" i="51"/>
  <c r="U234" i="51"/>
  <c r="U151" i="51"/>
  <c r="U69" i="51"/>
  <c r="V235" i="51"/>
  <c r="X155" i="51"/>
  <c r="S155" i="51"/>
  <c r="X105" i="51"/>
  <c r="S105" i="51"/>
  <c r="X75" i="51"/>
  <c r="S75" i="51"/>
  <c r="X25" i="51"/>
  <c r="S25" i="51"/>
  <c r="S5" i="51"/>
  <c r="X5" i="51"/>
  <c r="Z115" i="51"/>
  <c r="U115" i="51"/>
  <c r="Z105" i="51"/>
  <c r="U105" i="51"/>
  <c r="Z95" i="51"/>
  <c r="U95" i="51"/>
  <c r="U65" i="51"/>
  <c r="Z65" i="51"/>
  <c r="Y155" i="51"/>
  <c r="T155" i="51"/>
  <c r="X242" i="51"/>
  <c r="S242" i="51"/>
  <c r="X222" i="51"/>
  <c r="S222" i="51"/>
  <c r="X212" i="51"/>
  <c r="S212" i="51"/>
  <c r="X192" i="51"/>
  <c r="S192" i="51"/>
  <c r="X172" i="51"/>
  <c r="S172" i="51"/>
  <c r="X162" i="51"/>
  <c r="S162" i="51"/>
  <c r="X142" i="51"/>
  <c r="S142" i="51"/>
  <c r="X122" i="51"/>
  <c r="S122" i="51"/>
  <c r="X112" i="51"/>
  <c r="S112" i="51"/>
  <c r="X92" i="51"/>
  <c r="S92" i="51"/>
  <c r="X72" i="51"/>
  <c r="S72" i="51"/>
  <c r="X62" i="51"/>
  <c r="S62" i="51"/>
  <c r="X42" i="51"/>
  <c r="S42" i="51"/>
  <c r="X22" i="51"/>
  <c r="S22" i="51"/>
  <c r="X12" i="51"/>
  <c r="S12" i="51"/>
  <c r="Z242" i="51"/>
  <c r="U242" i="51"/>
  <c r="Z232" i="51"/>
  <c r="U232" i="51"/>
  <c r="Z222" i="51"/>
  <c r="U222" i="51"/>
  <c r="Z212" i="51"/>
  <c r="U212" i="51"/>
  <c r="Z192" i="51"/>
  <c r="U192" i="51"/>
  <c r="Z182" i="51"/>
  <c r="U182" i="51"/>
  <c r="Z172" i="51"/>
  <c r="U172" i="51"/>
  <c r="Z162" i="51"/>
  <c r="U162" i="51"/>
  <c r="Z142" i="51"/>
  <c r="U142" i="51"/>
  <c r="Z132" i="51"/>
  <c r="U132" i="51"/>
  <c r="Z122" i="51"/>
  <c r="U122" i="51"/>
  <c r="Z112" i="51"/>
  <c r="U112" i="51"/>
  <c r="Z92" i="51"/>
  <c r="U92" i="51"/>
  <c r="Z82" i="51"/>
  <c r="U82" i="51"/>
  <c r="Z72" i="51"/>
  <c r="U72" i="51"/>
  <c r="Z62" i="51"/>
  <c r="U62" i="51"/>
  <c r="Z42" i="51"/>
  <c r="U42" i="51"/>
  <c r="Z32" i="51"/>
  <c r="U32" i="51"/>
  <c r="Z22" i="51"/>
  <c r="U22" i="51"/>
  <c r="Z12" i="51"/>
  <c r="U12" i="51"/>
  <c r="Y242" i="51"/>
  <c r="T242" i="51"/>
  <c r="Y232" i="51"/>
  <c r="T232" i="51"/>
  <c r="Y222" i="51"/>
  <c r="T222" i="51"/>
  <c r="Y212" i="51"/>
  <c r="T212" i="51"/>
  <c r="Y192" i="51"/>
  <c r="T192" i="51"/>
  <c r="Y182" i="51"/>
  <c r="T182" i="51"/>
  <c r="Y172" i="51"/>
  <c r="T172" i="51"/>
  <c r="Y162" i="51"/>
  <c r="T162" i="51"/>
  <c r="Y142" i="51"/>
  <c r="T142" i="51"/>
  <c r="Y132" i="51"/>
  <c r="T132" i="51"/>
  <c r="Y122" i="51"/>
  <c r="T122" i="51"/>
  <c r="Y112" i="51"/>
  <c r="T112" i="51"/>
  <c r="Y92" i="51"/>
  <c r="T92" i="51"/>
  <c r="Y82" i="51"/>
  <c r="T82" i="51"/>
  <c r="Y72" i="51"/>
  <c r="T72" i="51"/>
  <c r="Y62" i="51"/>
  <c r="T62" i="51"/>
  <c r="Y42" i="51"/>
  <c r="T42" i="51"/>
  <c r="Y32" i="51"/>
  <c r="T32" i="51"/>
  <c r="Y22" i="51"/>
  <c r="T22" i="51"/>
  <c r="Y12" i="51"/>
  <c r="T12" i="51"/>
  <c r="AA242" i="51"/>
  <c r="AB242" i="51" s="1"/>
  <c r="V242" i="51"/>
  <c r="AA232" i="51"/>
  <c r="V232" i="51"/>
  <c r="AA222" i="51"/>
  <c r="V222" i="51"/>
  <c r="AA212" i="51"/>
  <c r="V212" i="51"/>
  <c r="AA202" i="51"/>
  <c r="AB202" i="51" s="1"/>
  <c r="V202" i="51"/>
  <c r="AA192" i="51"/>
  <c r="V192" i="51"/>
  <c r="AA182" i="51"/>
  <c r="V182" i="51"/>
  <c r="AA172" i="51"/>
  <c r="V172" i="51"/>
  <c r="AA162" i="51"/>
  <c r="V162" i="51"/>
  <c r="AA152" i="51"/>
  <c r="AB152" i="51" s="1"/>
  <c r="V152" i="51"/>
  <c r="AA142" i="51"/>
  <c r="V142" i="51"/>
  <c r="AA132" i="51"/>
  <c r="V132" i="51"/>
  <c r="AA122" i="51"/>
  <c r="V122" i="51"/>
  <c r="AA112" i="51"/>
  <c r="V112" i="51"/>
  <c r="AA102" i="51"/>
  <c r="AB102" i="51" s="1"/>
  <c r="V102" i="51"/>
  <c r="AA92" i="51"/>
  <c r="V92" i="51"/>
  <c r="AA82" i="51"/>
  <c r="V82" i="51"/>
  <c r="AA72" i="51"/>
  <c r="V72" i="51"/>
  <c r="AA62" i="51"/>
  <c r="V62" i="51"/>
  <c r="AA52" i="51"/>
  <c r="AB52" i="51" s="1"/>
  <c r="V52" i="51"/>
  <c r="AA42" i="51"/>
  <c r="V42" i="51"/>
  <c r="AA32" i="51"/>
  <c r="V32" i="51"/>
  <c r="AA22" i="51"/>
  <c r="V22" i="51"/>
  <c r="AA12" i="51"/>
  <c r="V12" i="51"/>
  <c r="AB2" i="51"/>
  <c r="S2" i="51"/>
  <c r="S201" i="51"/>
  <c r="S150" i="51"/>
  <c r="S85" i="51"/>
  <c r="S34" i="51"/>
  <c r="T220" i="51"/>
  <c r="T135" i="51"/>
  <c r="T52" i="51"/>
  <c r="U220" i="51"/>
  <c r="U135" i="51"/>
  <c r="U52" i="51"/>
  <c r="V234" i="51"/>
  <c r="AB206" i="51"/>
  <c r="AB126" i="51"/>
  <c r="V65" i="51"/>
  <c r="V15" i="51"/>
  <c r="Y128" i="51"/>
  <c r="AA98" i="51"/>
  <c r="AB125" i="51"/>
  <c r="AB85" i="51"/>
  <c r="AB35" i="51"/>
  <c r="T59" i="51"/>
  <c r="T9" i="51"/>
  <c r="V209" i="51"/>
  <c r="Y118" i="51"/>
  <c r="AA77" i="51"/>
  <c r="V105" i="51"/>
  <c r="Y98" i="51"/>
  <c r="AA29" i="51"/>
  <c r="AB29" i="51" s="1"/>
  <c r="T39" i="51"/>
  <c r="AA19" i="51"/>
  <c r="AB19" i="51" s="1"/>
  <c r="AB235" i="51"/>
  <c r="AA189" i="51"/>
  <c r="AB189" i="51" s="1"/>
  <c r="AA199" i="51"/>
  <c r="AB199" i="51" s="1"/>
  <c r="V199" i="51"/>
  <c r="AA179" i="51"/>
  <c r="AB179" i="51" s="1"/>
  <c r="V179" i="51"/>
  <c r="AA169" i="51"/>
  <c r="AB169" i="51" s="1"/>
  <c r="V169" i="51"/>
  <c r="AA159" i="51"/>
  <c r="AB159" i="51" s="1"/>
  <c r="V159" i="51"/>
  <c r="AA149" i="51"/>
  <c r="AB149" i="51" s="1"/>
  <c r="V149" i="51"/>
  <c r="V139" i="51"/>
  <c r="AA139" i="51"/>
  <c r="AB139" i="51" s="1"/>
  <c r="AA129" i="51"/>
  <c r="AB129" i="51" s="1"/>
  <c r="V129" i="51"/>
  <c r="AA119" i="51"/>
  <c r="AB119" i="51" s="1"/>
  <c r="V119" i="51"/>
  <c r="AA109" i="51"/>
  <c r="V109" i="51"/>
  <c r="AA99" i="51"/>
  <c r="AB99" i="51" s="1"/>
  <c r="V99" i="51"/>
  <c r="AA89" i="51"/>
  <c r="AB89" i="51" s="1"/>
  <c r="V89" i="51"/>
  <c r="AA79" i="51"/>
  <c r="AB79" i="51" s="1"/>
  <c r="V79" i="51"/>
  <c r="V69" i="51"/>
  <c r="AA69" i="51"/>
  <c r="AB69" i="51" s="1"/>
  <c r="AA59" i="51"/>
  <c r="AB59" i="51" s="1"/>
  <c r="V59" i="51"/>
  <c r="AA49" i="51"/>
  <c r="V49" i="51"/>
  <c r="AA39" i="51"/>
  <c r="AB39" i="51" s="1"/>
  <c r="V39" i="51"/>
  <c r="AA9" i="51"/>
  <c r="AB9" i="51" s="1"/>
  <c r="V9" i="51"/>
  <c r="AB249" i="51"/>
  <c r="AB239" i="51"/>
  <c r="AB229" i="51"/>
  <c r="AB219" i="51"/>
  <c r="AB209" i="51"/>
  <c r="T49" i="51"/>
  <c r="V249" i="51"/>
  <c r="Y177" i="51"/>
  <c r="AA178" i="51"/>
  <c r="Y188" i="51"/>
  <c r="T188" i="51"/>
  <c r="T178" i="51"/>
  <c r="Y178" i="51"/>
  <c r="T168" i="51"/>
  <c r="Y168" i="51"/>
  <c r="Y158" i="51"/>
  <c r="T158" i="51"/>
  <c r="T148" i="51"/>
  <c r="Y148" i="51"/>
  <c r="Y138" i="51"/>
  <c r="T138" i="51"/>
  <c r="Y108" i="51"/>
  <c r="T108" i="51"/>
  <c r="Y88" i="51"/>
  <c r="T88" i="51"/>
  <c r="Y78" i="51"/>
  <c r="T78" i="51"/>
  <c r="T68" i="51"/>
  <c r="Y68" i="51"/>
  <c r="Y58" i="51"/>
  <c r="T58" i="51"/>
  <c r="Y48" i="51"/>
  <c r="T48" i="51"/>
  <c r="Y38" i="51"/>
  <c r="T38" i="51"/>
  <c r="T28" i="51"/>
  <c r="Y28" i="51"/>
  <c r="Y18" i="51"/>
  <c r="T18" i="51"/>
  <c r="Y8" i="51"/>
  <c r="T8" i="51"/>
  <c r="AA248" i="51"/>
  <c r="AB248" i="51" s="1"/>
  <c r="V248" i="51"/>
  <c r="V238" i="51"/>
  <c r="AA238" i="51"/>
  <c r="AB238" i="51" s="1"/>
  <c r="AA228" i="51"/>
  <c r="AB228" i="51" s="1"/>
  <c r="V228" i="51"/>
  <c r="AA218" i="51"/>
  <c r="AB218" i="51" s="1"/>
  <c r="V218" i="51"/>
  <c r="AA208" i="51"/>
  <c r="AB208" i="51" s="1"/>
  <c r="V208" i="51"/>
  <c r="AA198" i="51"/>
  <c r="AB198" i="51" s="1"/>
  <c r="V198" i="51"/>
  <c r="V188" i="51"/>
  <c r="AA188" i="51"/>
  <c r="AA168" i="51"/>
  <c r="V168" i="51"/>
  <c r="AA158" i="51"/>
  <c r="V158" i="51"/>
  <c r="AA148" i="51"/>
  <c r="V148" i="51"/>
  <c r="AA138" i="51"/>
  <c r="V138" i="51"/>
  <c r="AA118" i="51"/>
  <c r="V118" i="51"/>
  <c r="AA108" i="51"/>
  <c r="V108" i="51"/>
  <c r="AA88" i="51"/>
  <c r="V88" i="51"/>
  <c r="AA78" i="51"/>
  <c r="V78" i="51"/>
  <c r="V68" i="51"/>
  <c r="AA68" i="51"/>
  <c r="AA58" i="51"/>
  <c r="V58" i="51"/>
  <c r="AA48" i="51"/>
  <c r="V48" i="51"/>
  <c r="AA38" i="51"/>
  <c r="V38" i="51"/>
  <c r="AA28" i="51"/>
  <c r="V28" i="51"/>
  <c r="AA18" i="51"/>
  <c r="V18" i="51"/>
  <c r="AA8" i="51"/>
  <c r="V8" i="51"/>
  <c r="V75" i="51"/>
  <c r="V25" i="51"/>
  <c r="Z7" i="51"/>
  <c r="U7" i="51"/>
  <c r="Y247" i="51"/>
  <c r="T247" i="51"/>
  <c r="Y237" i="51"/>
  <c r="T237" i="51"/>
  <c r="T227" i="51"/>
  <c r="Y227" i="51"/>
  <c r="Y217" i="51"/>
  <c r="T217" i="51"/>
  <c r="Y207" i="51"/>
  <c r="T207" i="51"/>
  <c r="T197" i="51"/>
  <c r="Y197" i="51"/>
  <c r="Y187" i="51"/>
  <c r="T187" i="51"/>
  <c r="Y167" i="51"/>
  <c r="T167" i="51"/>
  <c r="Y157" i="51"/>
  <c r="T157" i="51"/>
  <c r="T137" i="51"/>
  <c r="Y137" i="51"/>
  <c r="T127" i="51"/>
  <c r="Y127" i="51"/>
  <c r="Y117" i="51"/>
  <c r="T117" i="51"/>
  <c r="Y107" i="51"/>
  <c r="T107" i="51"/>
  <c r="T97" i="51"/>
  <c r="Y97" i="51"/>
  <c r="T87" i="51"/>
  <c r="Y87" i="51"/>
  <c r="Y77" i="51"/>
  <c r="T77" i="51"/>
  <c r="Y67" i="51"/>
  <c r="T67" i="51"/>
  <c r="Y57" i="51"/>
  <c r="T57" i="51"/>
  <c r="Y47" i="51"/>
  <c r="T47" i="51"/>
  <c r="T37" i="51"/>
  <c r="Y37" i="51"/>
  <c r="T27" i="51"/>
  <c r="Y27" i="51"/>
  <c r="Y17" i="51"/>
  <c r="T17" i="51"/>
  <c r="Y7" i="51"/>
  <c r="T7" i="51"/>
  <c r="V247" i="51"/>
  <c r="AA247" i="51"/>
  <c r="AA237" i="51"/>
  <c r="V237" i="51"/>
  <c r="AA227" i="51"/>
  <c r="V227" i="51"/>
  <c r="AA217" i="51"/>
  <c r="V217" i="51"/>
  <c r="AA207" i="51"/>
  <c r="V207" i="51"/>
  <c r="AA197" i="51"/>
  <c r="V197" i="51"/>
  <c r="AA187" i="51"/>
  <c r="V187" i="51"/>
  <c r="AA177" i="51"/>
  <c r="V177" i="51"/>
  <c r="AA167" i="51"/>
  <c r="V167" i="51"/>
  <c r="AA157" i="51"/>
  <c r="V157" i="51"/>
  <c r="AA147" i="51"/>
  <c r="V147" i="51"/>
  <c r="AA137" i="51"/>
  <c r="V137" i="51"/>
  <c r="V127" i="51"/>
  <c r="AA127" i="51"/>
  <c r="AA117" i="51"/>
  <c r="V117" i="51"/>
  <c r="AA107" i="51"/>
  <c r="AB107" i="51" s="1"/>
  <c r="V107" i="51"/>
  <c r="AA97" i="51"/>
  <c r="V97" i="51"/>
  <c r="AA87" i="51"/>
  <c r="V87" i="51"/>
  <c r="AA67" i="51"/>
  <c r="V67" i="51"/>
  <c r="AA57" i="51"/>
  <c r="V57" i="51"/>
  <c r="AA47" i="51"/>
  <c r="V47" i="51"/>
  <c r="AA37" i="51"/>
  <c r="V37" i="51"/>
  <c r="V27" i="51"/>
  <c r="AA27" i="51"/>
  <c r="AA17" i="51"/>
  <c r="V17" i="51"/>
  <c r="AA7" i="51"/>
  <c r="V7" i="51"/>
  <c r="T29" i="51"/>
  <c r="V229" i="51"/>
  <c r="Y147" i="51"/>
  <c r="AA128" i="51"/>
  <c r="W10" i="50"/>
  <c r="T10" i="50"/>
  <c r="W11" i="50"/>
  <c r="T11" i="50"/>
  <c r="T14" i="50" s="1"/>
  <c r="V14" i="50" s="1"/>
  <c r="W12" i="50"/>
  <c r="T12" i="50"/>
  <c r="V12" i="50" s="1"/>
  <c r="W13" i="50"/>
  <c r="T13" i="50"/>
  <c r="V13" i="50" s="1"/>
  <c r="AG10" i="49"/>
  <c r="AD11" i="49"/>
  <c r="AG11" i="49"/>
  <c r="AG12" i="49"/>
  <c r="AD12" i="49"/>
  <c r="AD10" i="49"/>
  <c r="Z10" i="49"/>
  <c r="W10" i="49"/>
  <c r="Z11" i="49"/>
  <c r="W11" i="49"/>
  <c r="Z12" i="49"/>
  <c r="W12" i="49"/>
  <c r="Z13" i="49"/>
  <c r="W13" i="49"/>
  <c r="Z14" i="49"/>
  <c r="M24" i="45"/>
  <c r="J24" i="45"/>
  <c r="M25" i="45"/>
  <c r="J25" i="45"/>
  <c r="M26" i="45"/>
  <c r="J26" i="45"/>
  <c r="M27" i="45"/>
  <c r="J27" i="45"/>
  <c r="E25" i="45"/>
  <c r="E27" i="45"/>
  <c r="E26" i="45"/>
  <c r="E24" i="45"/>
  <c r="E20" i="26"/>
  <c r="R235" i="26"/>
  <c r="R209" i="26"/>
  <c r="R180" i="26"/>
  <c r="R151" i="26"/>
  <c r="R125" i="26"/>
  <c r="R95" i="26"/>
  <c r="R59" i="26"/>
  <c r="R27" i="26"/>
  <c r="E21" i="26"/>
  <c r="R234" i="26"/>
  <c r="R208" i="26"/>
  <c r="R179" i="26"/>
  <c r="R150" i="26"/>
  <c r="R121" i="26"/>
  <c r="R90" i="26"/>
  <c r="R58" i="26"/>
  <c r="R26" i="26"/>
  <c r="R248" i="26"/>
  <c r="R228" i="26"/>
  <c r="R199" i="26"/>
  <c r="R170" i="26"/>
  <c r="R141" i="26"/>
  <c r="R115" i="26"/>
  <c r="R80" i="26"/>
  <c r="R48" i="26"/>
  <c r="R15" i="26"/>
  <c r="R247" i="26"/>
  <c r="R227" i="26"/>
  <c r="R198" i="26"/>
  <c r="R169" i="26"/>
  <c r="R140" i="26"/>
  <c r="R111" i="26"/>
  <c r="R79" i="26"/>
  <c r="R47" i="26"/>
  <c r="R14" i="26"/>
  <c r="R246" i="26"/>
  <c r="R226" i="26"/>
  <c r="R197" i="26"/>
  <c r="R168" i="26"/>
  <c r="R139" i="26"/>
  <c r="R110" i="26"/>
  <c r="R78" i="26"/>
  <c r="R46" i="26"/>
  <c r="R8" i="26"/>
  <c r="R245" i="26"/>
  <c r="R225" i="26"/>
  <c r="R196" i="26"/>
  <c r="R167" i="26"/>
  <c r="R138" i="26"/>
  <c r="R109" i="26"/>
  <c r="R77" i="26"/>
  <c r="R45" i="26"/>
  <c r="R7" i="26"/>
  <c r="R244" i="26"/>
  <c r="R221" i="26"/>
  <c r="R195" i="26"/>
  <c r="R166" i="26"/>
  <c r="R137" i="26"/>
  <c r="R108" i="26"/>
  <c r="R76" i="26"/>
  <c r="R40" i="26"/>
  <c r="R6" i="26"/>
  <c r="R238" i="26"/>
  <c r="R215" i="26"/>
  <c r="R186" i="26"/>
  <c r="R157" i="26"/>
  <c r="R128" i="26"/>
  <c r="R98" i="26"/>
  <c r="R66" i="26"/>
  <c r="R30" i="26"/>
  <c r="R237" i="26"/>
  <c r="R211" i="26"/>
  <c r="R185" i="26"/>
  <c r="R156" i="26"/>
  <c r="R127" i="26"/>
  <c r="R97" i="26"/>
  <c r="R65" i="26"/>
  <c r="R29" i="26"/>
  <c r="R236" i="26"/>
  <c r="R210" i="26"/>
  <c r="R181" i="26"/>
  <c r="R155" i="26"/>
  <c r="R126" i="26"/>
  <c r="R96" i="26"/>
  <c r="R60" i="26"/>
  <c r="R28" i="26"/>
  <c r="R11" i="26"/>
  <c r="R22" i="26"/>
  <c r="R32" i="26"/>
  <c r="R42" i="26"/>
  <c r="R52" i="26"/>
  <c r="R62" i="26"/>
  <c r="R72" i="26"/>
  <c r="R82" i="26"/>
  <c r="R92" i="26"/>
  <c r="R102" i="26"/>
  <c r="R112" i="26"/>
  <c r="R122" i="26"/>
  <c r="R132" i="26"/>
  <c r="R142" i="26"/>
  <c r="R152" i="26"/>
  <c r="R162" i="26"/>
  <c r="R172" i="26"/>
  <c r="R182" i="26"/>
  <c r="R192" i="26"/>
  <c r="R202" i="26"/>
  <c r="R212" i="26"/>
  <c r="R222" i="26"/>
  <c r="R17" i="26"/>
  <c r="R12" i="26"/>
  <c r="R23" i="26"/>
  <c r="R33" i="26"/>
  <c r="R43" i="26"/>
  <c r="R53" i="26"/>
  <c r="R63" i="26"/>
  <c r="R73" i="26"/>
  <c r="R83" i="26"/>
  <c r="R93" i="26"/>
  <c r="R103" i="26"/>
  <c r="R113" i="26"/>
  <c r="R123" i="26"/>
  <c r="R133" i="26"/>
  <c r="R143" i="26"/>
  <c r="R153" i="26"/>
  <c r="R163" i="26"/>
  <c r="R173" i="26"/>
  <c r="R183" i="26"/>
  <c r="R193" i="26"/>
  <c r="R203" i="26"/>
  <c r="R213" i="26"/>
  <c r="R223" i="26"/>
  <c r="R9" i="26"/>
  <c r="R13" i="26"/>
  <c r="R24" i="26"/>
  <c r="R34" i="26"/>
  <c r="R44" i="26"/>
  <c r="R54" i="26"/>
  <c r="R64" i="26"/>
  <c r="R74" i="26"/>
  <c r="R84" i="26"/>
  <c r="R94" i="26"/>
  <c r="R104" i="26"/>
  <c r="R114" i="26"/>
  <c r="R124" i="26"/>
  <c r="R134" i="26"/>
  <c r="R144" i="26"/>
  <c r="R154" i="26"/>
  <c r="R164" i="26"/>
  <c r="R174" i="26"/>
  <c r="R184" i="26"/>
  <c r="R194" i="26"/>
  <c r="R204" i="26"/>
  <c r="R214" i="26"/>
  <c r="R224" i="26"/>
  <c r="R10" i="26"/>
  <c r="R21" i="26"/>
  <c r="R31" i="26"/>
  <c r="R41" i="26"/>
  <c r="R51" i="26"/>
  <c r="R61" i="26"/>
  <c r="R71" i="26"/>
  <c r="R81" i="26"/>
  <c r="R91" i="26"/>
  <c r="R101" i="26"/>
  <c r="R249" i="26"/>
  <c r="R239" i="26"/>
  <c r="R229" i="26"/>
  <c r="R216" i="26"/>
  <c r="R200" i="26"/>
  <c r="R187" i="26"/>
  <c r="R171" i="26"/>
  <c r="R158" i="26"/>
  <c r="R145" i="26"/>
  <c r="R129" i="26"/>
  <c r="R116" i="26"/>
  <c r="R99" i="26"/>
  <c r="R85" i="26"/>
  <c r="R67" i="26"/>
  <c r="R49" i="26"/>
  <c r="R35" i="26"/>
  <c r="R16" i="26"/>
  <c r="S249" i="26"/>
  <c r="S235" i="26"/>
  <c r="S217" i="26"/>
  <c r="S199" i="26"/>
  <c r="S185" i="26"/>
  <c r="S166" i="26"/>
  <c r="S146" i="26"/>
  <c r="S130" i="26"/>
  <c r="S110" i="26"/>
  <c r="S90" i="26"/>
  <c r="S75" i="26"/>
  <c r="S55" i="26"/>
  <c r="S35" i="26"/>
  <c r="S18" i="26"/>
  <c r="S248" i="26"/>
  <c r="S230" i="26"/>
  <c r="S216" i="26"/>
  <c r="S198" i="26"/>
  <c r="S180" i="26"/>
  <c r="S165" i="26"/>
  <c r="S145" i="26"/>
  <c r="S125" i="26"/>
  <c r="S109" i="26"/>
  <c r="S89" i="26"/>
  <c r="S69" i="26"/>
  <c r="S54" i="26"/>
  <c r="S34" i="26"/>
  <c r="S10" i="26"/>
  <c r="S20" i="26"/>
  <c r="S31" i="26"/>
  <c r="S41" i="26"/>
  <c r="S51" i="26"/>
  <c r="S61" i="26"/>
  <c r="S71" i="26"/>
  <c r="S81" i="26"/>
  <c r="S91" i="26"/>
  <c r="S101" i="26"/>
  <c r="S111" i="26"/>
  <c r="S121" i="26"/>
  <c r="S131" i="26"/>
  <c r="S141" i="26"/>
  <c r="S151" i="26"/>
  <c r="S161" i="26"/>
  <c r="S171" i="26"/>
  <c r="S4" i="26"/>
  <c r="S15" i="26"/>
  <c r="S27" i="26"/>
  <c r="S38" i="26"/>
  <c r="S49" i="26"/>
  <c r="S60" i="26"/>
  <c r="S72" i="26"/>
  <c r="S83" i="26"/>
  <c r="S94" i="26"/>
  <c r="S105" i="26"/>
  <c r="S116" i="26"/>
  <c r="S127" i="26"/>
  <c r="S138" i="26"/>
  <c r="S149" i="26"/>
  <c r="S160" i="26"/>
  <c r="S172" i="26"/>
  <c r="S182" i="26"/>
  <c r="S192" i="26"/>
  <c r="S202" i="26"/>
  <c r="S212" i="26"/>
  <c r="S222" i="26"/>
  <c r="S232" i="26"/>
  <c r="S242" i="26"/>
  <c r="S2" i="26"/>
  <c r="S5" i="26"/>
  <c r="S16" i="26"/>
  <c r="S28" i="26"/>
  <c r="S39" i="26"/>
  <c r="S50" i="26"/>
  <c r="S62" i="26"/>
  <c r="S73" i="26"/>
  <c r="S84" i="26"/>
  <c r="S95" i="26"/>
  <c r="S106" i="26"/>
  <c r="S117" i="26"/>
  <c r="S128" i="26"/>
  <c r="S139" i="26"/>
  <c r="S150" i="26"/>
  <c r="S162" i="26"/>
  <c r="S173" i="26"/>
  <c r="S183" i="26"/>
  <c r="S193" i="26"/>
  <c r="S203" i="26"/>
  <c r="S213" i="26"/>
  <c r="S223" i="26"/>
  <c r="S233" i="26"/>
  <c r="S243" i="26"/>
  <c r="S6" i="26"/>
  <c r="S17" i="26"/>
  <c r="S29" i="26"/>
  <c r="S40" i="26"/>
  <c r="S52" i="26"/>
  <c r="S63" i="26"/>
  <c r="S74" i="26"/>
  <c r="S85" i="26"/>
  <c r="S96" i="26"/>
  <c r="S107" i="26"/>
  <c r="S118" i="26"/>
  <c r="S129" i="26"/>
  <c r="S140" i="26"/>
  <c r="S152" i="26"/>
  <c r="S163" i="26"/>
  <c r="S174" i="26"/>
  <c r="S184" i="26"/>
  <c r="S194" i="26"/>
  <c r="S204" i="26"/>
  <c r="S214" i="26"/>
  <c r="S224" i="26"/>
  <c r="S234" i="26"/>
  <c r="S244" i="26"/>
  <c r="S3" i="26"/>
  <c r="S14" i="26"/>
  <c r="S26" i="26"/>
  <c r="S37" i="26"/>
  <c r="S48" i="26"/>
  <c r="S59" i="26"/>
  <c r="S70" i="26"/>
  <c r="S82" i="26"/>
  <c r="S93" i="26"/>
  <c r="S104" i="26"/>
  <c r="S115" i="26"/>
  <c r="S126" i="26"/>
  <c r="S137" i="26"/>
  <c r="S148" i="26"/>
  <c r="S159" i="26"/>
  <c r="S170" i="26"/>
  <c r="S181" i="26"/>
  <c r="S191" i="26"/>
  <c r="S201" i="26"/>
  <c r="S211" i="26"/>
  <c r="S221" i="26"/>
  <c r="S231" i="26"/>
  <c r="S241" i="26"/>
  <c r="S251" i="26"/>
  <c r="S247" i="26"/>
  <c r="S229" i="26"/>
  <c r="S215" i="26"/>
  <c r="S197" i="26"/>
  <c r="S179" i="26"/>
  <c r="S164" i="26"/>
  <c r="S144" i="26"/>
  <c r="S124" i="26"/>
  <c r="S108" i="26"/>
  <c r="S88" i="26"/>
  <c r="S68" i="26"/>
  <c r="S53" i="26"/>
  <c r="S33" i="26"/>
  <c r="S12" i="26"/>
  <c r="S246" i="26"/>
  <c r="S228" i="26"/>
  <c r="S210" i="26"/>
  <c r="S196" i="26"/>
  <c r="S178" i="26"/>
  <c r="S158" i="26"/>
  <c r="S143" i="26"/>
  <c r="S123" i="26"/>
  <c r="S103" i="26"/>
  <c r="S87" i="26"/>
  <c r="S67" i="26"/>
  <c r="S47" i="26"/>
  <c r="S32" i="26"/>
  <c r="S11" i="26"/>
  <c r="S245" i="26"/>
  <c r="S227" i="26"/>
  <c r="S209" i="26"/>
  <c r="S195" i="26"/>
  <c r="S177" i="26"/>
  <c r="S157" i="26"/>
  <c r="S142" i="26"/>
  <c r="S122" i="26"/>
  <c r="S102" i="26"/>
  <c r="S86" i="26"/>
  <c r="S66" i="26"/>
  <c r="S46" i="26"/>
  <c r="S30" i="26"/>
  <c r="S9" i="26"/>
  <c r="S240" i="26"/>
  <c r="S226" i="26"/>
  <c r="S208" i="26"/>
  <c r="S190" i="26"/>
  <c r="S176" i="26"/>
  <c r="S156" i="26"/>
  <c r="S136" i="26"/>
  <c r="S120" i="26"/>
  <c r="S100" i="26"/>
  <c r="S80" i="26"/>
  <c r="S65" i="26"/>
  <c r="S45" i="26"/>
  <c r="S25" i="26"/>
  <c r="S8" i="26"/>
  <c r="F25" i="26"/>
  <c r="R243" i="26"/>
  <c r="R233" i="26"/>
  <c r="R220" i="26"/>
  <c r="R207" i="26"/>
  <c r="R191" i="26"/>
  <c r="R178" i="26"/>
  <c r="R165" i="26"/>
  <c r="R149" i="26"/>
  <c r="R136" i="26"/>
  <c r="R120" i="26"/>
  <c r="R107" i="26"/>
  <c r="R89" i="26"/>
  <c r="R75" i="26"/>
  <c r="R57" i="26"/>
  <c r="R39" i="26"/>
  <c r="R25" i="26"/>
  <c r="R5" i="26"/>
  <c r="S239" i="26"/>
  <c r="S225" i="26"/>
  <c r="S207" i="26"/>
  <c r="S189" i="26"/>
  <c r="S175" i="26"/>
  <c r="S155" i="26"/>
  <c r="S135" i="26"/>
  <c r="S119" i="26"/>
  <c r="S99" i="26"/>
  <c r="S79" i="26"/>
  <c r="S64" i="26"/>
  <c r="S44" i="26"/>
  <c r="S24" i="26"/>
  <c r="S7" i="26"/>
  <c r="R2" i="26"/>
  <c r="R242" i="26"/>
  <c r="R232" i="26"/>
  <c r="R219" i="26"/>
  <c r="R206" i="26"/>
  <c r="R190" i="26"/>
  <c r="R177" i="26"/>
  <c r="R161" i="26"/>
  <c r="R148" i="26"/>
  <c r="R135" i="26"/>
  <c r="R119" i="26"/>
  <c r="R106" i="26"/>
  <c r="R88" i="26"/>
  <c r="R70" i="26"/>
  <c r="R56" i="26"/>
  <c r="R38" i="26"/>
  <c r="R20" i="26"/>
  <c r="R4" i="26"/>
  <c r="S238" i="26"/>
  <c r="S220" i="26"/>
  <c r="S206" i="26"/>
  <c r="S188" i="26"/>
  <c r="S169" i="26"/>
  <c r="S154" i="26"/>
  <c r="S134" i="26"/>
  <c r="S114" i="26"/>
  <c r="S98" i="26"/>
  <c r="S78" i="26"/>
  <c r="S58" i="26"/>
  <c r="S43" i="26"/>
  <c r="S22" i="26"/>
  <c r="S23" i="26"/>
  <c r="F24" i="26"/>
  <c r="R251" i="26"/>
  <c r="R241" i="26"/>
  <c r="R231" i="26"/>
  <c r="R218" i="26"/>
  <c r="R205" i="26"/>
  <c r="R189" i="26"/>
  <c r="R176" i="26"/>
  <c r="R160" i="26"/>
  <c r="R147" i="26"/>
  <c r="R131" i="26"/>
  <c r="R118" i="26"/>
  <c r="R105" i="26"/>
  <c r="R87" i="26"/>
  <c r="R69" i="26"/>
  <c r="R55" i="26"/>
  <c r="R37" i="26"/>
  <c r="R19" i="26"/>
  <c r="R3" i="26"/>
  <c r="S237" i="26"/>
  <c r="S219" i="26"/>
  <c r="S205" i="26"/>
  <c r="S187" i="26"/>
  <c r="S168" i="26"/>
  <c r="S153" i="26"/>
  <c r="S133" i="26"/>
  <c r="S113" i="26"/>
  <c r="S97" i="26"/>
  <c r="S77" i="26"/>
  <c r="S57" i="26"/>
  <c r="S42" i="26"/>
  <c r="S21" i="26"/>
  <c r="R250" i="26"/>
  <c r="R240" i="26"/>
  <c r="R230" i="26"/>
  <c r="R217" i="26"/>
  <c r="R201" i="26"/>
  <c r="R188" i="26"/>
  <c r="R175" i="26"/>
  <c r="R159" i="26"/>
  <c r="R146" i="26"/>
  <c r="R130" i="26"/>
  <c r="R117" i="26"/>
  <c r="R100" i="26"/>
  <c r="R86" i="26"/>
  <c r="R68" i="26"/>
  <c r="R50" i="26"/>
  <c r="R36" i="26"/>
  <c r="R18" i="26"/>
  <c r="S250" i="26"/>
  <c r="S236" i="26"/>
  <c r="S218" i="26"/>
  <c r="S200" i="26"/>
  <c r="S186" i="26"/>
  <c r="S167" i="26"/>
  <c r="S147" i="26"/>
  <c r="S132" i="26"/>
  <c r="S112" i="26"/>
  <c r="S92" i="26"/>
  <c r="S76" i="26"/>
  <c r="S56" i="26"/>
  <c r="S36" i="26"/>
  <c r="S19" i="26"/>
  <c r="G7" i="1"/>
  <c r="G6" i="1"/>
  <c r="G5" i="1"/>
  <c r="G8" i="1"/>
  <c r="G4" i="1"/>
  <c r="G3" i="1"/>
  <c r="G2" i="1"/>
  <c r="AB230" i="51" l="1"/>
  <c r="AB136" i="51"/>
  <c r="AD136" i="51" s="1"/>
  <c r="AE136" i="51" s="1"/>
  <c r="AB146" i="51"/>
  <c r="AB156" i="51"/>
  <c r="AD156" i="51" s="1"/>
  <c r="AE156" i="51" s="1"/>
  <c r="AB205" i="51"/>
  <c r="AD205" i="51" s="1"/>
  <c r="AE205" i="51" s="1"/>
  <c r="AB145" i="51"/>
  <c r="AB216" i="51"/>
  <c r="AD216" i="51" s="1"/>
  <c r="AE216" i="51" s="1"/>
  <c r="AB50" i="51"/>
  <c r="AD50" i="51" s="1"/>
  <c r="AE50" i="51" s="1"/>
  <c r="AB182" i="51"/>
  <c r="AD182" i="51" s="1"/>
  <c r="AE182" i="51" s="1"/>
  <c r="AB140" i="51"/>
  <c r="AD140" i="51" s="1"/>
  <c r="AE140" i="51" s="1"/>
  <c r="AB114" i="51"/>
  <c r="AD114" i="51" s="1"/>
  <c r="AE114" i="51" s="1"/>
  <c r="AB95" i="51"/>
  <c r="AC95" i="51" s="1"/>
  <c r="AB106" i="51"/>
  <c r="AD106" i="51" s="1"/>
  <c r="AE106" i="51" s="1"/>
  <c r="AB166" i="51"/>
  <c r="AD166" i="51" s="1"/>
  <c r="AE166" i="51" s="1"/>
  <c r="AB153" i="51"/>
  <c r="AC153" i="51" s="1"/>
  <c r="AB54" i="51"/>
  <c r="AD54" i="51" s="1"/>
  <c r="AE54" i="51" s="1"/>
  <c r="AB26" i="51"/>
  <c r="AC26" i="51" s="1"/>
  <c r="AB76" i="51"/>
  <c r="AD76" i="51" s="1"/>
  <c r="AE76" i="51" s="1"/>
  <c r="AB30" i="51"/>
  <c r="AC30" i="51" s="1"/>
  <c r="AB13" i="51"/>
  <c r="AD13" i="51" s="1"/>
  <c r="AE13" i="51" s="1"/>
  <c r="AB132" i="51"/>
  <c r="AC132" i="51" s="1"/>
  <c r="AB38" i="51"/>
  <c r="AD38" i="51" s="1"/>
  <c r="AE38" i="51" s="1"/>
  <c r="AB93" i="51"/>
  <c r="AD93" i="51" s="1"/>
  <c r="AE93" i="51" s="1"/>
  <c r="AB65" i="51"/>
  <c r="AD65" i="51" s="1"/>
  <c r="AE65" i="51" s="1"/>
  <c r="AB190" i="51"/>
  <c r="AD190" i="51" s="1"/>
  <c r="AE190" i="51" s="1"/>
  <c r="AB98" i="51"/>
  <c r="AB211" i="51"/>
  <c r="AB21" i="51"/>
  <c r="AB88" i="51"/>
  <c r="AD184" i="51"/>
  <c r="AE184" i="51" s="1"/>
  <c r="AD129" i="51"/>
  <c r="AE129" i="51" s="1"/>
  <c r="AD107" i="51"/>
  <c r="AE107" i="51" s="1"/>
  <c r="AD89" i="51"/>
  <c r="AE89" i="51" s="1"/>
  <c r="AB128" i="51"/>
  <c r="AB158" i="51"/>
  <c r="AC158" i="51" s="1"/>
  <c r="AD218" i="51"/>
  <c r="AE218" i="51" s="1"/>
  <c r="AD249" i="51"/>
  <c r="AE249" i="51" s="1"/>
  <c r="AD119" i="51"/>
  <c r="AE119" i="51" s="1"/>
  <c r="AD169" i="51"/>
  <c r="AE169" i="51" s="1"/>
  <c r="AD29" i="51"/>
  <c r="AE29" i="51" s="1"/>
  <c r="AD85" i="51"/>
  <c r="AE85" i="51" s="1"/>
  <c r="AD126" i="51"/>
  <c r="AE126" i="51" s="1"/>
  <c r="AB25" i="51"/>
  <c r="AD135" i="51"/>
  <c r="AE135" i="51" s="1"/>
  <c r="AB6" i="51"/>
  <c r="AB56" i="51"/>
  <c r="AD239" i="51"/>
  <c r="AE239" i="51" s="1"/>
  <c r="AD35" i="51"/>
  <c r="AE35" i="51" s="1"/>
  <c r="AD125" i="51"/>
  <c r="AE125" i="51" s="1"/>
  <c r="AB24" i="51"/>
  <c r="AC24" i="51" s="1"/>
  <c r="AD220" i="51"/>
  <c r="AE220" i="51" s="1"/>
  <c r="AD34" i="51"/>
  <c r="AE34" i="51" s="1"/>
  <c r="AD230" i="51"/>
  <c r="AE230" i="51" s="1"/>
  <c r="AD228" i="51"/>
  <c r="AE228" i="51" s="1"/>
  <c r="AD145" i="51"/>
  <c r="AE145" i="51" s="1"/>
  <c r="AD238" i="51"/>
  <c r="AE238" i="51" s="1"/>
  <c r="AD69" i="51"/>
  <c r="AE69" i="51" s="1"/>
  <c r="AD139" i="51"/>
  <c r="AE139" i="51" s="1"/>
  <c r="AD63" i="51"/>
  <c r="AE63" i="51" s="1"/>
  <c r="AD134" i="51"/>
  <c r="AE134" i="51" s="1"/>
  <c r="AD84" i="51"/>
  <c r="AE84" i="51" s="1"/>
  <c r="AD251" i="51"/>
  <c r="AE251" i="51" s="1"/>
  <c r="AD51" i="51"/>
  <c r="AE51" i="51" s="1"/>
  <c r="AD101" i="51"/>
  <c r="AE101" i="51" s="1"/>
  <c r="AD151" i="51"/>
  <c r="AE151" i="51" s="1"/>
  <c r="AD201" i="51"/>
  <c r="AE201" i="51" s="1"/>
  <c r="AD131" i="51"/>
  <c r="AE131" i="51" s="1"/>
  <c r="AD9" i="51"/>
  <c r="AE9" i="51" s="1"/>
  <c r="AD39" i="51"/>
  <c r="AE39" i="51" s="1"/>
  <c r="AB176" i="51"/>
  <c r="AD110" i="51"/>
  <c r="AE110" i="51" s="1"/>
  <c r="AB150" i="51"/>
  <c r="AD146" i="51"/>
  <c r="AE146" i="51" s="1"/>
  <c r="AD206" i="51"/>
  <c r="AE206" i="51" s="1"/>
  <c r="AD189" i="51"/>
  <c r="AE189" i="51" s="1"/>
  <c r="AD234" i="51"/>
  <c r="AE234" i="51" s="1"/>
  <c r="AD70" i="51"/>
  <c r="AE70" i="51" s="1"/>
  <c r="AB11" i="51"/>
  <c r="AB111" i="51"/>
  <c r="AD161" i="51"/>
  <c r="AE161" i="51" s="1"/>
  <c r="AB118" i="51"/>
  <c r="AB18" i="51"/>
  <c r="AC18" i="51" s="1"/>
  <c r="AD198" i="51"/>
  <c r="AE198" i="51" s="1"/>
  <c r="AD248" i="51"/>
  <c r="AE248" i="51" s="1"/>
  <c r="AB48" i="51"/>
  <c r="AC48" i="51" s="1"/>
  <c r="AB108" i="51"/>
  <c r="AD209" i="51"/>
  <c r="AE209" i="51" s="1"/>
  <c r="AD149" i="51"/>
  <c r="AE149" i="51" s="1"/>
  <c r="AD185" i="51"/>
  <c r="AE185" i="51" s="1"/>
  <c r="AD242" i="51"/>
  <c r="AE242" i="51" s="1"/>
  <c r="AB115" i="51"/>
  <c r="AC115" i="51" s="1"/>
  <c r="AB36" i="51"/>
  <c r="AD20" i="51"/>
  <c r="AE20" i="51" s="1"/>
  <c r="AD120" i="51"/>
  <c r="AE120" i="51" s="1"/>
  <c r="AD170" i="51"/>
  <c r="AE170" i="51" s="1"/>
  <c r="AD79" i="51"/>
  <c r="AE79" i="51" s="1"/>
  <c r="AD99" i="51"/>
  <c r="AE99" i="51" s="1"/>
  <c r="AD94" i="51"/>
  <c r="AE94" i="51" s="1"/>
  <c r="AB27" i="51"/>
  <c r="AC27" i="51" s="1"/>
  <c r="AD219" i="51"/>
  <c r="AE219" i="51" s="1"/>
  <c r="AD235" i="51"/>
  <c r="AE235" i="51" s="1"/>
  <c r="AD183" i="51"/>
  <c r="AE183" i="51" s="1"/>
  <c r="AB14" i="51"/>
  <c r="AC14" i="51" s="1"/>
  <c r="AD179" i="51"/>
  <c r="AE179" i="51" s="1"/>
  <c r="AD199" i="51"/>
  <c r="AE199" i="51" s="1"/>
  <c r="AD208" i="51"/>
  <c r="AE208" i="51" s="1"/>
  <c r="AD229" i="51"/>
  <c r="AE229" i="51" s="1"/>
  <c r="AD59" i="51"/>
  <c r="AE59" i="51" s="1"/>
  <c r="AD159" i="51"/>
  <c r="AE159" i="51" s="1"/>
  <c r="AD19" i="51"/>
  <c r="AE19" i="51" s="1"/>
  <c r="AD2" i="51"/>
  <c r="AE2" i="51" s="1"/>
  <c r="AD52" i="51"/>
  <c r="AE52" i="51" s="1"/>
  <c r="AD102" i="51"/>
  <c r="AE102" i="51" s="1"/>
  <c r="AD152" i="51"/>
  <c r="AE152" i="51" s="1"/>
  <c r="AD202" i="51"/>
  <c r="AE202" i="51" s="1"/>
  <c r="AB43" i="51"/>
  <c r="AB243" i="51"/>
  <c r="AC243" i="51" s="1"/>
  <c r="AB117" i="51"/>
  <c r="AB244" i="51"/>
  <c r="AB155" i="51"/>
  <c r="AB16" i="51"/>
  <c r="AB116" i="51"/>
  <c r="AB250" i="51"/>
  <c r="AB127" i="51"/>
  <c r="AB33" i="51"/>
  <c r="AB4" i="51"/>
  <c r="AB165" i="51"/>
  <c r="AB133" i="51"/>
  <c r="AC133" i="51" s="1"/>
  <c r="AB130" i="51"/>
  <c r="AB71" i="51"/>
  <c r="AC71" i="51" s="1"/>
  <c r="AB191" i="51"/>
  <c r="AB15" i="51"/>
  <c r="AB246" i="51"/>
  <c r="AB147" i="51"/>
  <c r="AB8" i="51"/>
  <c r="AB58" i="51"/>
  <c r="AB188" i="51"/>
  <c r="AC188" i="51" s="1"/>
  <c r="AB75" i="51"/>
  <c r="AC75" i="51" s="1"/>
  <c r="AB178" i="51"/>
  <c r="AC178" i="51" s="1"/>
  <c r="AB221" i="51"/>
  <c r="AB163" i="51"/>
  <c r="AB213" i="51"/>
  <c r="AB74" i="51"/>
  <c r="AC74" i="51" s="1"/>
  <c r="AB174" i="51"/>
  <c r="AB104" i="51"/>
  <c r="AB7" i="51"/>
  <c r="AB57" i="51"/>
  <c r="AB45" i="51"/>
  <c r="AB138" i="51"/>
  <c r="AB22" i="51"/>
  <c r="AB212" i="51"/>
  <c r="AB226" i="51"/>
  <c r="AB233" i="51"/>
  <c r="AB82" i="51"/>
  <c r="AB112" i="51"/>
  <c r="AB232" i="51"/>
  <c r="AC232" i="51" s="1"/>
  <c r="AB62" i="51"/>
  <c r="AB142" i="51"/>
  <c r="AB105" i="51"/>
  <c r="AC105" i="51" s="1"/>
  <c r="AB143" i="51"/>
  <c r="AB193" i="51"/>
  <c r="AB55" i="51"/>
  <c r="AB86" i="51"/>
  <c r="AB194" i="51"/>
  <c r="AB204" i="51"/>
  <c r="AB68" i="51"/>
  <c r="AB83" i="51"/>
  <c r="AB31" i="51"/>
  <c r="AB171" i="51"/>
  <c r="AC171" i="51" s="1"/>
  <c r="AB17" i="51"/>
  <c r="AB227" i="51"/>
  <c r="AB207" i="51"/>
  <c r="AB168" i="51"/>
  <c r="AB5" i="51"/>
  <c r="AB53" i="51"/>
  <c r="AB225" i="51"/>
  <c r="AB154" i="51"/>
  <c r="AB214" i="51"/>
  <c r="AB192" i="51"/>
  <c r="AB91" i="51"/>
  <c r="AB121" i="51"/>
  <c r="AB217" i="51"/>
  <c r="AB113" i="51"/>
  <c r="AB124" i="51"/>
  <c r="AB195" i="51"/>
  <c r="AB87" i="51"/>
  <c r="AB67" i="51"/>
  <c r="AB187" i="51"/>
  <c r="AB237" i="51"/>
  <c r="AB3" i="51"/>
  <c r="AB103" i="51"/>
  <c r="AB203" i="51"/>
  <c r="AB245" i="51"/>
  <c r="AB41" i="51"/>
  <c r="AB231" i="51"/>
  <c r="AB197" i="51"/>
  <c r="AB162" i="51"/>
  <c r="AB215" i="51"/>
  <c r="AC215" i="51" s="1"/>
  <c r="AB177" i="51"/>
  <c r="AC177" i="51" s="1"/>
  <c r="AB200" i="51"/>
  <c r="AB181" i="51"/>
  <c r="AB61" i="51"/>
  <c r="AB66" i="51"/>
  <c r="AB241" i="51"/>
  <c r="AB73" i="51"/>
  <c r="AB123" i="51"/>
  <c r="AB173" i="51"/>
  <c r="AB223" i="51"/>
  <c r="AB64" i="51"/>
  <c r="AB160" i="51"/>
  <c r="AB40" i="51"/>
  <c r="AB210" i="51"/>
  <c r="AB144" i="51"/>
  <c r="AB175" i="51"/>
  <c r="AB23" i="51"/>
  <c r="AB247" i="51"/>
  <c r="AB97" i="51"/>
  <c r="AB12" i="51"/>
  <c r="AC12" i="51" s="1"/>
  <c r="AB100" i="51"/>
  <c r="AB148" i="51"/>
  <c r="AB37" i="51"/>
  <c r="AB47" i="51"/>
  <c r="AB157" i="51"/>
  <c r="AB28" i="51"/>
  <c r="AB77" i="51"/>
  <c r="AB186" i="51"/>
  <c r="AB236" i="51"/>
  <c r="AB81" i="51"/>
  <c r="AB141" i="51"/>
  <c r="AB78" i="51"/>
  <c r="AB72" i="51"/>
  <c r="AB172" i="51"/>
  <c r="AB32" i="51"/>
  <c r="AB222" i="51"/>
  <c r="AB92" i="51"/>
  <c r="AB42" i="51"/>
  <c r="AB122" i="51"/>
  <c r="AB240" i="51"/>
  <c r="AC240" i="51" s="1"/>
  <c r="AB137" i="51"/>
  <c r="AB167" i="51"/>
  <c r="AB44" i="51"/>
  <c r="AB46" i="51"/>
  <c r="AB96" i="51"/>
  <c r="AB196" i="51"/>
  <c r="AB90" i="51"/>
  <c r="AB224" i="51"/>
  <c r="AB164" i="51"/>
  <c r="AB49" i="51"/>
  <c r="AC49" i="51" s="1"/>
  <c r="AB109" i="51"/>
  <c r="AB60" i="51"/>
  <c r="AB80" i="51"/>
  <c r="AB10" i="51"/>
  <c r="AB180" i="51"/>
  <c r="AC149" i="51"/>
  <c r="AC161" i="51"/>
  <c r="AC228" i="51"/>
  <c r="AC59" i="51"/>
  <c r="AC159" i="51"/>
  <c r="AC135" i="51"/>
  <c r="AC119" i="51"/>
  <c r="AC169" i="51"/>
  <c r="AC190" i="51"/>
  <c r="AC242" i="51"/>
  <c r="AC139" i="51"/>
  <c r="AC208" i="51"/>
  <c r="AC199" i="51"/>
  <c r="AC110" i="51"/>
  <c r="AC9" i="51"/>
  <c r="AC179" i="51"/>
  <c r="AC84" i="51"/>
  <c r="AC131" i="51"/>
  <c r="AC20" i="51"/>
  <c r="AC120" i="51"/>
  <c r="AC220" i="51"/>
  <c r="AC107" i="51"/>
  <c r="AC125" i="51"/>
  <c r="AC63" i="51"/>
  <c r="AC19" i="51"/>
  <c r="AC230" i="51"/>
  <c r="AC235" i="51"/>
  <c r="AC39" i="51"/>
  <c r="AC189" i="51"/>
  <c r="AC85" i="51"/>
  <c r="AC52" i="51"/>
  <c r="AC152" i="51"/>
  <c r="AC2" i="51"/>
  <c r="AC219" i="51"/>
  <c r="AC94" i="51"/>
  <c r="AC198" i="51"/>
  <c r="AC69" i="51"/>
  <c r="AC209" i="51"/>
  <c r="AC185" i="51"/>
  <c r="AC79" i="51"/>
  <c r="AC106" i="51"/>
  <c r="AC206" i="51"/>
  <c r="AC184" i="51"/>
  <c r="AC101" i="51"/>
  <c r="AC201" i="51"/>
  <c r="AC29" i="51"/>
  <c r="AC70" i="51"/>
  <c r="AC170" i="51"/>
  <c r="AC99" i="51"/>
  <c r="AC126" i="51"/>
  <c r="AC239" i="51"/>
  <c r="AC35" i="51"/>
  <c r="AC136" i="51"/>
  <c r="AC102" i="51"/>
  <c r="AC202" i="51"/>
  <c r="AC89" i="51"/>
  <c r="AC218" i="51"/>
  <c r="AC129" i="51"/>
  <c r="AC249" i="51"/>
  <c r="AC145" i="51"/>
  <c r="AC146" i="51"/>
  <c r="AC183" i="51"/>
  <c r="AC229" i="51"/>
  <c r="AC238" i="51"/>
  <c r="AC248" i="51"/>
  <c r="AC156" i="51"/>
  <c r="AC34" i="51"/>
  <c r="AC134" i="51"/>
  <c r="AC234" i="51"/>
  <c r="AC51" i="51"/>
  <c r="AC151" i="51"/>
  <c r="AC251" i="51"/>
  <c r="V10" i="50"/>
  <c r="V11" i="50"/>
  <c r="AD13" i="49"/>
  <c r="AF13" i="49" s="1"/>
  <c r="W14" i="49"/>
  <c r="Y14" i="49" s="1"/>
  <c r="E29" i="45"/>
  <c r="J28" i="45"/>
  <c r="L28" i="45" s="1"/>
  <c r="W2" i="26"/>
  <c r="V2" i="26"/>
  <c r="U2" i="26"/>
  <c r="T3" i="26"/>
  <c r="T2" i="26"/>
  <c r="W3" i="26"/>
  <c r="V3" i="26"/>
  <c r="U3" i="26"/>
  <c r="AC205" i="51" l="1"/>
  <c r="AD30" i="51"/>
  <c r="AE30" i="51" s="1"/>
  <c r="AC50" i="51"/>
  <c r="AC182" i="51"/>
  <c r="AC216" i="51"/>
  <c r="AC140" i="51"/>
  <c r="AC76" i="51"/>
  <c r="AC114" i="51"/>
  <c r="AC13" i="51"/>
  <c r="AD95" i="51"/>
  <c r="AE95" i="51" s="1"/>
  <c r="AC54" i="51"/>
  <c r="AC93" i="51"/>
  <c r="AC65" i="51"/>
  <c r="AC166" i="51"/>
  <c r="AD26" i="51"/>
  <c r="AE26" i="51" s="1"/>
  <c r="AD153" i="51"/>
  <c r="AE153" i="51" s="1"/>
  <c r="AC116" i="51"/>
  <c r="AC108" i="51"/>
  <c r="AC214" i="51"/>
  <c r="AC223" i="51"/>
  <c r="AC217" i="51"/>
  <c r="AC207" i="51"/>
  <c r="AC55" i="51"/>
  <c r="AC226" i="51"/>
  <c r="AC80" i="51"/>
  <c r="AC16" i="51"/>
  <c r="AC113" i="51"/>
  <c r="AC36" i="51"/>
  <c r="AC31" i="51"/>
  <c r="AC60" i="51"/>
  <c r="AC148" i="51"/>
  <c r="AC17" i="51"/>
  <c r="AC221" i="51"/>
  <c r="AC155" i="51"/>
  <c r="AC117" i="51"/>
  <c r="AC100" i="51"/>
  <c r="AC244" i="51"/>
  <c r="AC81" i="51"/>
  <c r="AC88" i="51"/>
  <c r="AC38" i="51"/>
  <c r="AC118" i="51"/>
  <c r="AC130" i="51"/>
  <c r="AC90" i="51"/>
  <c r="AC111" i="51"/>
  <c r="AC56" i="51"/>
  <c r="AD21" i="51"/>
  <c r="AE21" i="51" s="1"/>
  <c r="AC53" i="51"/>
  <c r="AC61" i="51"/>
  <c r="AC11" i="51"/>
  <c r="AC176" i="51"/>
  <c r="AC6" i="51"/>
  <c r="AD211" i="51"/>
  <c r="AE211" i="51" s="1"/>
  <c r="AC250" i="51"/>
  <c r="AD88" i="51"/>
  <c r="AE88" i="51" s="1"/>
  <c r="AD132" i="51"/>
  <c r="AE132" i="51" s="1"/>
  <c r="AC128" i="51"/>
  <c r="AC98" i="51"/>
  <c r="AC211" i="51"/>
  <c r="AD98" i="51"/>
  <c r="AE98" i="51" s="1"/>
  <c r="AC21" i="51"/>
  <c r="AD141" i="51"/>
  <c r="AE141" i="51" s="1"/>
  <c r="AD100" i="51"/>
  <c r="AE100" i="51" s="1"/>
  <c r="AD64" i="51"/>
  <c r="AE64" i="51" s="1"/>
  <c r="AD192" i="51"/>
  <c r="AE192" i="51" s="1"/>
  <c r="AD171" i="51"/>
  <c r="AE171" i="51" s="1"/>
  <c r="AD105" i="51"/>
  <c r="AE105" i="51" s="1"/>
  <c r="AD138" i="51"/>
  <c r="AE138" i="51" s="1"/>
  <c r="AD178" i="51"/>
  <c r="AE178" i="51" s="1"/>
  <c r="AD130" i="51"/>
  <c r="AE130" i="51" s="1"/>
  <c r="AD244" i="51"/>
  <c r="AE244" i="51" s="1"/>
  <c r="AD14" i="51"/>
  <c r="AE14" i="51" s="1"/>
  <c r="AD111" i="51"/>
  <c r="AE111" i="51" s="1"/>
  <c r="AD123" i="51"/>
  <c r="AE123" i="51" s="1"/>
  <c r="AD28" i="51"/>
  <c r="AE28" i="51" s="1"/>
  <c r="AD41" i="51"/>
  <c r="AE41" i="51" s="1"/>
  <c r="AD194" i="51"/>
  <c r="AE194" i="51" s="1"/>
  <c r="AD147" i="51"/>
  <c r="AE147" i="51" s="1"/>
  <c r="AD80" i="51"/>
  <c r="AE80" i="51" s="1"/>
  <c r="AD44" i="51"/>
  <c r="AE44" i="51" s="1"/>
  <c r="AD37" i="51"/>
  <c r="AE37" i="51" s="1"/>
  <c r="AD181" i="51"/>
  <c r="AE181" i="51" s="1"/>
  <c r="AD191" i="51"/>
  <c r="AE191" i="51" s="1"/>
  <c r="AC44" i="51"/>
  <c r="AD109" i="51"/>
  <c r="AE109" i="51" s="1"/>
  <c r="AD177" i="51"/>
  <c r="AE177" i="51" s="1"/>
  <c r="AC194" i="51"/>
  <c r="AC64" i="51"/>
  <c r="AC109" i="51"/>
  <c r="AD49" i="51"/>
  <c r="AE49" i="51" s="1"/>
  <c r="AD240" i="51"/>
  <c r="AE240" i="51" s="1"/>
  <c r="AD81" i="51"/>
  <c r="AE81" i="51" s="1"/>
  <c r="AD12" i="51"/>
  <c r="AE12" i="51" s="1"/>
  <c r="AD223" i="51"/>
  <c r="AE223" i="51" s="1"/>
  <c r="AD215" i="51"/>
  <c r="AE215" i="51" s="1"/>
  <c r="AD187" i="51"/>
  <c r="AE187" i="51" s="1"/>
  <c r="AD214" i="51"/>
  <c r="AE214" i="51" s="1"/>
  <c r="AD31" i="51"/>
  <c r="AE31" i="51" s="1"/>
  <c r="AD142" i="51"/>
  <c r="AE142" i="51" s="1"/>
  <c r="AD45" i="51"/>
  <c r="AE45" i="51" s="1"/>
  <c r="AD75" i="51"/>
  <c r="AE75" i="51" s="1"/>
  <c r="AD133" i="51"/>
  <c r="AE133" i="51" s="1"/>
  <c r="AD117" i="51"/>
  <c r="AE117" i="51" s="1"/>
  <c r="AD11" i="51"/>
  <c r="AE11" i="51" s="1"/>
  <c r="AD25" i="51"/>
  <c r="AE25" i="51" s="1"/>
  <c r="AD42" i="51"/>
  <c r="AE42" i="51" s="1"/>
  <c r="AD197" i="51"/>
  <c r="AE197" i="51" s="1"/>
  <c r="AD68" i="51"/>
  <c r="AE68" i="51" s="1"/>
  <c r="AD58" i="51"/>
  <c r="AE58" i="51" s="1"/>
  <c r="AD4" i="51"/>
  <c r="AE4" i="51" s="1"/>
  <c r="AD43" i="51"/>
  <c r="AE43" i="51" s="1"/>
  <c r="AD92" i="51"/>
  <c r="AE92" i="51" s="1"/>
  <c r="AD23" i="51"/>
  <c r="AE23" i="51" s="1"/>
  <c r="AD231" i="51"/>
  <c r="AE231" i="51" s="1"/>
  <c r="AD53" i="51"/>
  <c r="AE53" i="51" s="1"/>
  <c r="AD204" i="51"/>
  <c r="AE204" i="51" s="1"/>
  <c r="AD112" i="51"/>
  <c r="AE112" i="51" s="1"/>
  <c r="AD104" i="51"/>
  <c r="AE104" i="51" s="1"/>
  <c r="AD8" i="51"/>
  <c r="AE8" i="51" s="1"/>
  <c r="AD150" i="51"/>
  <c r="AE150" i="51" s="1"/>
  <c r="AC58" i="51"/>
  <c r="AC68" i="51"/>
  <c r="AD164" i="51"/>
  <c r="AE164" i="51" s="1"/>
  <c r="AD122" i="51"/>
  <c r="AE122" i="51" s="1"/>
  <c r="AD236" i="51"/>
  <c r="AE236" i="51" s="1"/>
  <c r="AD97" i="51"/>
  <c r="AE97" i="51" s="1"/>
  <c r="AD173" i="51"/>
  <c r="AE173" i="51" s="1"/>
  <c r="AD162" i="51"/>
  <c r="AE162" i="51" s="1"/>
  <c r="AD67" i="51"/>
  <c r="AE67" i="51" s="1"/>
  <c r="AD154" i="51"/>
  <c r="AE154" i="51" s="1"/>
  <c r="AD83" i="51"/>
  <c r="AE83" i="51" s="1"/>
  <c r="AD62" i="51"/>
  <c r="AE62" i="51" s="1"/>
  <c r="AD57" i="51"/>
  <c r="AE57" i="51" s="1"/>
  <c r="AD188" i="51"/>
  <c r="AE188" i="51" s="1"/>
  <c r="AD165" i="51"/>
  <c r="AE165" i="51" s="1"/>
  <c r="AD243" i="51"/>
  <c r="AE243" i="51" s="1"/>
  <c r="AD18" i="51"/>
  <c r="AE18" i="51" s="1"/>
  <c r="AD24" i="51"/>
  <c r="AE24" i="51" s="1"/>
  <c r="AD124" i="51"/>
  <c r="AE124" i="51" s="1"/>
  <c r="AD224" i="51"/>
  <c r="AE224" i="51" s="1"/>
  <c r="AD247" i="51"/>
  <c r="AE247" i="51" s="1"/>
  <c r="AD225" i="51"/>
  <c r="AE225" i="51" s="1"/>
  <c r="AD7" i="51"/>
  <c r="AE7" i="51" s="1"/>
  <c r="AD118" i="51"/>
  <c r="AE118" i="51" s="1"/>
  <c r="AD174" i="51"/>
  <c r="AE174" i="51" s="1"/>
  <c r="AC7" i="51"/>
  <c r="AD180" i="51"/>
  <c r="AE180" i="51" s="1"/>
  <c r="AD96" i="51"/>
  <c r="AE96" i="51" s="1"/>
  <c r="AD32" i="51"/>
  <c r="AE32" i="51" s="1"/>
  <c r="AD157" i="51"/>
  <c r="AE157" i="51" s="1"/>
  <c r="AD144" i="51"/>
  <c r="AE144" i="51" s="1"/>
  <c r="AD245" i="51"/>
  <c r="AE245" i="51" s="1"/>
  <c r="AD113" i="51"/>
  <c r="AE113" i="51" s="1"/>
  <c r="AD168" i="51"/>
  <c r="AE168" i="51" s="1"/>
  <c r="AD86" i="51"/>
  <c r="AE86" i="51" s="1"/>
  <c r="AD233" i="51"/>
  <c r="AE233" i="51" s="1"/>
  <c r="AD74" i="51"/>
  <c r="AE74" i="51" s="1"/>
  <c r="AD246" i="51"/>
  <c r="AE246" i="51" s="1"/>
  <c r="AD250" i="51"/>
  <c r="AE250" i="51" s="1"/>
  <c r="AD158" i="51"/>
  <c r="AE158" i="51" s="1"/>
  <c r="AD186" i="51"/>
  <c r="AE186" i="51" s="1"/>
  <c r="AD87" i="51"/>
  <c r="AE87" i="51" s="1"/>
  <c r="AD232" i="51"/>
  <c r="AE232" i="51" s="1"/>
  <c r="AC4" i="51"/>
  <c r="AD90" i="51"/>
  <c r="AE90" i="51" s="1"/>
  <c r="AD77" i="51"/>
  <c r="AE77" i="51" s="1"/>
  <c r="AD73" i="51"/>
  <c r="AE73" i="51" s="1"/>
  <c r="AD195" i="51"/>
  <c r="AE195" i="51" s="1"/>
  <c r="AD33" i="51"/>
  <c r="AE33" i="51" s="1"/>
  <c r="AD36" i="51"/>
  <c r="AE36" i="51" s="1"/>
  <c r="AD108" i="51"/>
  <c r="AE108" i="51" s="1"/>
  <c r="AC43" i="51"/>
  <c r="AC187" i="51"/>
  <c r="AC225" i="51"/>
  <c r="AC141" i="51"/>
  <c r="AD10" i="51"/>
  <c r="AE10" i="51" s="1"/>
  <c r="AD46" i="51"/>
  <c r="AE46" i="51" s="1"/>
  <c r="AD172" i="51"/>
  <c r="AE172" i="51" s="1"/>
  <c r="AD47" i="51"/>
  <c r="AE47" i="51" s="1"/>
  <c r="AD61" i="51"/>
  <c r="AE61" i="51" s="1"/>
  <c r="AD203" i="51"/>
  <c r="AE203" i="51" s="1"/>
  <c r="AD217" i="51"/>
  <c r="AE217" i="51" s="1"/>
  <c r="AD207" i="51"/>
  <c r="AE207" i="51" s="1"/>
  <c r="AD55" i="51"/>
  <c r="AE55" i="51" s="1"/>
  <c r="AD226" i="51"/>
  <c r="AE226" i="51" s="1"/>
  <c r="AD213" i="51"/>
  <c r="AE213" i="51" s="1"/>
  <c r="AD15" i="51"/>
  <c r="AE15" i="51" s="1"/>
  <c r="AD116" i="51"/>
  <c r="AE116" i="51" s="1"/>
  <c r="AD115" i="51"/>
  <c r="AE115" i="51" s="1"/>
  <c r="AD48" i="51"/>
  <c r="AE48" i="51" s="1"/>
  <c r="AD56" i="51"/>
  <c r="AE56" i="51" s="1"/>
  <c r="AD128" i="51"/>
  <c r="AE128" i="51" s="1"/>
  <c r="AD5" i="51"/>
  <c r="AE5" i="51" s="1"/>
  <c r="AD82" i="51"/>
  <c r="AE82" i="51" s="1"/>
  <c r="AD127" i="51"/>
  <c r="AE127" i="51" s="1"/>
  <c r="AD40" i="51"/>
  <c r="AE40" i="51" s="1"/>
  <c r="AD121" i="51"/>
  <c r="AE121" i="51" s="1"/>
  <c r="AD227" i="51"/>
  <c r="AE227" i="51" s="1"/>
  <c r="AD193" i="51"/>
  <c r="AE193" i="51" s="1"/>
  <c r="AD212" i="51"/>
  <c r="AE212" i="51" s="1"/>
  <c r="AD163" i="51"/>
  <c r="AE163" i="51" s="1"/>
  <c r="AD16" i="51"/>
  <c r="AE16" i="51" s="1"/>
  <c r="AD6" i="51"/>
  <c r="AE6" i="51" s="1"/>
  <c r="AC25" i="51"/>
  <c r="AC191" i="51"/>
  <c r="AC150" i="51"/>
  <c r="AD60" i="51"/>
  <c r="AE60" i="51" s="1"/>
  <c r="AD167" i="51"/>
  <c r="AE167" i="51" s="1"/>
  <c r="AD148" i="51"/>
  <c r="AE148" i="51" s="1"/>
  <c r="AD200" i="51"/>
  <c r="AE200" i="51" s="1"/>
  <c r="AD3" i="51"/>
  <c r="AE3" i="51" s="1"/>
  <c r="A2" i="62" a="1"/>
  <c r="AD91" i="51"/>
  <c r="AE91" i="51" s="1"/>
  <c r="AD17" i="51"/>
  <c r="AE17" i="51" s="1"/>
  <c r="AD143" i="51"/>
  <c r="AE143" i="51" s="1"/>
  <c r="AD22" i="51"/>
  <c r="AE22" i="51" s="1"/>
  <c r="AD221" i="51"/>
  <c r="AE221" i="51" s="1"/>
  <c r="AD71" i="51"/>
  <c r="AE71" i="51" s="1"/>
  <c r="AD155" i="51"/>
  <c r="AE155" i="51" s="1"/>
  <c r="AD27" i="51"/>
  <c r="AE27" i="51" s="1"/>
  <c r="AD176" i="51"/>
  <c r="AE176" i="51" s="1"/>
  <c r="AC204" i="51"/>
  <c r="AC73" i="51"/>
  <c r="AC104" i="51"/>
  <c r="AC213" i="51"/>
  <c r="AC165" i="51"/>
  <c r="AC181" i="51"/>
  <c r="AC233" i="51"/>
  <c r="AC5" i="51"/>
  <c r="AC127" i="51"/>
  <c r="AC121" i="51"/>
  <c r="AC195" i="51"/>
  <c r="AC173" i="51"/>
  <c r="AC203" i="51"/>
  <c r="AC86" i="51"/>
  <c r="AC82" i="51"/>
  <c r="AC8" i="51"/>
  <c r="AC174" i="51"/>
  <c r="AC168" i="51"/>
  <c r="AC15" i="51"/>
  <c r="AC124" i="51"/>
  <c r="AC112" i="51"/>
  <c r="AC33" i="51"/>
  <c r="AC246" i="51"/>
  <c r="AC163" i="51"/>
  <c r="AC123" i="51"/>
  <c r="AC3" i="51"/>
  <c r="AC212" i="51"/>
  <c r="AC147" i="51"/>
  <c r="AC91" i="51"/>
  <c r="AC197" i="51"/>
  <c r="AC247" i="51"/>
  <c r="AC222" i="51"/>
  <c r="AD222" i="51"/>
  <c r="AE222" i="51" s="1"/>
  <c r="AC241" i="51"/>
  <c r="AD241" i="51"/>
  <c r="AE241" i="51" s="1"/>
  <c r="AC45" i="51"/>
  <c r="AC67" i="51"/>
  <c r="AC22" i="51"/>
  <c r="AC193" i="51"/>
  <c r="AC83" i="51"/>
  <c r="AC142" i="51"/>
  <c r="AC186" i="51"/>
  <c r="AC210" i="51"/>
  <c r="AD210" i="51"/>
  <c r="AE210" i="51" s="1"/>
  <c r="AC236" i="51"/>
  <c r="AC23" i="51"/>
  <c r="AC227" i="51"/>
  <c r="AC62" i="51"/>
  <c r="AC57" i="51"/>
  <c r="AC28" i="51"/>
  <c r="AC72" i="51"/>
  <c r="AD72" i="51"/>
  <c r="AE72" i="51" s="1"/>
  <c r="AC103" i="51"/>
  <c r="AD103" i="51"/>
  <c r="AE103" i="51" s="1"/>
  <c r="AC224" i="51"/>
  <c r="AC42" i="51"/>
  <c r="AC97" i="51"/>
  <c r="AC175" i="51"/>
  <c r="AD175" i="51"/>
  <c r="AE175" i="51" s="1"/>
  <c r="AC66" i="51"/>
  <c r="AD66" i="51"/>
  <c r="AE66" i="51" s="1"/>
  <c r="AC138" i="51"/>
  <c r="AC143" i="51"/>
  <c r="AC154" i="51"/>
  <c r="AC78" i="51"/>
  <c r="AD78" i="51"/>
  <c r="AE78" i="51" s="1"/>
  <c r="AC160" i="51"/>
  <c r="AD160" i="51"/>
  <c r="AE160" i="51" s="1"/>
  <c r="AC192" i="51"/>
  <c r="AC162" i="51"/>
  <c r="AC164" i="51"/>
  <c r="AC122" i="51"/>
  <c r="AC92" i="51"/>
  <c r="AC196" i="51"/>
  <c r="AD196" i="51"/>
  <c r="AE196" i="51" s="1"/>
  <c r="AC231" i="51"/>
  <c r="AC87" i="51"/>
  <c r="AC137" i="51"/>
  <c r="AD137" i="51"/>
  <c r="AE137" i="51" s="1"/>
  <c r="AC237" i="51"/>
  <c r="AD237" i="51"/>
  <c r="AE237" i="51" s="1"/>
  <c r="AC47" i="51"/>
  <c r="AC157" i="51"/>
  <c r="AC180" i="51"/>
  <c r="AC96" i="51"/>
  <c r="AC167" i="51"/>
  <c r="AC32" i="51"/>
  <c r="AC144" i="51"/>
  <c r="AC40" i="51"/>
  <c r="AC41" i="51"/>
  <c r="AC200" i="51"/>
  <c r="AC245" i="51"/>
  <c r="AC10" i="51"/>
  <c r="AC46" i="51"/>
  <c r="AC172" i="51"/>
  <c r="AC77" i="51"/>
  <c r="AC37" i="51"/>
  <c r="AF11" i="49"/>
  <c r="AF12" i="49"/>
  <c r="AF10" i="49"/>
  <c r="Y10" i="49"/>
  <c r="Y11" i="49"/>
  <c r="Y12" i="49"/>
  <c r="Y13" i="49"/>
  <c r="L24" i="45"/>
  <c r="L25" i="45"/>
  <c r="L26" i="45"/>
  <c r="L27" i="45"/>
  <c r="A2" i="62" l="1"/>
  <c r="G12" i="62"/>
  <c r="C4" i="62"/>
  <c r="C14" i="62"/>
  <c r="B11" i="62"/>
  <c r="G3" i="62"/>
  <c r="G13" i="62"/>
  <c r="C5" i="62"/>
  <c r="B12" i="62"/>
  <c r="G4" i="62"/>
  <c r="G14" i="62"/>
  <c r="C6" i="62"/>
  <c r="B3" i="62"/>
  <c r="B13" i="62"/>
  <c r="G5" i="62"/>
  <c r="C7" i="62"/>
  <c r="B4" i="62"/>
  <c r="B14" i="62"/>
  <c r="G6" i="62"/>
  <c r="C8" i="62"/>
  <c r="B5" i="62"/>
  <c r="G7" i="62"/>
  <c r="C9" i="62"/>
  <c r="B6" i="62"/>
  <c r="G8" i="62"/>
  <c r="C10" i="62"/>
  <c r="B7" i="62"/>
  <c r="G9" i="62"/>
  <c r="C11" i="62"/>
  <c r="B8" i="62"/>
  <c r="G10" i="62"/>
  <c r="C12" i="62"/>
  <c r="B9" i="62"/>
  <c r="G11" i="62"/>
  <c r="C3" i="62"/>
  <c r="C13" i="62"/>
  <c r="B10" i="62"/>
  <c r="F12" i="62" l="1"/>
  <c r="F3" i="62"/>
  <c r="F5" i="62"/>
  <c r="F13" i="62"/>
  <c r="F10" i="62"/>
  <c r="F11" i="62"/>
  <c r="F7" i="62"/>
  <c r="F4" i="62"/>
  <c r="F9" i="62"/>
  <c r="F6" i="62"/>
  <c r="AG253" i="51"/>
  <c r="AG263" i="51"/>
  <c r="AG273" i="51"/>
  <c r="AG283" i="51"/>
  <c r="AG293" i="51"/>
  <c r="AG303" i="51"/>
  <c r="AG313" i="51"/>
  <c r="AG323" i="51"/>
  <c r="AG333" i="51"/>
  <c r="AG343" i="51"/>
  <c r="AG353" i="51"/>
  <c r="AG363" i="51"/>
  <c r="AG373" i="51"/>
  <c r="AG383" i="51"/>
  <c r="AG393" i="51"/>
  <c r="AG403" i="51"/>
  <c r="AG413" i="51"/>
  <c r="AG423" i="51"/>
  <c r="AG433" i="51"/>
  <c r="AG443" i="51"/>
  <c r="AG453" i="51"/>
  <c r="AG463" i="51"/>
  <c r="AG473" i="51"/>
  <c r="AG483" i="51"/>
  <c r="AG493" i="51"/>
  <c r="AG503" i="51"/>
  <c r="AG513" i="51"/>
  <c r="AG523" i="51"/>
  <c r="AG533" i="51"/>
  <c r="AG543" i="51"/>
  <c r="AG553" i="51"/>
  <c r="AG563" i="51"/>
  <c r="AG573" i="51"/>
  <c r="AG583" i="51"/>
  <c r="AG593" i="51"/>
  <c r="AG603" i="51"/>
  <c r="AG613" i="51"/>
  <c r="AG623" i="51"/>
  <c r="AG633" i="51"/>
  <c r="AG643" i="51"/>
  <c r="AG653" i="51"/>
  <c r="AG663" i="51"/>
  <c r="AG673" i="51"/>
  <c r="AG683" i="51"/>
  <c r="AG693" i="51"/>
  <c r="AG703" i="51"/>
  <c r="AG713" i="51"/>
  <c r="AG723" i="51"/>
  <c r="AG733" i="51"/>
  <c r="AG743" i="51"/>
  <c r="AG254" i="51"/>
  <c r="AG264" i="51"/>
  <c r="AG274" i="51"/>
  <c r="AG284" i="51"/>
  <c r="AG294" i="51"/>
  <c r="AG304" i="51"/>
  <c r="AG314" i="51"/>
  <c r="AG324" i="51"/>
  <c r="AG334" i="51"/>
  <c r="AG344" i="51"/>
  <c r="AG354" i="51"/>
  <c r="AG364" i="51"/>
  <c r="AG374" i="51"/>
  <c r="AG384" i="51"/>
  <c r="AG394" i="51"/>
  <c r="AG404" i="51"/>
  <c r="AG414" i="51"/>
  <c r="AG424" i="51"/>
  <c r="AG434" i="51"/>
  <c r="AG444" i="51"/>
  <c r="AG454" i="51"/>
  <c r="AG464" i="51"/>
  <c r="AG474" i="51"/>
  <c r="AG484" i="51"/>
  <c r="AG494" i="51"/>
  <c r="AG504" i="51"/>
  <c r="AG514" i="51"/>
  <c r="AG524" i="51"/>
  <c r="AG534" i="51"/>
  <c r="AG544" i="51"/>
  <c r="AG554" i="51"/>
  <c r="AG564" i="51"/>
  <c r="AG574" i="51"/>
  <c r="AG584" i="51"/>
  <c r="AG594" i="51"/>
  <c r="AG604" i="51"/>
  <c r="AG614" i="51"/>
  <c r="AG624" i="51"/>
  <c r="AG634" i="51"/>
  <c r="AG644" i="51"/>
  <c r="AG654" i="51"/>
  <c r="AG664" i="51"/>
  <c r="AG674" i="51"/>
  <c r="AG684" i="51"/>
  <c r="AG694" i="51"/>
  <c r="AG704" i="51"/>
  <c r="AG714" i="51"/>
  <c r="AG724" i="51"/>
  <c r="AG734" i="51"/>
  <c r="AG744" i="51"/>
  <c r="C2" i="62"/>
  <c r="AG255" i="51"/>
  <c r="AG265" i="51"/>
  <c r="AG275" i="51"/>
  <c r="AG285" i="51"/>
  <c r="AG295" i="51"/>
  <c r="AG305" i="51"/>
  <c r="AG315" i="51"/>
  <c r="AG325" i="51"/>
  <c r="AG335" i="51"/>
  <c r="AG345" i="51"/>
  <c r="AG355" i="51"/>
  <c r="AG365" i="51"/>
  <c r="AG375" i="51"/>
  <c r="AG385" i="51"/>
  <c r="AG395" i="51"/>
  <c r="AG405" i="51"/>
  <c r="AG415" i="51"/>
  <c r="AG425" i="51"/>
  <c r="AG435" i="51"/>
  <c r="AG445" i="51"/>
  <c r="AG455" i="51"/>
  <c r="AG465" i="51"/>
  <c r="AG475" i="51"/>
  <c r="AG485" i="51"/>
  <c r="AG495" i="51"/>
  <c r="AG505" i="51"/>
  <c r="AG515" i="51"/>
  <c r="AG525" i="51"/>
  <c r="AG535" i="51"/>
  <c r="AG545" i="51"/>
  <c r="AG555" i="51"/>
  <c r="AG565" i="51"/>
  <c r="AG575" i="51"/>
  <c r="AG585" i="51"/>
  <c r="AG595" i="51"/>
  <c r="AG605" i="51"/>
  <c r="AG615" i="51"/>
  <c r="AG625" i="51"/>
  <c r="AG635" i="51"/>
  <c r="AG645" i="51"/>
  <c r="AG655" i="51"/>
  <c r="AG665" i="51"/>
  <c r="AG675" i="51"/>
  <c r="AG685" i="51"/>
  <c r="AG695" i="51"/>
  <c r="AG705" i="51"/>
  <c r="AG715" i="51"/>
  <c r="AG725" i="51"/>
  <c r="AG735" i="51"/>
  <c r="AG745" i="51"/>
  <c r="AG256" i="51"/>
  <c r="AG266" i="51"/>
  <c r="AG276" i="51"/>
  <c r="AG286" i="51"/>
  <c r="AG296" i="51"/>
  <c r="AG306" i="51"/>
  <c r="AG316" i="51"/>
  <c r="AG326" i="51"/>
  <c r="AG336" i="51"/>
  <c r="AG346" i="51"/>
  <c r="AG356" i="51"/>
  <c r="AG366" i="51"/>
  <c r="AG376" i="51"/>
  <c r="AG386" i="51"/>
  <c r="AG396" i="51"/>
  <c r="AG406" i="51"/>
  <c r="AG416" i="51"/>
  <c r="AG426" i="51"/>
  <c r="AG436" i="51"/>
  <c r="AG446" i="51"/>
  <c r="AG456" i="51"/>
  <c r="AG466" i="51"/>
  <c r="AG476" i="51"/>
  <c r="AG486" i="51"/>
  <c r="AG496" i="51"/>
  <c r="AG506" i="51"/>
  <c r="AG516" i="51"/>
  <c r="AG526" i="51"/>
  <c r="AG536" i="51"/>
  <c r="AG546" i="51"/>
  <c r="AG556" i="51"/>
  <c r="AG566" i="51"/>
  <c r="AG576" i="51"/>
  <c r="AG586" i="51"/>
  <c r="AG596" i="51"/>
  <c r="AG606" i="51"/>
  <c r="AG616" i="51"/>
  <c r="AG626" i="51"/>
  <c r="AG636" i="51"/>
  <c r="AG646" i="51"/>
  <c r="AG656" i="51"/>
  <c r="AG666" i="51"/>
  <c r="AG676" i="51"/>
  <c r="AG686" i="51"/>
  <c r="AG696" i="51"/>
  <c r="AG706" i="51"/>
  <c r="AG716" i="51"/>
  <c r="AG726" i="51"/>
  <c r="AG736" i="51"/>
  <c r="AG746" i="51"/>
  <c r="G2" i="62"/>
  <c r="AG257" i="51"/>
  <c r="AG267" i="51"/>
  <c r="AG277" i="51"/>
  <c r="AG287" i="51"/>
  <c r="AG297" i="51"/>
  <c r="AG307" i="51"/>
  <c r="AG317" i="51"/>
  <c r="AG327" i="51"/>
  <c r="AG337" i="51"/>
  <c r="AG347" i="51"/>
  <c r="AG357" i="51"/>
  <c r="AG367" i="51"/>
  <c r="AG377" i="51"/>
  <c r="AG387" i="51"/>
  <c r="AG397" i="51"/>
  <c r="AG407" i="51"/>
  <c r="AG417" i="51"/>
  <c r="AG427" i="51"/>
  <c r="AG437" i="51"/>
  <c r="AG447" i="51"/>
  <c r="AG457" i="51"/>
  <c r="AG467" i="51"/>
  <c r="AG477" i="51"/>
  <c r="AG487" i="51"/>
  <c r="AG497" i="51"/>
  <c r="AG507" i="51"/>
  <c r="AG517" i="51"/>
  <c r="AG527" i="51"/>
  <c r="AG537" i="51"/>
  <c r="AG547" i="51"/>
  <c r="AG557" i="51"/>
  <c r="AG567" i="51"/>
  <c r="AG577" i="51"/>
  <c r="AG587" i="51"/>
  <c r="AG597" i="51"/>
  <c r="AG607" i="51"/>
  <c r="AG617" i="51"/>
  <c r="AG627" i="51"/>
  <c r="AG637" i="51"/>
  <c r="AG647" i="51"/>
  <c r="AG657" i="51"/>
  <c r="AG667" i="51"/>
  <c r="AG677" i="51"/>
  <c r="AG687" i="51"/>
  <c r="AG697" i="51"/>
  <c r="AG707" i="51"/>
  <c r="AG717" i="51"/>
  <c r="AG727" i="51"/>
  <c r="AG737" i="51"/>
  <c r="AG747" i="51"/>
  <c r="B2" i="62"/>
  <c r="AG258" i="51"/>
  <c r="AG268" i="51"/>
  <c r="AG278" i="51"/>
  <c r="AG288" i="51"/>
  <c r="AG298" i="51"/>
  <c r="AG308" i="51"/>
  <c r="AG318" i="51"/>
  <c r="AG328" i="51"/>
  <c r="AG338" i="51"/>
  <c r="AG348" i="51"/>
  <c r="AG358" i="51"/>
  <c r="AG368" i="51"/>
  <c r="AG378" i="51"/>
  <c r="AG388" i="51"/>
  <c r="AG398" i="51"/>
  <c r="AG408" i="51"/>
  <c r="AG418" i="51"/>
  <c r="AG428" i="51"/>
  <c r="AG438" i="51"/>
  <c r="AG448" i="51"/>
  <c r="AG458" i="51"/>
  <c r="AG468" i="51"/>
  <c r="AG478" i="51"/>
  <c r="AG488" i="51"/>
  <c r="AG498" i="51"/>
  <c r="AG508" i="51"/>
  <c r="AG518" i="51"/>
  <c r="AG528" i="51"/>
  <c r="AG538" i="51"/>
  <c r="AG548" i="51"/>
  <c r="AG558" i="51"/>
  <c r="AG568" i="51"/>
  <c r="AG578" i="51"/>
  <c r="AG588" i="51"/>
  <c r="AG598" i="51"/>
  <c r="AG608" i="51"/>
  <c r="AG618" i="51"/>
  <c r="AG628" i="51"/>
  <c r="AG638" i="51"/>
  <c r="AG648" i="51"/>
  <c r="AG658" i="51"/>
  <c r="AG668" i="51"/>
  <c r="AG678" i="51"/>
  <c r="AG688" i="51"/>
  <c r="AG698" i="51"/>
  <c r="AG708" i="51"/>
  <c r="AG718" i="51"/>
  <c r="AG728" i="51"/>
  <c r="AG738" i="51"/>
  <c r="AG748" i="51"/>
  <c r="AG259" i="51"/>
  <c r="AG269" i="51"/>
  <c r="AG279" i="51"/>
  <c r="AG289" i="51"/>
  <c r="AG299" i="51"/>
  <c r="AG309" i="51"/>
  <c r="AG319" i="51"/>
  <c r="AG329" i="51"/>
  <c r="AG339" i="51"/>
  <c r="AG349" i="51"/>
  <c r="AG359" i="51"/>
  <c r="AG369" i="51"/>
  <c r="AG379" i="51"/>
  <c r="AG389" i="51"/>
  <c r="AG399" i="51"/>
  <c r="AG409" i="51"/>
  <c r="AG419" i="51"/>
  <c r="AG429" i="51"/>
  <c r="AG439" i="51"/>
  <c r="AG449" i="51"/>
  <c r="AG459" i="51"/>
  <c r="AG469" i="51"/>
  <c r="AG479" i="51"/>
  <c r="AG489" i="51"/>
  <c r="AG499" i="51"/>
  <c r="AG509" i="51"/>
  <c r="AG519" i="51"/>
  <c r="AG529" i="51"/>
  <c r="AG539" i="51"/>
  <c r="AG549" i="51"/>
  <c r="AG559" i="51"/>
  <c r="AG569" i="51"/>
  <c r="AG579" i="51"/>
  <c r="AG589" i="51"/>
  <c r="AG599" i="51"/>
  <c r="AG609" i="51"/>
  <c r="AG619" i="51"/>
  <c r="AG629" i="51"/>
  <c r="AG639" i="51"/>
  <c r="AG649" i="51"/>
  <c r="AG659" i="51"/>
  <c r="AG669" i="51"/>
  <c r="AG679" i="51"/>
  <c r="AG689" i="51"/>
  <c r="AG699" i="51"/>
  <c r="AG709" i="51"/>
  <c r="AG719" i="51"/>
  <c r="AG729" i="51"/>
  <c r="AG739" i="51"/>
  <c r="AG749" i="51"/>
  <c r="AG260" i="51"/>
  <c r="AG270" i="51"/>
  <c r="AG280" i="51"/>
  <c r="AG290" i="51"/>
  <c r="AG300" i="51"/>
  <c r="AG310" i="51"/>
  <c r="AG320" i="51"/>
  <c r="AG330" i="51"/>
  <c r="AG340" i="51"/>
  <c r="AG350" i="51"/>
  <c r="AG360" i="51"/>
  <c r="AG370" i="51"/>
  <c r="AG380" i="51"/>
  <c r="AG390" i="51"/>
  <c r="AG400" i="51"/>
  <c r="AG410" i="51"/>
  <c r="AG420" i="51"/>
  <c r="AG430" i="51"/>
  <c r="AG440" i="51"/>
  <c r="AG450" i="51"/>
  <c r="AG460" i="51"/>
  <c r="AG470" i="51"/>
  <c r="AG480" i="51"/>
  <c r="AG490" i="51"/>
  <c r="AG500" i="51"/>
  <c r="AG510" i="51"/>
  <c r="AG520" i="51"/>
  <c r="AG530" i="51"/>
  <c r="AG540" i="51"/>
  <c r="AG550" i="51"/>
  <c r="AG560" i="51"/>
  <c r="AG570" i="51"/>
  <c r="AG580" i="51"/>
  <c r="AG590" i="51"/>
  <c r="AG600" i="51"/>
  <c r="AG610" i="51"/>
  <c r="AG620" i="51"/>
  <c r="AG630" i="51"/>
  <c r="AG640" i="51"/>
  <c r="AG650" i="51"/>
  <c r="AG660" i="51"/>
  <c r="AG670" i="51"/>
  <c r="AG680" i="51"/>
  <c r="AG690" i="51"/>
  <c r="AG700" i="51"/>
  <c r="AG710" i="51"/>
  <c r="AG720" i="51"/>
  <c r="AG730" i="51"/>
  <c r="AG740" i="51"/>
  <c r="AG261" i="51"/>
  <c r="AG271" i="51"/>
  <c r="AG281" i="51"/>
  <c r="AG291" i="51"/>
  <c r="AG301" i="51"/>
  <c r="AG311" i="51"/>
  <c r="AG321" i="51"/>
  <c r="AG331" i="51"/>
  <c r="AG341" i="51"/>
  <c r="AG351" i="51"/>
  <c r="AG361" i="51"/>
  <c r="AG371" i="51"/>
  <c r="AG381" i="51"/>
  <c r="AG391" i="51"/>
  <c r="AG401" i="51"/>
  <c r="AG411" i="51"/>
  <c r="AG421" i="51"/>
  <c r="AG431" i="51"/>
  <c r="AG441" i="51"/>
  <c r="AG451" i="51"/>
  <c r="AG461" i="51"/>
  <c r="AG471" i="51"/>
  <c r="AG481" i="51"/>
  <c r="AG491" i="51"/>
  <c r="AG501" i="51"/>
  <c r="AG511" i="51"/>
  <c r="AG521" i="51"/>
  <c r="AG531" i="51"/>
  <c r="AG541" i="51"/>
  <c r="AG551" i="51"/>
  <c r="AG561" i="51"/>
  <c r="AG571" i="51"/>
  <c r="AG581" i="51"/>
  <c r="AG591" i="51"/>
  <c r="AG601" i="51"/>
  <c r="AG611" i="51"/>
  <c r="AG621" i="51"/>
  <c r="AG631" i="51"/>
  <c r="AG641" i="51"/>
  <c r="AG651" i="51"/>
  <c r="AG661" i="51"/>
  <c r="AG671" i="51"/>
  <c r="AG681" i="51"/>
  <c r="AG691" i="51"/>
  <c r="AG701" i="51"/>
  <c r="AG711" i="51"/>
  <c r="AG721" i="51"/>
  <c r="AG731" i="51"/>
  <c r="AG741" i="51"/>
  <c r="AG252" i="51"/>
  <c r="AG262" i="51"/>
  <c r="AG272" i="51"/>
  <c r="AG282" i="51"/>
  <c r="AG292" i="51"/>
  <c r="AG302" i="51"/>
  <c r="AG312" i="51"/>
  <c r="AG322" i="51"/>
  <c r="AG332" i="51"/>
  <c r="AG342" i="51"/>
  <c r="AG352" i="51"/>
  <c r="AG362" i="51"/>
  <c r="AG372" i="51"/>
  <c r="AG382" i="51"/>
  <c r="AG392" i="51"/>
  <c r="AG402" i="51"/>
  <c r="AG412" i="51"/>
  <c r="AG422" i="51"/>
  <c r="AG432" i="51"/>
  <c r="AG442" i="51"/>
  <c r="AG452" i="51"/>
  <c r="AG462" i="51"/>
  <c r="AG472" i="51"/>
  <c r="AG482" i="51"/>
  <c r="AG492" i="51"/>
  <c r="AG502" i="51"/>
  <c r="AG512" i="51"/>
  <c r="AG522" i="51"/>
  <c r="AG532" i="51"/>
  <c r="AG542" i="51"/>
  <c r="AG552" i="51"/>
  <c r="AG562" i="51"/>
  <c r="AG572" i="51"/>
  <c r="AG582" i="51"/>
  <c r="AG592" i="51"/>
  <c r="AG602" i="51"/>
  <c r="AG612" i="51"/>
  <c r="AG622" i="51"/>
  <c r="AG632" i="51"/>
  <c r="AG642" i="51"/>
  <c r="AG652" i="51"/>
  <c r="AG662" i="51"/>
  <c r="AG672" i="51"/>
  <c r="AG682" i="51"/>
  <c r="AG692" i="51"/>
  <c r="AG702" i="51"/>
  <c r="AG712" i="51"/>
  <c r="AG722" i="51"/>
  <c r="AG732" i="51"/>
  <c r="AG742" i="51"/>
  <c r="F14" i="62"/>
  <c r="F8" i="62"/>
  <c r="AF66" i="51" l="1"/>
  <c r="AF249" i="51"/>
  <c r="AF61" i="51"/>
  <c r="AF244" i="51"/>
  <c r="AF158" i="51"/>
  <c r="AF77" i="51"/>
  <c r="AF62" i="51"/>
  <c r="AF122" i="51"/>
  <c r="AF76" i="51"/>
  <c r="AF32" i="51"/>
  <c r="AF242" i="51"/>
  <c r="AF33" i="51"/>
  <c r="AF16" i="51"/>
  <c r="AF186" i="51"/>
  <c r="AF97" i="51"/>
  <c r="AF175" i="51"/>
  <c r="AF232" i="51"/>
  <c r="AF31" i="51"/>
  <c r="AF157" i="51"/>
  <c r="AF170" i="51"/>
  <c r="AF200" i="51"/>
  <c r="AF73" i="51"/>
  <c r="AF124" i="51"/>
  <c r="AF113" i="51"/>
  <c r="AF241" i="51"/>
  <c r="AF28" i="51"/>
  <c r="AF212" i="51"/>
  <c r="AF27" i="51"/>
  <c r="AF64" i="51"/>
  <c r="AF104" i="51"/>
  <c r="AF165" i="51"/>
  <c r="H2" i="62"/>
  <c r="E2" i="62"/>
  <c r="F2" i="62"/>
  <c r="AF160" i="51" s="1"/>
  <c r="I2" i="62"/>
  <c r="AF63" i="51" l="1"/>
  <c r="AF206" i="51"/>
  <c r="AF30" i="51"/>
  <c r="AH30" i="51" s="1"/>
  <c r="AI30" i="51" s="1"/>
  <c r="AF198" i="51"/>
  <c r="AH198" i="51" s="1"/>
  <c r="AI198" i="51" s="1"/>
  <c r="AF19" i="51"/>
  <c r="AG19" i="51" s="1"/>
  <c r="AF36" i="51"/>
  <c r="AH36" i="51" s="1"/>
  <c r="AI36" i="51" s="1"/>
  <c r="AF89" i="51"/>
  <c r="AF46" i="51"/>
  <c r="AF250" i="51"/>
  <c r="AF39" i="51"/>
  <c r="AF125" i="51"/>
  <c r="AF217" i="51"/>
  <c r="AF230" i="51"/>
  <c r="AF8" i="51"/>
  <c r="AG8" i="51" s="1"/>
  <c r="AF184" i="51"/>
  <c r="AF142" i="51"/>
  <c r="AF178" i="51"/>
  <c r="AH178" i="51" s="1"/>
  <c r="AI178" i="51" s="1"/>
  <c r="AF145" i="51"/>
  <c r="AF140" i="51"/>
  <c r="AF92" i="51"/>
  <c r="AF150" i="51"/>
  <c r="AF116" i="51"/>
  <c r="AF80" i="51"/>
  <c r="AF149" i="51"/>
  <c r="AF208" i="51"/>
  <c r="AF53" i="51"/>
  <c r="AF57" i="51"/>
  <c r="AF210" i="51"/>
  <c r="AF174" i="51"/>
  <c r="AF211" i="51"/>
  <c r="AF59" i="51"/>
  <c r="AF79" i="51"/>
  <c r="AF176" i="51"/>
  <c r="AF190" i="51"/>
  <c r="AF234" i="51"/>
  <c r="AF209" i="51"/>
  <c r="AF172" i="51"/>
  <c r="AF24" i="51"/>
  <c r="AF237" i="51"/>
  <c r="AF238" i="51"/>
  <c r="AF120" i="51"/>
  <c r="AF35" i="51"/>
  <c r="AF231" i="51"/>
  <c r="AF155" i="51"/>
  <c r="AF110" i="51"/>
  <c r="AF146" i="51"/>
  <c r="AF94" i="51"/>
  <c r="AF240" i="51"/>
  <c r="AF18" i="51"/>
  <c r="AF130" i="51"/>
  <c r="AF193" i="51"/>
  <c r="AF248" i="51"/>
  <c r="AF99" i="51"/>
  <c r="AF228" i="51"/>
  <c r="AF224" i="51"/>
  <c r="AF162" i="51"/>
  <c r="AF13" i="51"/>
  <c r="AF55" i="51"/>
  <c r="AF69" i="51"/>
  <c r="AF70" i="51"/>
  <c r="AF195" i="51"/>
  <c r="AF153" i="51"/>
  <c r="AF67" i="51"/>
  <c r="AF40" i="51"/>
  <c r="AF95" i="51"/>
  <c r="AF182" i="51"/>
  <c r="AF109" i="51"/>
  <c r="AF187" i="51"/>
  <c r="AF96" i="51"/>
  <c r="AF3" i="51"/>
  <c r="AF15" i="51"/>
  <c r="AF112" i="51"/>
  <c r="AF163" i="51"/>
  <c r="AF220" i="51"/>
  <c r="AF90" i="51"/>
  <c r="AH90" i="51" s="1"/>
  <c r="AI90" i="51" s="1"/>
  <c r="AF45" i="51"/>
  <c r="AF247" i="51"/>
  <c r="AF43" i="51"/>
  <c r="AH43" i="51" s="1"/>
  <c r="AI43" i="51" s="1"/>
  <c r="AF60" i="51"/>
  <c r="AH60" i="51" s="1"/>
  <c r="AI60" i="51" s="1"/>
  <c r="AF219" i="51"/>
  <c r="AF2" i="51"/>
  <c r="AH2" i="51" s="1"/>
  <c r="AI2" i="51" s="1"/>
  <c r="AF166" i="51"/>
  <c r="AF107" i="51"/>
  <c r="AH107" i="51" s="1"/>
  <c r="AI107" i="51" s="1"/>
  <c r="AF156" i="51"/>
  <c r="AH156" i="51" s="1"/>
  <c r="AI156" i="51" s="1"/>
  <c r="AF141" i="51"/>
  <c r="AF139" i="51"/>
  <c r="AF74" i="51"/>
  <c r="AH74" i="51" s="1"/>
  <c r="AI74" i="51" s="1"/>
  <c r="AF48" i="51"/>
  <c r="AF246" i="51"/>
  <c r="AH246" i="51" s="1"/>
  <c r="AI246" i="51" s="1"/>
  <c r="AF179" i="51"/>
  <c r="AF126" i="51"/>
  <c r="AF168" i="51"/>
  <c r="AF135" i="51"/>
  <c r="AF49" i="51"/>
  <c r="AH49" i="51" s="1"/>
  <c r="AI49" i="51" s="1"/>
  <c r="AF42" i="51"/>
  <c r="AH42" i="51" s="1"/>
  <c r="AI42" i="51" s="1"/>
  <c r="AF23" i="51"/>
  <c r="AH23" i="51" s="1"/>
  <c r="AI23" i="51" s="1"/>
  <c r="AF235" i="51"/>
  <c r="AH235" i="51" s="1"/>
  <c r="AI235" i="51" s="1"/>
  <c r="AF148" i="51"/>
  <c r="AH148" i="51" s="1"/>
  <c r="AI148" i="51" s="1"/>
  <c r="AF81" i="51"/>
  <c r="AG81" i="51" s="1"/>
  <c r="AF102" i="51"/>
  <c r="AF34" i="51"/>
  <c r="AF233" i="51"/>
  <c r="AF105" i="51"/>
  <c r="AH105" i="51" s="1"/>
  <c r="AI105" i="51" s="1"/>
  <c r="AF111" i="51"/>
  <c r="AH111" i="51" s="1"/>
  <c r="AI111" i="51" s="1"/>
  <c r="AF37" i="51"/>
  <c r="AF51" i="51"/>
  <c r="AF191" i="51"/>
  <c r="AF123" i="51"/>
  <c r="AF192" i="51"/>
  <c r="AG192" i="51" s="1"/>
  <c r="AF25" i="51"/>
  <c r="AF216" i="51"/>
  <c r="AF119" i="51"/>
  <c r="AF201" i="51"/>
  <c r="AF180" i="51"/>
  <c r="AF173" i="51"/>
  <c r="AF11" i="51"/>
  <c r="AH11" i="51" s="1"/>
  <c r="AI11" i="51" s="1"/>
  <c r="AF138" i="51"/>
  <c r="AG138" i="51" s="1"/>
  <c r="AF91" i="51"/>
  <c r="AG91" i="51" s="1"/>
  <c r="AF20" i="51"/>
  <c r="AH20" i="51" s="1"/>
  <c r="AI20" i="51" s="1"/>
  <c r="AF223" i="51"/>
  <c r="AF194" i="51"/>
  <c r="AH194" i="51" s="1"/>
  <c r="AI194" i="51" s="1"/>
  <c r="AF205" i="51"/>
  <c r="AF78" i="51"/>
  <c r="AF82" i="51"/>
  <c r="AF161" i="51"/>
  <c r="AF7" i="51"/>
  <c r="AH7" i="51" s="1"/>
  <c r="AI7" i="51" s="1"/>
  <c r="AF9" i="51"/>
  <c r="AH9" i="51" s="1"/>
  <c r="AI9" i="51" s="1"/>
  <c r="AF58" i="51"/>
  <c r="AF134" i="51"/>
  <c r="AF52" i="51"/>
  <c r="AF181" i="51"/>
  <c r="AF183" i="51"/>
  <c r="AF152" i="51"/>
  <c r="AF10" i="51"/>
  <c r="AG10" i="51" s="1"/>
  <c r="AF38" i="51"/>
  <c r="AG38" i="51" s="1"/>
  <c r="AF117" i="51"/>
  <c r="AF21" i="51"/>
  <c r="AG21" i="51" s="1"/>
  <c r="AF169" i="51"/>
  <c r="AF121" i="51"/>
  <c r="AH121" i="51" s="1"/>
  <c r="AI121" i="51" s="1"/>
  <c r="AF213" i="51"/>
  <c r="AF106" i="51"/>
  <c r="AF215" i="51"/>
  <c r="AF14" i="51"/>
  <c r="AF75" i="51"/>
  <c r="AH75" i="51" s="1"/>
  <c r="AI75" i="51" s="1"/>
  <c r="AF243" i="51"/>
  <c r="AF6" i="51"/>
  <c r="AG6" i="51" s="1"/>
  <c r="AF84" i="51"/>
  <c r="AH84" i="51" s="1"/>
  <c r="AI84" i="51" s="1"/>
  <c r="AF115" i="51"/>
  <c r="AH115" i="51" s="1"/>
  <c r="AI115" i="51" s="1"/>
  <c r="AF218" i="51"/>
  <c r="AG218" i="51" s="1"/>
  <c r="AF5" i="51"/>
  <c r="AF245" i="51"/>
  <c r="AF225" i="51"/>
  <c r="AF136" i="51"/>
  <c r="AF197" i="51"/>
  <c r="AH197" i="51" s="1"/>
  <c r="AI197" i="51" s="1"/>
  <c r="AF127" i="51"/>
  <c r="AF47" i="51"/>
  <c r="AH47" i="51" s="1"/>
  <c r="AI47" i="51" s="1"/>
  <c r="AF118" i="51"/>
  <c r="AG118" i="51" s="1"/>
  <c r="AF108" i="51"/>
  <c r="AF17" i="51"/>
  <c r="AH17" i="51" s="1"/>
  <c r="AI17" i="51" s="1"/>
  <c r="AF185" i="51"/>
  <c r="AF188" i="51"/>
  <c r="AF68" i="51"/>
  <c r="AF221" i="51"/>
  <c r="AF88" i="51"/>
  <c r="AH88" i="51" s="1"/>
  <c r="AI88" i="51" s="1"/>
  <c r="AF207" i="51"/>
  <c r="AF204" i="51"/>
  <c r="AG204" i="51" s="1"/>
  <c r="AF214" i="51"/>
  <c r="AG214" i="51" s="1"/>
  <c r="AF71" i="51"/>
  <c r="AF151" i="51"/>
  <c r="AH151" i="51" s="1"/>
  <c r="AI151" i="51" s="1"/>
  <c r="AF85" i="51"/>
  <c r="AF167" i="51"/>
  <c r="AF251" i="51"/>
  <c r="AF128" i="51"/>
  <c r="AF54" i="51"/>
  <c r="AF227" i="51"/>
  <c r="AF4" i="51"/>
  <c r="AF164" i="51"/>
  <c r="AH164" i="51" s="1"/>
  <c r="AI164" i="51" s="1"/>
  <c r="AF50" i="51"/>
  <c r="AG50" i="51" s="1"/>
  <c r="AF144" i="51"/>
  <c r="AH144" i="51" s="1"/>
  <c r="AI144" i="51" s="1"/>
  <c r="AF98" i="51"/>
  <c r="AF72" i="51"/>
  <c r="AF44" i="51"/>
  <c r="AF226" i="51"/>
  <c r="AH226" i="51" s="1"/>
  <c r="AI226" i="51" s="1"/>
  <c r="AF137" i="51"/>
  <c r="AG137" i="51" s="1"/>
  <c r="AF177" i="51"/>
  <c r="AF203" i="51"/>
  <c r="AF100" i="51"/>
  <c r="AG100" i="51" s="1"/>
  <c r="AF83" i="51"/>
  <c r="AH83" i="51" s="1"/>
  <c r="AI83" i="51" s="1"/>
  <c r="AF56" i="51"/>
  <c r="AF65" i="51"/>
  <c r="AF159" i="51"/>
  <c r="AF222" i="51"/>
  <c r="AF22" i="51"/>
  <c r="AF171" i="51"/>
  <c r="AF229" i="51"/>
  <c r="AH229" i="51" s="1"/>
  <c r="AI229" i="51" s="1"/>
  <c r="AF93" i="51"/>
  <c r="AH93" i="51" s="1"/>
  <c r="AI93" i="51" s="1"/>
  <c r="AF101" i="51"/>
  <c r="AG101" i="51" s="1"/>
  <c r="AF87" i="51"/>
  <c r="AF131" i="51"/>
  <c r="AG131" i="51" s="1"/>
  <c r="AF103" i="51"/>
  <c r="AF29" i="51"/>
  <c r="AF129" i="51"/>
  <c r="AF202" i="51"/>
  <c r="AF26" i="51"/>
  <c r="AF189" i="51"/>
  <c r="AH189" i="51" s="1"/>
  <c r="AI189" i="51" s="1"/>
  <c r="AF147" i="51"/>
  <c r="AG147" i="51" s="1"/>
  <c r="AF132" i="51"/>
  <c r="AG132" i="51" s="1"/>
  <c r="AF236" i="51"/>
  <c r="AH236" i="51" s="1"/>
  <c r="AI236" i="51" s="1"/>
  <c r="AF143" i="51"/>
  <c r="AG143" i="51" s="1"/>
  <c r="AF12" i="51"/>
  <c r="AG194" i="51"/>
  <c r="AH160" i="51"/>
  <c r="AI160" i="51" s="1"/>
  <c r="AG160" i="51"/>
  <c r="AG83" i="51"/>
  <c r="AH8" i="51"/>
  <c r="AI8" i="51" s="1"/>
  <c r="AG184" i="51"/>
  <c r="AH184" i="51"/>
  <c r="AI184" i="51" s="1"/>
  <c r="AG45" i="51"/>
  <c r="AH45" i="51"/>
  <c r="AI45" i="51" s="1"/>
  <c r="AG141" i="51"/>
  <c r="AH141" i="51"/>
  <c r="AI141" i="51" s="1"/>
  <c r="AG139" i="51"/>
  <c r="AH139" i="51"/>
  <c r="AI139" i="51" s="1"/>
  <c r="AG247" i="51"/>
  <c r="AH247" i="51"/>
  <c r="AI247" i="51" s="1"/>
  <c r="AG236" i="51"/>
  <c r="AG157" i="51"/>
  <c r="AH157" i="51"/>
  <c r="AI157" i="51" s="1"/>
  <c r="AG219" i="51"/>
  <c r="AH219" i="51"/>
  <c r="AI219" i="51" s="1"/>
  <c r="AG166" i="51"/>
  <c r="AH166" i="51"/>
  <c r="AI166" i="51" s="1"/>
  <c r="AG179" i="51"/>
  <c r="AH179" i="51"/>
  <c r="AI179" i="51" s="1"/>
  <c r="AG102" i="51"/>
  <c r="AH102" i="51"/>
  <c r="AI102" i="51" s="1"/>
  <c r="AG34" i="51"/>
  <c r="AH34" i="51"/>
  <c r="AI34" i="51" s="1"/>
  <c r="AG233" i="51"/>
  <c r="AH233" i="51"/>
  <c r="AI233" i="51" s="1"/>
  <c r="AH142" i="51"/>
  <c r="AI142" i="51" s="1"/>
  <c r="AG142" i="51"/>
  <c r="AH136" i="51"/>
  <c r="AI136" i="51" s="1"/>
  <c r="AG136" i="51"/>
  <c r="AG180" i="51"/>
  <c r="AH180" i="51"/>
  <c r="AI180" i="51" s="1"/>
  <c r="AH48" i="51"/>
  <c r="AI48" i="51" s="1"/>
  <c r="AG48" i="51"/>
  <c r="AH204" i="51"/>
  <c r="AI204" i="51" s="1"/>
  <c r="AG123" i="51"/>
  <c r="AH123" i="51"/>
  <c r="AI123" i="51" s="1"/>
  <c r="AG25" i="51"/>
  <c r="AH25" i="51"/>
  <c r="AI25" i="51" s="1"/>
  <c r="AG216" i="51"/>
  <c r="AH216" i="51"/>
  <c r="AI216" i="51" s="1"/>
  <c r="AG119" i="51"/>
  <c r="AH119" i="51"/>
  <c r="AI119" i="51" s="1"/>
  <c r="AG201" i="51"/>
  <c r="AH201" i="51"/>
  <c r="AI201" i="51" s="1"/>
  <c r="AG173" i="51"/>
  <c r="AH173" i="51"/>
  <c r="AI173" i="51" s="1"/>
  <c r="AH138" i="51"/>
  <c r="AI138" i="51" s="1"/>
  <c r="AG223" i="51"/>
  <c r="AH223" i="51"/>
  <c r="AI223" i="51" s="1"/>
  <c r="AG64" i="51"/>
  <c r="AH64" i="51"/>
  <c r="AI64" i="51" s="1"/>
  <c r="AG28" i="51"/>
  <c r="AH28" i="51"/>
  <c r="AI28" i="51" s="1"/>
  <c r="AG124" i="51"/>
  <c r="AH124" i="51"/>
  <c r="AI124" i="51" s="1"/>
  <c r="AG31" i="51"/>
  <c r="AH31" i="51"/>
  <c r="AI31" i="51" s="1"/>
  <c r="AG175" i="51"/>
  <c r="AH175" i="51"/>
  <c r="AI175" i="51" s="1"/>
  <c r="AG186" i="51"/>
  <c r="AH186" i="51"/>
  <c r="AI186" i="51" s="1"/>
  <c r="AG242" i="51"/>
  <c r="AH242" i="51"/>
  <c r="AI242" i="51" s="1"/>
  <c r="AG76" i="51"/>
  <c r="AH76" i="51"/>
  <c r="AI76" i="51" s="1"/>
  <c r="AG62" i="51"/>
  <c r="AH62" i="51"/>
  <c r="AI62" i="51" s="1"/>
  <c r="AG158" i="51"/>
  <c r="AH158" i="51"/>
  <c r="AI158" i="51" s="1"/>
  <c r="AG61" i="51"/>
  <c r="AH61" i="51"/>
  <c r="AI61" i="51" s="1"/>
  <c r="AG78" i="51"/>
  <c r="AH78" i="51"/>
  <c r="AI78" i="51" s="1"/>
  <c r="AG82" i="51"/>
  <c r="AH82" i="51"/>
  <c r="AI82" i="51" s="1"/>
  <c r="AG161" i="51"/>
  <c r="AH161" i="51"/>
  <c r="AI161" i="51" s="1"/>
  <c r="AG165" i="51"/>
  <c r="AH165" i="51"/>
  <c r="AI165" i="51" s="1"/>
  <c r="AG63" i="51"/>
  <c r="AH63" i="51"/>
  <c r="AI63" i="51" s="1"/>
  <c r="AG206" i="51"/>
  <c r="AH206" i="51"/>
  <c r="AI206" i="51" s="1"/>
  <c r="AH19" i="51"/>
  <c r="AI19" i="51" s="1"/>
  <c r="AG89" i="51"/>
  <c r="AH89" i="51"/>
  <c r="AI89" i="51" s="1"/>
  <c r="AG46" i="51"/>
  <c r="AH46" i="51"/>
  <c r="AI46" i="51" s="1"/>
  <c r="AG250" i="51"/>
  <c r="AH250" i="51"/>
  <c r="AI250" i="51" s="1"/>
  <c r="AG39" i="51"/>
  <c r="AH39" i="51"/>
  <c r="AI39" i="51" s="1"/>
  <c r="AG125" i="51"/>
  <c r="AH125" i="51"/>
  <c r="AI125" i="51" s="1"/>
  <c r="AG217" i="51"/>
  <c r="AH217" i="51"/>
  <c r="AI217" i="51" s="1"/>
  <c r="AG163" i="51"/>
  <c r="AH163" i="51"/>
  <c r="AI163" i="51" s="1"/>
  <c r="AG220" i="51"/>
  <c r="AH220" i="51"/>
  <c r="AI220" i="51" s="1"/>
  <c r="AG126" i="51"/>
  <c r="AH126" i="51"/>
  <c r="AI126" i="51" s="1"/>
  <c r="AG168" i="51"/>
  <c r="AH168" i="51"/>
  <c r="AI168" i="51" s="1"/>
  <c r="AG135" i="51"/>
  <c r="AH135" i="51"/>
  <c r="AI135" i="51" s="1"/>
  <c r="AG104" i="51"/>
  <c r="AH104" i="51"/>
  <c r="AI104" i="51" s="1"/>
  <c r="AG51" i="51"/>
  <c r="AH51" i="51"/>
  <c r="AI51" i="51" s="1"/>
  <c r="AG191" i="51"/>
  <c r="AH191" i="51"/>
  <c r="AI191" i="51" s="1"/>
  <c r="AG27" i="51"/>
  <c r="AH27" i="51"/>
  <c r="AI27" i="51" s="1"/>
  <c r="AG241" i="51"/>
  <c r="AH241" i="51"/>
  <c r="AI241" i="51" s="1"/>
  <c r="AG73" i="51"/>
  <c r="AH73" i="51"/>
  <c r="AI73" i="51" s="1"/>
  <c r="AG232" i="51"/>
  <c r="AH232" i="51"/>
  <c r="AI232" i="51" s="1"/>
  <c r="AG97" i="51"/>
  <c r="AH97" i="51"/>
  <c r="AI97" i="51" s="1"/>
  <c r="AG16" i="51"/>
  <c r="AH16" i="51"/>
  <c r="AI16" i="51" s="1"/>
  <c r="AG32" i="51"/>
  <c r="AH32" i="51"/>
  <c r="AI32" i="51" s="1"/>
  <c r="AG122" i="51"/>
  <c r="AH122" i="51"/>
  <c r="AI122" i="51" s="1"/>
  <c r="AG77" i="51"/>
  <c r="AH77" i="51"/>
  <c r="AI77" i="51" s="1"/>
  <c r="AG244" i="51"/>
  <c r="AH244" i="51"/>
  <c r="AI244" i="51" s="1"/>
  <c r="AG249" i="51"/>
  <c r="AH249" i="51"/>
  <c r="AI249" i="51" s="1"/>
  <c r="AG52" i="51"/>
  <c r="AH52" i="51"/>
  <c r="AI52" i="51" s="1"/>
  <c r="AG181" i="51"/>
  <c r="AH181" i="51"/>
  <c r="AI181" i="51" s="1"/>
  <c r="AG183" i="51"/>
  <c r="AH183" i="51"/>
  <c r="AI183" i="51" s="1"/>
  <c r="AG152" i="51"/>
  <c r="AH152" i="51"/>
  <c r="AI152" i="51" s="1"/>
  <c r="AG112" i="51"/>
  <c r="AH112" i="51"/>
  <c r="AI112" i="51" s="1"/>
  <c r="AG212" i="51"/>
  <c r="AH212" i="51"/>
  <c r="AI212" i="51" s="1"/>
  <c r="AG113" i="51"/>
  <c r="AH113" i="51"/>
  <c r="AI113" i="51" s="1"/>
  <c r="AG200" i="51"/>
  <c r="AH200" i="51"/>
  <c r="AI200" i="51" s="1"/>
  <c r="AG213" i="51"/>
  <c r="AH213" i="51"/>
  <c r="AI213" i="51" s="1"/>
  <c r="AG215" i="51"/>
  <c r="AH215" i="51"/>
  <c r="AI215" i="51" s="1"/>
  <c r="AG14" i="51"/>
  <c r="AH14" i="51"/>
  <c r="AI14" i="51" s="1"/>
  <c r="AG243" i="51"/>
  <c r="AH243" i="51"/>
  <c r="AI243" i="51" s="1"/>
  <c r="AG5" i="51"/>
  <c r="AH5" i="51"/>
  <c r="AI5" i="51" s="1"/>
  <c r="AG245" i="51"/>
  <c r="AH245" i="51"/>
  <c r="AI245" i="51" s="1"/>
  <c r="AG225" i="51"/>
  <c r="AH225" i="51"/>
  <c r="AI225" i="51" s="1"/>
  <c r="AG178" i="51"/>
  <c r="AG230" i="51"/>
  <c r="AH230" i="51"/>
  <c r="AI230" i="51" s="1"/>
  <c r="AG106" i="51"/>
  <c r="AH106" i="51"/>
  <c r="AI106" i="51" s="1"/>
  <c r="AG3" i="51"/>
  <c r="AH3" i="51"/>
  <c r="AI3" i="51" s="1"/>
  <c r="AG15" i="51"/>
  <c r="AH15" i="51"/>
  <c r="AI15" i="51" s="1"/>
  <c r="AG170" i="51"/>
  <c r="AH170" i="51"/>
  <c r="AI170" i="51" s="1"/>
  <c r="AG33" i="51"/>
  <c r="AH33" i="51"/>
  <c r="AI33" i="51" s="1"/>
  <c r="AG108" i="51"/>
  <c r="AH108" i="51"/>
  <c r="AI108" i="51" s="1"/>
  <c r="AG185" i="51"/>
  <c r="AH185" i="51"/>
  <c r="AI185" i="51" s="1"/>
  <c r="AG188" i="51"/>
  <c r="AH188" i="51"/>
  <c r="AI188" i="51" s="1"/>
  <c r="AG68" i="51"/>
  <c r="AH68" i="51"/>
  <c r="AI68" i="51" s="1"/>
  <c r="AG221" i="51"/>
  <c r="AH221" i="51"/>
  <c r="AI221" i="51" s="1"/>
  <c r="AG66" i="51"/>
  <c r="AH66" i="51"/>
  <c r="AI66" i="51" s="1"/>
  <c r="AH207" i="51"/>
  <c r="AI207" i="51" s="1"/>
  <c r="AG207" i="51"/>
  <c r="AH117" i="51"/>
  <c r="AI117" i="51" s="1"/>
  <c r="AG117" i="51"/>
  <c r="AG227" i="51"/>
  <c r="AH227" i="51"/>
  <c r="AI227" i="51" s="1"/>
  <c r="AH177" i="51"/>
  <c r="AI177" i="51" s="1"/>
  <c r="AG177" i="51"/>
  <c r="AG203" i="51"/>
  <c r="AH203" i="51"/>
  <c r="AI203" i="51" s="1"/>
  <c r="AG85" i="51"/>
  <c r="AH85" i="51"/>
  <c r="AI85" i="51" s="1"/>
  <c r="AG167" i="51"/>
  <c r="AH167" i="51"/>
  <c r="AI167" i="51" s="1"/>
  <c r="AG251" i="51"/>
  <c r="AH251" i="51"/>
  <c r="AI251" i="51" s="1"/>
  <c r="AG128" i="51"/>
  <c r="AH128" i="51"/>
  <c r="AI128" i="51" s="1"/>
  <c r="AG54" i="51"/>
  <c r="AH54" i="51"/>
  <c r="AI54" i="51" s="1"/>
  <c r="AG4" i="51"/>
  <c r="AH4" i="51"/>
  <c r="AI4" i="51" s="1"/>
  <c r="AG98" i="51"/>
  <c r="AH98" i="51"/>
  <c r="AI98" i="51" s="1"/>
  <c r="AG72" i="51"/>
  <c r="AH72" i="51"/>
  <c r="AI72" i="51" s="1"/>
  <c r="AG44" i="51"/>
  <c r="AH44" i="51"/>
  <c r="AI44" i="51" s="1"/>
  <c r="AG159" i="51"/>
  <c r="AH159" i="51"/>
  <c r="AI159" i="51" s="1"/>
  <c r="AG222" i="51"/>
  <c r="AH222" i="51"/>
  <c r="AI222" i="51" s="1"/>
  <c r="AG22" i="51"/>
  <c r="AH22" i="51"/>
  <c r="AI22" i="51" s="1"/>
  <c r="AG171" i="51"/>
  <c r="AH171" i="51"/>
  <c r="AI171" i="51" s="1"/>
  <c r="AG87" i="51"/>
  <c r="AH87" i="51"/>
  <c r="AI87" i="51" s="1"/>
  <c r="AG103" i="51"/>
  <c r="AH103" i="51"/>
  <c r="AI103" i="51" s="1"/>
  <c r="AG29" i="51"/>
  <c r="AH29" i="51"/>
  <c r="AI29" i="51" s="1"/>
  <c r="AG129" i="51"/>
  <c r="AH129" i="51"/>
  <c r="AI129" i="51" s="1"/>
  <c r="AG202" i="51"/>
  <c r="AH202" i="51"/>
  <c r="AI202" i="51" s="1"/>
  <c r="AG26" i="51"/>
  <c r="AH26" i="51"/>
  <c r="AI26" i="51" s="1"/>
  <c r="AH58" i="51"/>
  <c r="AI58" i="51" s="1"/>
  <c r="AG58" i="51"/>
  <c r="AG2" i="51"/>
  <c r="AF239" i="51"/>
  <c r="AH239" i="51" s="1"/>
  <c r="AI239" i="51" s="1"/>
  <c r="AF154" i="51"/>
  <c r="AH154" i="51" s="1"/>
  <c r="AI154" i="51" s="1"/>
  <c r="AF196" i="51"/>
  <c r="AH196" i="51" s="1"/>
  <c r="AI196" i="51" s="1"/>
  <c r="AF114" i="51"/>
  <c r="AH114" i="51" s="1"/>
  <c r="AI114" i="51" s="1"/>
  <c r="AF133" i="51"/>
  <c r="AH133" i="51" s="1"/>
  <c r="AI133" i="51" s="1"/>
  <c r="AF199" i="51"/>
  <c r="AH199" i="51" s="1"/>
  <c r="AI199" i="51" s="1"/>
  <c r="AF41" i="51"/>
  <c r="AF86" i="51"/>
  <c r="AH86" i="51" s="1"/>
  <c r="AI86" i="51" s="1"/>
  <c r="J2" i="62"/>
  <c r="AG121" i="51" l="1"/>
  <c r="AG17" i="51"/>
  <c r="AH143" i="51"/>
  <c r="AI143" i="51" s="1"/>
  <c r="AH192" i="51"/>
  <c r="AI192" i="51" s="1"/>
  <c r="AH131" i="51"/>
  <c r="AI131" i="51" s="1"/>
  <c r="AH132" i="51"/>
  <c r="AI132" i="51" s="1"/>
  <c r="AH214" i="51"/>
  <c r="AI214" i="51" s="1"/>
  <c r="AH67" i="51"/>
  <c r="AI67" i="51" s="1"/>
  <c r="AG67" i="51"/>
  <c r="AH80" i="51"/>
  <c r="AI80" i="51" s="1"/>
  <c r="AG80" i="51"/>
  <c r="AG189" i="51"/>
  <c r="AG229" i="51"/>
  <c r="AG164" i="51"/>
  <c r="AG226" i="51"/>
  <c r="AG151" i="51"/>
  <c r="AG47" i="51"/>
  <c r="AG75" i="51"/>
  <c r="AG84" i="51"/>
  <c r="AH10" i="51"/>
  <c r="AI10" i="51" s="1"/>
  <c r="AG49" i="51"/>
  <c r="AG90" i="51"/>
  <c r="AG30" i="51"/>
  <c r="AG7" i="51"/>
  <c r="AG42" i="51"/>
  <c r="AG11" i="51"/>
  <c r="AG105" i="51"/>
  <c r="AG148" i="51"/>
  <c r="AG198" i="51"/>
  <c r="AG74" i="51"/>
  <c r="AG107" i="51"/>
  <c r="AG36" i="51"/>
  <c r="AH12" i="51"/>
  <c r="AI12" i="51" s="1"/>
  <c r="AG12" i="51"/>
  <c r="AG65" i="51"/>
  <c r="AH65" i="51"/>
  <c r="AI65" i="51" s="1"/>
  <c r="AH70" i="51"/>
  <c r="AI70" i="51" s="1"/>
  <c r="AG70" i="51"/>
  <c r="AH130" i="51"/>
  <c r="AI130" i="51" s="1"/>
  <c r="AG130" i="51"/>
  <c r="AH238" i="51"/>
  <c r="AI238" i="51" s="1"/>
  <c r="AG238" i="51"/>
  <c r="AH211" i="51"/>
  <c r="AI211" i="51" s="1"/>
  <c r="AG211" i="51"/>
  <c r="AG92" i="51"/>
  <c r="AH92" i="51"/>
  <c r="AI92" i="51" s="1"/>
  <c r="AH56" i="51"/>
  <c r="AI56" i="51" s="1"/>
  <c r="AG56" i="51"/>
  <c r="AH134" i="51"/>
  <c r="AI134" i="51" s="1"/>
  <c r="AG134" i="51"/>
  <c r="AH96" i="51"/>
  <c r="AI96" i="51" s="1"/>
  <c r="AG96" i="51"/>
  <c r="AH69" i="51"/>
  <c r="AI69" i="51" s="1"/>
  <c r="AG69" i="51"/>
  <c r="AH18" i="51"/>
  <c r="AI18" i="51" s="1"/>
  <c r="AG18" i="51"/>
  <c r="AG237" i="51"/>
  <c r="AH237" i="51"/>
  <c r="AI237" i="51" s="1"/>
  <c r="AH174" i="51"/>
  <c r="AI174" i="51" s="1"/>
  <c r="AG174" i="51"/>
  <c r="AH140" i="51"/>
  <c r="AI140" i="51" s="1"/>
  <c r="AG140" i="51"/>
  <c r="AG71" i="51"/>
  <c r="AH71" i="51"/>
  <c r="AI71" i="51" s="1"/>
  <c r="AG169" i="51"/>
  <c r="AH169" i="51"/>
  <c r="AI169" i="51" s="1"/>
  <c r="AH187" i="51"/>
  <c r="AI187" i="51" s="1"/>
  <c r="AG187" i="51"/>
  <c r="AH55" i="51"/>
  <c r="AI55" i="51" s="1"/>
  <c r="AG55" i="51"/>
  <c r="AH240" i="51"/>
  <c r="AI240" i="51" s="1"/>
  <c r="AG240" i="51"/>
  <c r="AH24" i="51"/>
  <c r="AI24" i="51" s="1"/>
  <c r="AG24" i="51"/>
  <c r="AH210" i="51"/>
  <c r="AI210" i="51" s="1"/>
  <c r="AG210" i="51"/>
  <c r="AH145" i="51"/>
  <c r="AI145" i="51" s="1"/>
  <c r="AG145" i="51"/>
  <c r="AH109" i="51"/>
  <c r="AI109" i="51" s="1"/>
  <c r="AG109" i="51"/>
  <c r="AG13" i="51"/>
  <c r="AH13" i="51"/>
  <c r="AI13" i="51" s="1"/>
  <c r="AH94" i="51"/>
  <c r="AI94" i="51" s="1"/>
  <c r="AG94" i="51"/>
  <c r="AH172" i="51"/>
  <c r="AI172" i="51" s="1"/>
  <c r="AG172" i="51"/>
  <c r="AH57" i="51"/>
  <c r="AI57" i="51" s="1"/>
  <c r="AG57" i="51"/>
  <c r="AH182" i="51"/>
  <c r="AI182" i="51" s="1"/>
  <c r="AG182" i="51"/>
  <c r="AH162" i="51"/>
  <c r="AI162" i="51" s="1"/>
  <c r="AG162" i="51"/>
  <c r="AH146" i="51"/>
  <c r="AI146" i="51" s="1"/>
  <c r="AG146" i="51"/>
  <c r="AH209" i="51"/>
  <c r="AI209" i="51" s="1"/>
  <c r="AG209" i="51"/>
  <c r="AG53" i="51"/>
  <c r="AH53" i="51"/>
  <c r="AI53" i="51" s="1"/>
  <c r="AH100" i="51"/>
  <c r="AI100" i="51" s="1"/>
  <c r="AH21" i="51"/>
  <c r="AI21" i="51" s="1"/>
  <c r="AH218" i="51"/>
  <c r="AI218" i="51" s="1"/>
  <c r="AH127" i="51"/>
  <c r="AI127" i="51" s="1"/>
  <c r="AG127" i="51"/>
  <c r="AG37" i="51"/>
  <c r="AH37" i="51"/>
  <c r="AI37" i="51" s="1"/>
  <c r="AH95" i="51"/>
  <c r="AI95" i="51" s="1"/>
  <c r="AG95" i="51"/>
  <c r="AG224" i="51"/>
  <c r="AH224" i="51"/>
  <c r="AI224" i="51" s="1"/>
  <c r="AH110" i="51"/>
  <c r="AI110" i="51" s="1"/>
  <c r="AG110" i="51"/>
  <c r="AH234" i="51"/>
  <c r="AI234" i="51" s="1"/>
  <c r="AG234" i="51"/>
  <c r="AH208" i="51"/>
  <c r="AI208" i="51" s="1"/>
  <c r="AG208" i="51"/>
  <c r="AH155" i="51"/>
  <c r="AI155" i="51" s="1"/>
  <c r="AG155" i="51"/>
  <c r="AH190" i="51"/>
  <c r="AI190" i="51" s="1"/>
  <c r="AG190" i="51"/>
  <c r="AH149" i="51"/>
  <c r="AI149" i="51" s="1"/>
  <c r="AG149" i="51"/>
  <c r="AG144" i="51"/>
  <c r="AG20" i="51"/>
  <c r="AG197" i="51"/>
  <c r="AH40" i="51"/>
  <c r="AI40" i="51" s="1"/>
  <c r="AG40" i="51"/>
  <c r="AH50" i="51"/>
  <c r="AI50" i="51" s="1"/>
  <c r="AH137" i="51"/>
  <c r="AI137" i="51" s="1"/>
  <c r="AH118" i="51"/>
  <c r="AI118" i="51" s="1"/>
  <c r="AH6" i="51"/>
  <c r="AI6" i="51" s="1"/>
  <c r="AH38" i="51"/>
  <c r="AI38" i="51" s="1"/>
  <c r="AH81" i="51"/>
  <c r="AI81" i="51" s="1"/>
  <c r="AH176" i="51"/>
  <c r="AI176" i="51" s="1"/>
  <c r="AG176" i="51"/>
  <c r="AH101" i="51"/>
  <c r="AI101" i="51" s="1"/>
  <c r="AH147" i="51"/>
  <c r="AI147" i="51" s="1"/>
  <c r="AH91" i="51"/>
  <c r="AI91" i="51" s="1"/>
  <c r="AH99" i="51"/>
  <c r="AI99" i="51" s="1"/>
  <c r="AG99" i="51"/>
  <c r="AG93" i="51"/>
  <c r="AG88" i="51"/>
  <c r="AG115" i="51"/>
  <c r="AG235" i="51"/>
  <c r="AG246" i="51"/>
  <c r="AG9" i="51"/>
  <c r="AG23" i="51"/>
  <c r="AG111" i="51"/>
  <c r="AG43" i="51"/>
  <c r="AG156" i="51"/>
  <c r="AG60" i="51"/>
  <c r="AG205" i="51"/>
  <c r="AH205" i="51"/>
  <c r="AI205" i="51" s="1"/>
  <c r="AH153" i="51"/>
  <c r="AI153" i="51" s="1"/>
  <c r="AG153" i="51"/>
  <c r="AH248" i="51"/>
  <c r="AI248" i="51" s="1"/>
  <c r="AG248" i="51"/>
  <c r="AH35" i="51"/>
  <c r="AI35" i="51" s="1"/>
  <c r="AG35" i="51"/>
  <c r="AH79" i="51"/>
  <c r="AI79" i="51" s="1"/>
  <c r="AG79" i="51"/>
  <c r="AH116" i="51"/>
  <c r="AI116" i="51" s="1"/>
  <c r="AG116" i="51"/>
  <c r="AH228" i="51"/>
  <c r="AI228" i="51" s="1"/>
  <c r="AG228" i="51"/>
  <c r="AH231" i="51"/>
  <c r="AI231" i="51" s="1"/>
  <c r="AG231" i="51"/>
  <c r="AH195" i="51"/>
  <c r="AI195" i="51" s="1"/>
  <c r="AG195" i="51"/>
  <c r="AH193" i="51"/>
  <c r="AI193" i="51" s="1"/>
  <c r="AG193" i="51"/>
  <c r="AH120" i="51"/>
  <c r="AI120" i="51" s="1"/>
  <c r="AG120" i="51"/>
  <c r="AH59" i="51"/>
  <c r="AI59" i="51" s="1"/>
  <c r="AG59" i="51"/>
  <c r="AH150" i="51"/>
  <c r="AI150" i="51" s="1"/>
  <c r="AG150" i="51"/>
  <c r="AJ2" i="51"/>
  <c r="AH41" i="51"/>
  <c r="AI41" i="51" s="1"/>
  <c r="AG199" i="51"/>
  <c r="AG196" i="51"/>
  <c r="AG86" i="51"/>
  <c r="AG154" i="51"/>
  <c r="AG239" i="51"/>
  <c r="AG133" i="51"/>
  <c r="AG41" i="51"/>
  <c r="AG114" i="5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<sst xmlns="http://schemas.openxmlformats.org/spreadsheetml/2006/main" count="10249" uniqueCount="214">
  <si>
    <t>min</t>
  </si>
  <si>
    <t>Q1 (lower hinge)</t>
  </si>
  <si>
    <t>Median (mid-hinge)</t>
  </si>
  <si>
    <t>Q3 (upper hinge)</t>
  </si>
  <si>
    <t>max</t>
  </si>
  <si>
    <t>CustomerID</t>
  </si>
  <si>
    <t>Age</t>
  </si>
  <si>
    <t>Tenure</t>
  </si>
  <si>
    <t>MonthlyCharges</t>
  </si>
  <si>
    <t>SupportTickets</t>
  </si>
  <si>
    <t>ServiceUsage</t>
  </si>
  <si>
    <t>SatisfactionScore</t>
  </si>
  <si>
    <t>TotalSpend</t>
  </si>
  <si>
    <t>Churn</t>
  </si>
  <si>
    <t>Gender</t>
  </si>
  <si>
    <t>Female</t>
  </si>
  <si>
    <t>Male</t>
  </si>
  <si>
    <t>ContractType</t>
  </si>
  <si>
    <t>1-Year</t>
  </si>
  <si>
    <t>2-Year</t>
  </si>
  <si>
    <t>Month-to-Month</t>
  </si>
  <si>
    <t>PaymentMethod</t>
  </si>
  <si>
    <t>Bank Transfer</t>
  </si>
  <si>
    <t>Credit Card</t>
  </si>
  <si>
    <t>PayPal</t>
  </si>
  <si>
    <t>SIQR</t>
  </si>
  <si>
    <t>X_no</t>
  </si>
  <si>
    <t>X_yes</t>
  </si>
  <si>
    <t>No churn</t>
  </si>
  <si>
    <t>X</t>
  </si>
  <si>
    <t>Y</t>
  </si>
  <si>
    <t>LowSatCol</t>
  </si>
  <si>
    <t>HighChargeCol</t>
  </si>
  <si>
    <t>(B) LowSat &amp; HighCharge</t>
  </si>
  <si>
    <t>(A) LowSat &amp; Charge &lt; Q3</t>
  </si>
  <si>
    <t>(D) HighSat &amp; HighCharge</t>
  </si>
  <si>
    <t xml:space="preserve">
(C) HighSat &amp; Charge &lt; Q3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</si>
  <si>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</si>
  <si>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</si>
  <si>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</si>
  <si>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</si>
  <si>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</si>
  <si>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</si>
  <si>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</si>
  <si>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</si>
  <si>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</si>
  <si>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</si>
  <si>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</si>
  <si>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</si>
  <si>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</si>
  <si>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</si>
  <si>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</si>
  <si>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</si>
  <si>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</si>
  <si>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</si>
  <si>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</si>
  <si>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</si>
  <si>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</si>
  <si>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</si>
  <si>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</si>
  <si>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</si>
  <si>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TP</t>
  </si>
  <si>
    <t>FP</t>
  </si>
  <si>
    <t>TN</t>
  </si>
  <si>
    <t>FN</t>
  </si>
  <si>
    <t>Recall</t>
  </si>
  <si>
    <t>Yes</t>
  </si>
  <si>
    <t>No</t>
  </si>
  <si>
    <t>No Churn</t>
  </si>
  <si>
    <t>Churners</t>
  </si>
  <si>
    <t>Metric</t>
  </si>
  <si>
    <t>NoChurn</t>
  </si>
  <si>
    <t>SaticsfactionScore</t>
  </si>
  <si>
    <t>Q1</t>
  </si>
  <si>
    <t>Median</t>
  </si>
  <si>
    <t>Q3</t>
  </si>
  <si>
    <t>Count</t>
  </si>
  <si>
    <t>Sum of Churn</t>
  </si>
  <si>
    <t>Mean</t>
  </si>
  <si>
    <t>std</t>
  </si>
  <si>
    <t>Nochurn</t>
  </si>
  <si>
    <t>Month to Month</t>
  </si>
  <si>
    <t>Row Labels</t>
  </si>
  <si>
    <t>Grand Total</t>
  </si>
  <si>
    <t>%</t>
  </si>
  <si>
    <t>Paypal</t>
  </si>
  <si>
    <t>TenureBand</t>
  </si>
  <si>
    <t>SatBand</t>
  </si>
  <si>
    <t>UsageBand</t>
  </si>
  <si>
    <t>&gt;24m</t>
  </si>
  <si>
    <t>0–3m</t>
  </si>
  <si>
    <t>13–24m</t>
  </si>
  <si>
    <t>4–6m</t>
  </si>
  <si>
    <t>7–12m</t>
  </si>
  <si>
    <t>1–4</t>
  </si>
  <si>
    <t>5–6</t>
  </si>
  <si>
    <t>7–8</t>
  </si>
  <si>
    <t>9–10</t>
  </si>
  <si>
    <t>High</t>
  </si>
  <si>
    <t>Low</t>
  </si>
  <si>
    <t>Mid-High</t>
  </si>
  <si>
    <t>Average of Churn</t>
  </si>
  <si>
    <t>Count of CustomerID</t>
  </si>
  <si>
    <t>Average Churn</t>
  </si>
  <si>
    <t>Lift</t>
  </si>
  <si>
    <t>Churn rate</t>
  </si>
  <si>
    <t>TenureBucket</t>
  </si>
  <si>
    <t>0-3m</t>
  </si>
  <si>
    <t>4-6m</t>
  </si>
  <si>
    <t>13-24m</t>
  </si>
  <si>
    <t>7-12m</t>
  </si>
  <si>
    <t>Customers</t>
  </si>
  <si>
    <t>&gt;24</t>
  </si>
  <si>
    <t>Coverage</t>
  </si>
  <si>
    <t>SatisfactionBand</t>
  </si>
  <si>
    <t>1-4</t>
  </si>
  <si>
    <t>5-6</t>
  </si>
  <si>
    <t>7-8</t>
  </si>
  <si>
    <t>9-10</t>
  </si>
  <si>
    <t>MonthlyQ</t>
  </si>
  <si>
    <t>MonthQ</t>
  </si>
  <si>
    <t>Q4</t>
  </si>
  <si>
    <t>Q2</t>
  </si>
  <si>
    <t>UsageQ</t>
  </si>
  <si>
    <t>Mid-Low</t>
  </si>
  <si>
    <t>1-year</t>
  </si>
  <si>
    <t>2-year</t>
  </si>
  <si>
    <t>Month to month</t>
  </si>
  <si>
    <t>Split</t>
  </si>
  <si>
    <t>Tenure_Bin</t>
  </si>
  <si>
    <t>Monthly_Bin</t>
  </si>
  <si>
    <t>Satis_Bin</t>
  </si>
  <si>
    <t>Usage_Bin</t>
  </si>
  <si>
    <t>Test</t>
  </si>
  <si>
    <t>Train</t>
  </si>
  <si>
    <t>&lt;6</t>
  </si>
  <si>
    <t>&gt;=24</t>
  </si>
  <si>
    <t>12-24</t>
  </si>
  <si>
    <t>6-12</t>
  </si>
  <si>
    <t>&lt;30</t>
  </si>
  <si>
    <t>&gt;=90</t>
  </si>
  <si>
    <t>30-60</t>
  </si>
  <si>
    <t>60-90</t>
  </si>
  <si>
    <t>&lt;20</t>
  </si>
  <si>
    <t>&gt;=80</t>
  </si>
  <si>
    <t>20-40</t>
  </si>
  <si>
    <t>40-80</t>
  </si>
  <si>
    <t>1-3</t>
  </si>
  <si>
    <t>4-6</t>
  </si>
  <si>
    <t>7-10</t>
  </si>
  <si>
    <t>Contract_Key</t>
  </si>
  <si>
    <t xml:space="preserve">Tenure_Key </t>
  </si>
  <si>
    <t xml:space="preserve">Satis_Key  </t>
  </si>
  <si>
    <t>Monthly_Key</t>
  </si>
  <si>
    <t xml:space="preserve">Usage_Key  </t>
  </si>
  <si>
    <t>Contract_Pts</t>
  </si>
  <si>
    <t>Score</t>
  </si>
  <si>
    <t>Key</t>
  </si>
  <si>
    <t>ContractType|Month-to-Month</t>
  </si>
  <si>
    <t>ContractType|1-Year</t>
  </si>
  <si>
    <t>ContractType|2-Year</t>
  </si>
  <si>
    <t>Tenure_Pts</t>
  </si>
  <si>
    <t xml:space="preserve">Satis_Pts </t>
  </si>
  <si>
    <t xml:space="preserve">Monthly_Pts </t>
  </si>
  <si>
    <t xml:space="preserve">Usage_Pts </t>
  </si>
  <si>
    <t xml:space="preserve">TotalScore </t>
  </si>
  <si>
    <t>PredictedClass</t>
  </si>
  <si>
    <t>PredictedChurn</t>
  </si>
  <si>
    <t>PredFlag</t>
  </si>
  <si>
    <t>Accuracy</t>
  </si>
  <si>
    <t>Precision</t>
  </si>
  <si>
    <t>F1</t>
  </si>
  <si>
    <t>Threshold</t>
  </si>
  <si>
    <t>Thresholds</t>
  </si>
  <si>
    <t>Tenure_Bin|&gt;=24</t>
  </si>
  <si>
    <t>Satis_Bin|1-3</t>
  </si>
  <si>
    <t>Monthly_Bin|&gt;=90</t>
  </si>
  <si>
    <t>Usage_Bin|&lt;20</t>
  </si>
  <si>
    <t>Tenure_Bin|12-24</t>
  </si>
  <si>
    <t>Monthly_Bin|30-60</t>
  </si>
  <si>
    <t>Usage_Bin|40-80</t>
  </si>
  <si>
    <t>Monthly_Bin|60-90</t>
  </si>
  <si>
    <t>Medium</t>
  </si>
  <si>
    <t>Satis_Bin|4-6</t>
  </si>
  <si>
    <t>Usage_Bin|20-40</t>
  </si>
  <si>
    <t>Satis_Bin|7-10</t>
  </si>
  <si>
    <t>Tenure_Bin|6-12</t>
  </si>
  <si>
    <t>Monthly_Bin|&lt;30</t>
  </si>
  <si>
    <t>Usage_Bin|&gt;=80</t>
  </si>
  <si>
    <t>Tenure_Bin|&lt;6</t>
  </si>
  <si>
    <t>PredictedProb</t>
  </si>
  <si>
    <t>N (Train)</t>
  </si>
  <si>
    <t>ChurnYes</t>
  </si>
  <si>
    <t>BaseChurn</t>
  </si>
  <si>
    <t>RawRate</t>
  </si>
  <si>
    <t>SmoothedRate</t>
  </si>
  <si>
    <t>Score_Bin</t>
  </si>
  <si>
    <t>CumN</t>
  </si>
  <si>
    <t>CumChurnYes</t>
  </si>
  <si>
    <t>MonoRate</t>
  </si>
  <si>
    <t xml:space="preserve">RiskRank </t>
  </si>
  <si>
    <t>RiskTier</t>
  </si>
  <si>
    <t>X_Yes</t>
  </si>
  <si>
    <t>X_No</t>
  </si>
  <si>
    <t>MonthlyChargeNoChurn</t>
  </si>
  <si>
    <t>MonthlyChargeChurn</t>
  </si>
  <si>
    <t>UsageNoChurn</t>
  </si>
  <si>
    <t>UsageChurn</t>
  </si>
  <si>
    <t>SPChurn</t>
  </si>
  <si>
    <t>AgeNoChurn</t>
  </si>
  <si>
    <t>AgeChurn</t>
  </si>
  <si>
    <t>Customer Risk List</t>
  </si>
  <si>
    <t>(blank)</t>
  </si>
  <si>
    <t>Thre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</si>
</sst>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_);[Red]\(&quot;£&quot;#,##0.00\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1" fillId="0" borderId="0" xfId="0" applyFont="1"/>
    <xf numFmtId="8" fontId="0" fillId="0" borderId="0" xfId="0" applyNumberFormat="1"/>
    <xf numFmtId="0" fontId="0" fillId="0" borderId="0" xfId="0" applyAlignment="1">
      <alignment wrapText="1"/>
    </xf>
    <xf numFmtId="9" fontId="0" fillId="0" borderId="0" xfId="1" applyFont="1"/>
    <xf numFmtId="0" fontId="0" fillId="0" borderId="2" xfId="0" applyBorder="1"/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Continuous"/>
    </xf>
    <xf numFmtId="0" fontId="0" fillId="2" borderId="0" xfId="0" applyFill="1"/>
    <xf numFmtId="2" fontId="5" fillId="0" borderId="3" xfId="0" applyNumberFormat="1" applyFont="1" applyBorder="1" applyAlignment="1">
      <alignment horizontal="center"/>
    </xf>
    <xf numFmtId="2" fontId="0" fillId="0" borderId="0" xfId="0" applyNumberFormat="1"/>
    <xf numFmtId="2" fontId="0" fillId="0" borderId="2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/>
    <xf numFmtId="9" fontId="0" fillId="0" borderId="1" xfId="1" applyFont="1" applyBorder="1"/>
    <xf numFmtId="9" fontId="0" fillId="0" borderId="1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3" borderId="1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Border="1"/>
    <xf numFmtId="9" fontId="0" fillId="0" borderId="8" xfId="1" applyFont="1" applyBorder="1"/>
    <xf numFmtId="2" fontId="0" fillId="0" borderId="8" xfId="0" applyNumberFormat="1" applyBorder="1"/>
    <xf numFmtId="0" fontId="2" fillId="0" borderId="0" xfId="0" applyFont="1" applyAlignment="1">
      <alignment horizontal="left"/>
    </xf>
    <xf numFmtId="9" fontId="2" fillId="0" borderId="0" xfId="0" applyNumberFormat="1" applyFont="1" applyAlignment="1">
      <alignment horizontal="left"/>
    </xf>
    <xf numFmtId="49" fontId="0" fillId="0" borderId="0" xfId="0" applyNumberFormat="1"/>
    <xf numFmtId="2" fontId="2" fillId="0" borderId="0" xfId="0" applyNumberFormat="1" applyFont="1" applyAlignment="1">
      <alignment horizontal="left"/>
    </xf>
    <xf numFmtId="0" fontId="7" fillId="4" borderId="1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10" xfId="0" applyFont="1" applyBorder="1"/>
    <xf numFmtId="9" fontId="2" fillId="0" borderId="10" xfId="0" applyNumberFormat="1" applyFont="1" applyBorder="1"/>
    <xf numFmtId="2" fontId="2" fillId="0" borderId="10" xfId="0" applyNumberFormat="1" applyFont="1" applyBorder="1"/>
    <xf numFmtId="0" fontId="7" fillId="4" borderId="8" xfId="0" applyFont="1" applyFill="1" applyBorder="1" applyAlignment="1">
      <alignment horizontal="center"/>
    </xf>
    <xf numFmtId="9" fontId="0" fillId="0" borderId="8" xfId="0" applyNumberFormat="1" applyBorder="1"/>
    <xf numFmtId="2" fontId="0" fillId="0" borderId="8" xfId="1" applyNumberFormat="1" applyFont="1" applyBorder="1"/>
    <xf numFmtId="0" fontId="6" fillId="3" borderId="8" xfId="0" applyFont="1" applyFill="1" applyBorder="1" applyAlignment="1">
      <alignment horizontal="center" vertical="center"/>
    </xf>
    <xf numFmtId="1" fontId="0" fillId="0" borderId="0" xfId="0" applyNumberFormat="1"/>
    <xf numFmtId="0" fontId="6" fillId="3" borderId="8" xfId="0" applyFont="1" applyFill="1" applyBorder="1" applyAlignment="1">
      <alignment horizontal="center" vertical="top"/>
    </xf>
    <xf numFmtId="0" fontId="0" fillId="5" borderId="0" xfId="0" applyFill="1"/>
    <xf numFmtId="0" fontId="6" fillId="5" borderId="0" xfId="0" applyFont="1" applyFill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er cent" xfId="1" builtinId="5"/>
  </cellStyles>
  <dxfs count="8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1.xml"/><Relationship Id="rId47" Type="http://schemas.openxmlformats.org/officeDocument/2006/relationships/pivotCacheDefinition" Target="pivotCache/pivotCacheDefinition6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3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2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5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Churn</a:t>
            </a:r>
            <a:r>
              <a:rPr lang="en-GB" baseline="0"/>
              <a:t> Distribution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4BF-DB4A-87DE-5E62C37AE4F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AC-A243-9D19-480CD5A1A8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 Raw Data'!$M$1:$N$1</c:f>
              <c:strCache>
                <c:ptCount val="2"/>
                <c:pt idx="0">
                  <c:v>No Churn</c:v>
                </c:pt>
                <c:pt idx="1">
                  <c:v>Churn</c:v>
                </c:pt>
              </c:strCache>
            </c:strRef>
          </c:cat>
          <c:val>
            <c:numRef>
              <c:f>'1. Raw Data'!$M$2:$N$2</c:f>
              <c:numCache>
                <c:formatCode>General</c:formatCode>
                <c:ptCount val="2"/>
                <c:pt idx="0">
                  <c:v>132</c:v>
                </c:pt>
                <c:pt idx="1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F-DB4A-87DE-5E62C37AE4F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Churn Rate by ContractType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F52-2144-A2CE-AD73DC4262D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52-2144-A2CE-AD73DC4262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'2.2 Pivot Churn rate'!$F$3:$F$5</c:f>
              <c:strCache>
                <c:ptCount val="3"/>
                <c:pt idx="0">
                  <c:v>1-Year</c:v>
                </c:pt>
                <c:pt idx="1">
                  <c:v>2-Year</c:v>
                </c:pt>
                <c:pt idx="2">
                  <c:v>Month to Month</c:v>
                </c:pt>
              </c:strCache>
            </c:strRef>
          </c:cat>
          <c:val>
            <c:numRef>
              <c:f>'2.2 Pivot Churn rate'!$G$3:$G$5</c:f>
              <c:numCache>
                <c:formatCode>0%</c:formatCode>
                <c:ptCount val="3"/>
                <c:pt idx="0">
                  <c:v>0.25</c:v>
                </c:pt>
                <c:pt idx="1">
                  <c:v>0.12</c:v>
                </c:pt>
                <c:pt idx="2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2-2144-A2CE-AD73DC4262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7446751"/>
        <c:axId val="1307421359"/>
      </c:barChart>
      <c:catAx>
        <c:axId val="130744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421359"/>
        <c:crosses val="autoZero"/>
        <c:auto val="1"/>
        <c:lblAlgn val="ctr"/>
        <c:lblOffset val="100"/>
        <c:noMultiLvlLbl val="0"/>
      </c:catAx>
      <c:valAx>
        <c:axId val="130742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44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Churn Rate by PaymentMethod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459-D847-8320-87C61C6C8A5E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59-D847-8320-87C61C6C8A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'2.2 Pivot Churn rate'!$J$3:$J$5</c:f>
              <c:strCache>
                <c:ptCount val="3"/>
                <c:pt idx="0">
                  <c:v>Bank Transfer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'2.2 Pivot Churn rate'!$K$3:$K$5</c:f>
              <c:numCache>
                <c:formatCode>0%</c:formatCode>
                <c:ptCount val="3"/>
                <c:pt idx="0">
                  <c:v>0.32</c:v>
                </c:pt>
                <c:pt idx="1">
                  <c:v>0.36</c:v>
                </c:pt>
                <c:pt idx="2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9-D847-8320-87C61C6C8A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3850351"/>
        <c:axId val="1268289535"/>
      </c:barChart>
      <c:catAx>
        <c:axId val="124385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289535"/>
        <c:crosses val="autoZero"/>
        <c:auto val="1"/>
        <c:lblAlgn val="ctr"/>
        <c:lblOffset val="100"/>
        <c:noMultiLvlLbl val="0"/>
      </c:catAx>
      <c:valAx>
        <c:axId val="1268289535"/>
        <c:scaling>
          <c:orientation val="minMax"/>
          <c:max val="0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85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'3.2 Thresholds'!$B$19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'3.2 Thresholds'!$A$20:$A$33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'3.2 Thresholds'!$B$20:$B$33</c:f>
              <c:numCache>
                <c:formatCode>General</c:formatCode>
                <c:ptCount val="14"/>
                <c:pt idx="0">
                  <c:v>0.45</c:v>
                </c:pt>
                <c:pt idx="1">
                  <c:v>0.45</c:v>
                </c:pt>
                <c:pt idx="2">
                  <c:v>0.46</c:v>
                </c:pt>
                <c:pt idx="3">
                  <c:v>0.46</c:v>
                </c:pt>
                <c:pt idx="4">
                  <c:v>0.46</c:v>
                </c:pt>
                <c:pt idx="5">
                  <c:v>0.48</c:v>
                </c:pt>
                <c:pt idx="6">
                  <c:v>0.5</c:v>
                </c:pt>
                <c:pt idx="7">
                  <c:v>0.59</c:v>
                </c:pt>
                <c:pt idx="8">
                  <c:v>0.53</c:v>
                </c:pt>
                <c:pt idx="9">
                  <c:v>0.5</c:v>
                </c:pt>
                <c:pt idx="10">
                  <c:v>0.67</c:v>
                </c:pt>
                <c:pt idx="11">
                  <c:v>0.5</c:v>
                </c:pt>
                <c:pt idx="1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2F-7E44-8583-F2A2177ED75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93324864"/>
        <c:axId val="26654944"/>
      </c:lineChart>
      <c:catAx>
        <c:axId val="39332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54944"/>
        <c:crosses val="autoZero"/>
        <c:auto val="1"/>
        <c:lblAlgn val="ctr"/>
        <c:lblOffset val="100"/>
        <c:noMultiLvlLbl val="0"/>
      </c:catAx>
      <c:valAx>
        <c:axId val="26654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32486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'3.2 Thresholds'!$J$19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'3.2 Thresholds'!$I$20:$I$33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'3.2 Thresholds'!$J$20:$J$33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0.93</c:v>
                </c:pt>
                <c:pt idx="4">
                  <c:v>0.76</c:v>
                </c:pt>
                <c:pt idx="5">
                  <c:v>0.7</c:v>
                </c:pt>
                <c:pt idx="6">
                  <c:v>0.63</c:v>
                </c:pt>
                <c:pt idx="7">
                  <c:v>0.53</c:v>
                </c:pt>
                <c:pt idx="8">
                  <c:v>0.3</c:v>
                </c:pt>
                <c:pt idx="9">
                  <c:v>0.2</c:v>
                </c:pt>
                <c:pt idx="10">
                  <c:v>6.7000000000000004E-2</c:v>
                </c:pt>
                <c:pt idx="11">
                  <c:v>0.03</c:v>
                </c:pt>
                <c:pt idx="12">
                  <c:v>0.03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75-3345-99BA-4A89775424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302509359"/>
        <c:axId val="1977014895"/>
      </c:lineChart>
      <c:catAx>
        <c:axId val="130250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014895"/>
        <c:crosses val="autoZero"/>
        <c:auto val="1"/>
        <c:lblAlgn val="ctr"/>
        <c:lblOffset val="100"/>
        <c:noMultiLvlLbl val="0"/>
      </c:catAx>
      <c:valAx>
        <c:axId val="1977014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50935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'3.2 Thresholds'!$S$18</c:f>
              <c:strCache>
                <c:ptCount val="1"/>
                <c:pt idx="0">
                  <c:v>F1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'3.2 Thresholds'!$R$19:$R$32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'3.2 Thresholds'!$S$19:$S$32</c:f>
              <c:numCache>
                <c:formatCode>General</c:formatCode>
                <c:ptCount val="14"/>
                <c:pt idx="0">
                  <c:v>0.6</c:v>
                </c:pt>
                <c:pt idx="1">
                  <c:v>0.62</c:v>
                </c:pt>
                <c:pt idx="2">
                  <c:v>0.63</c:v>
                </c:pt>
                <c:pt idx="3">
                  <c:v>0.62</c:v>
                </c:pt>
                <c:pt idx="4">
                  <c:v>0.56999999999999995</c:v>
                </c:pt>
                <c:pt idx="5">
                  <c:v>0.56999999999999995</c:v>
                </c:pt>
                <c:pt idx="6">
                  <c:v>0.56000000000000005</c:v>
                </c:pt>
                <c:pt idx="7">
                  <c:v>0.56000000000000005</c:v>
                </c:pt>
                <c:pt idx="8">
                  <c:v>0.38</c:v>
                </c:pt>
                <c:pt idx="9">
                  <c:v>0.28999999999999998</c:v>
                </c:pt>
                <c:pt idx="10">
                  <c:v>0.12</c:v>
                </c:pt>
                <c:pt idx="11">
                  <c:v>6.5000000000000002E-2</c:v>
                </c:pt>
                <c:pt idx="12">
                  <c:v>6.5000000000000002E-2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5-9C45-AFEB-7B702F005C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92143856"/>
        <c:axId val="1998407039"/>
      </c:lineChart>
      <c:catAx>
        <c:axId val="9214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407039"/>
        <c:crosses val="autoZero"/>
        <c:auto val="1"/>
        <c:lblAlgn val="ctr"/>
        <c:lblOffset val="100"/>
        <c:noMultiLvlLbl val="0"/>
      </c:catAx>
      <c:valAx>
        <c:axId val="1998407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4385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Tenure vs Sat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'2.3 Tenure &lt;&gt; Sat'!$E$1</c:f>
              <c:strCache>
                <c:ptCount val="1"/>
                <c:pt idx="0">
                  <c:v>No churn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'2.3 Tenure &lt;&gt; Sat'!$D$2:$D$251</c:f>
              <c:numCache>
                <c:formatCode>General</c:formatCode>
                <c:ptCount val="250"/>
                <c:pt idx="0">
                  <c:v>#N/A</c:v>
                </c:pt>
                <c:pt idx="1">
                  <c:v>#N/A</c:v>
                </c:pt>
                <c:pt idx="2">
                  <c:v>62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52</c:v>
                </c:pt>
                <c:pt idx="8">
                  <c:v>#N/A</c:v>
                </c:pt>
                <c:pt idx="9">
                  <c:v>70</c:v>
                </c:pt>
                <c:pt idx="10">
                  <c:v>15</c:v>
                </c:pt>
                <c:pt idx="11">
                  <c:v>54</c:v>
                </c:pt>
                <c:pt idx="12">
                  <c:v>60</c:v>
                </c:pt>
                <c:pt idx="13">
                  <c:v>#N/A</c:v>
                </c:pt>
                <c:pt idx="14">
                  <c:v>53</c:v>
                </c:pt>
                <c:pt idx="15">
                  <c:v>#N/A</c:v>
                </c:pt>
                <c:pt idx="16">
                  <c:v>5</c:v>
                </c:pt>
                <c:pt idx="17">
                  <c:v>68</c:v>
                </c:pt>
                <c:pt idx="18">
                  <c:v>#N/A</c:v>
                </c:pt>
                <c:pt idx="19">
                  <c:v>#N/A</c:v>
                </c:pt>
                <c:pt idx="20">
                  <c:v>55</c:v>
                </c:pt>
                <c:pt idx="21">
                  <c:v>#N/A</c:v>
                </c:pt>
                <c:pt idx="22">
                  <c:v>#N/A</c:v>
                </c:pt>
                <c:pt idx="23">
                  <c:v>16</c:v>
                </c:pt>
                <c:pt idx="24">
                  <c:v>13</c:v>
                </c:pt>
                <c:pt idx="25">
                  <c:v>30</c:v>
                </c:pt>
                <c:pt idx="26">
                  <c:v>19</c:v>
                </c:pt>
                <c:pt idx="27">
                  <c:v>17</c:v>
                </c:pt>
                <c:pt idx="28">
                  <c:v>63</c:v>
                </c:pt>
                <c:pt idx="29">
                  <c:v>#N/A</c:v>
                </c:pt>
                <c:pt idx="30">
                  <c:v>#N/A</c:v>
                </c:pt>
                <c:pt idx="31">
                  <c:v>55</c:v>
                </c:pt>
                <c:pt idx="32">
                  <c:v>62</c:v>
                </c:pt>
                <c:pt idx="33">
                  <c:v>#N/A</c:v>
                </c:pt>
                <c:pt idx="34">
                  <c:v>#N/A</c:v>
                </c:pt>
                <c:pt idx="35">
                  <c:v>12</c:v>
                </c:pt>
                <c:pt idx="36">
                  <c:v>1</c:v>
                </c:pt>
                <c:pt idx="37">
                  <c:v>58</c:v>
                </c:pt>
                <c:pt idx="38">
                  <c:v>#N/A</c:v>
                </c:pt>
                <c:pt idx="39">
                  <c:v>34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61</c:v>
                </c:pt>
                <c:pt idx="44">
                  <c:v>#N/A</c:v>
                </c:pt>
                <c:pt idx="45">
                  <c:v>63</c:v>
                </c:pt>
                <c:pt idx="46">
                  <c:v>69</c:v>
                </c:pt>
                <c:pt idx="47">
                  <c:v>#N/A</c:v>
                </c:pt>
                <c:pt idx="48">
                  <c:v>67</c:v>
                </c:pt>
                <c:pt idx="49">
                  <c:v>#N/A</c:v>
                </c:pt>
                <c:pt idx="50">
                  <c:v>16</c:v>
                </c:pt>
                <c:pt idx="51">
                  <c:v>51</c:v>
                </c:pt>
                <c:pt idx="52">
                  <c:v>57</c:v>
                </c:pt>
                <c:pt idx="53">
                  <c:v>29</c:v>
                </c:pt>
                <c:pt idx="54">
                  <c:v>#N/A</c:v>
                </c:pt>
                <c:pt idx="55">
                  <c:v>#N/A</c:v>
                </c:pt>
                <c:pt idx="56">
                  <c:v>62</c:v>
                </c:pt>
                <c:pt idx="57">
                  <c:v>69</c:v>
                </c:pt>
                <c:pt idx="58">
                  <c:v>#N/A</c:v>
                </c:pt>
                <c:pt idx="59">
                  <c:v>48</c:v>
                </c:pt>
                <c:pt idx="60">
                  <c:v>#N/A</c:v>
                </c:pt>
                <c:pt idx="61">
                  <c:v>33</c:v>
                </c:pt>
                <c:pt idx="62">
                  <c:v>#N/A</c:v>
                </c:pt>
                <c:pt idx="63">
                  <c:v>10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19</c:v>
                </c:pt>
                <c:pt idx="69">
                  <c:v>#N/A</c:v>
                </c:pt>
                <c:pt idx="70">
                  <c:v>1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32</c:v>
                </c:pt>
                <c:pt idx="77">
                  <c:v>24</c:v>
                </c:pt>
                <c:pt idx="78">
                  <c:v>#N/A</c:v>
                </c:pt>
                <c:pt idx="79">
                  <c:v>50</c:v>
                </c:pt>
                <c:pt idx="80">
                  <c:v>#N/A</c:v>
                </c:pt>
                <c:pt idx="81">
                  <c:v>#N/A</c:v>
                </c:pt>
                <c:pt idx="82">
                  <c:v>33</c:v>
                </c:pt>
                <c:pt idx="83">
                  <c:v>61</c:v>
                </c:pt>
                <c:pt idx="84">
                  <c:v>51</c:v>
                </c:pt>
                <c:pt idx="85">
                  <c:v>43</c:v>
                </c:pt>
                <c:pt idx="86">
                  <c:v>#N/A</c:v>
                </c:pt>
                <c:pt idx="87">
                  <c:v>67</c:v>
                </c:pt>
                <c:pt idx="88">
                  <c:v>65</c:v>
                </c:pt>
                <c:pt idx="89">
                  <c:v>#N/A</c:v>
                </c:pt>
                <c:pt idx="90">
                  <c:v>40</c:v>
                </c:pt>
                <c:pt idx="91">
                  <c:v>#N/A</c:v>
                </c:pt>
                <c:pt idx="92">
                  <c:v>#N/A</c:v>
                </c:pt>
                <c:pt idx="93">
                  <c:v>29</c:v>
                </c:pt>
                <c:pt idx="94">
                  <c:v>13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8</c:v>
                </c:pt>
                <c:pt idx="100">
                  <c:v>26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29</c:v>
                </c:pt>
                <c:pt idx="106">
                  <c:v>36</c:v>
                </c:pt>
                <c:pt idx="107">
                  <c:v>21</c:v>
                </c:pt>
                <c:pt idx="108">
                  <c:v>#N/A</c:v>
                </c:pt>
                <c:pt idx="109">
                  <c:v>10</c:v>
                </c:pt>
                <c:pt idx="110">
                  <c:v>24</c:v>
                </c:pt>
                <c:pt idx="111">
                  <c:v>64</c:v>
                </c:pt>
                <c:pt idx="112">
                  <c:v>49</c:v>
                </c:pt>
                <c:pt idx="113">
                  <c:v>#N/A</c:v>
                </c:pt>
                <c:pt idx="114">
                  <c:v>24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12</c:v>
                </c:pt>
                <c:pt idx="119">
                  <c:v>55</c:v>
                </c:pt>
                <c:pt idx="120">
                  <c:v>13</c:v>
                </c:pt>
                <c:pt idx="121">
                  <c:v>#N/A</c:v>
                </c:pt>
                <c:pt idx="122">
                  <c:v>30</c:v>
                </c:pt>
                <c:pt idx="123">
                  <c:v>17</c:v>
                </c:pt>
                <c:pt idx="124">
                  <c:v>62</c:v>
                </c:pt>
                <c:pt idx="125">
                  <c:v>13</c:v>
                </c:pt>
                <c:pt idx="126">
                  <c:v>59</c:v>
                </c:pt>
                <c:pt idx="127">
                  <c:v>19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28</c:v>
                </c:pt>
                <c:pt idx="135">
                  <c:v>#N/A</c:v>
                </c:pt>
                <c:pt idx="136">
                  <c:v>#N/A</c:v>
                </c:pt>
                <c:pt idx="137">
                  <c:v>69</c:v>
                </c:pt>
                <c:pt idx="138">
                  <c:v>12</c:v>
                </c:pt>
                <c:pt idx="139">
                  <c:v>#N/A</c:v>
                </c:pt>
                <c:pt idx="140">
                  <c:v>52</c:v>
                </c:pt>
                <c:pt idx="141">
                  <c:v>53</c:v>
                </c:pt>
                <c:pt idx="142">
                  <c:v>#N/A</c:v>
                </c:pt>
                <c:pt idx="143">
                  <c:v>16</c:v>
                </c:pt>
                <c:pt idx="144">
                  <c:v>57</c:v>
                </c:pt>
                <c:pt idx="145">
                  <c:v>39</c:v>
                </c:pt>
                <c:pt idx="146">
                  <c:v>53</c:v>
                </c:pt>
                <c:pt idx="147">
                  <c:v>42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5</c:v>
                </c:pt>
                <c:pt idx="152">
                  <c:v>35</c:v>
                </c:pt>
                <c:pt idx="153">
                  <c:v>#N/A</c:v>
                </c:pt>
                <c:pt idx="154">
                  <c:v>9</c:v>
                </c:pt>
                <c:pt idx="155">
                  <c:v>58</c:v>
                </c:pt>
                <c:pt idx="156">
                  <c:v>#N/A</c:v>
                </c:pt>
                <c:pt idx="157">
                  <c:v>7</c:v>
                </c:pt>
                <c:pt idx="158">
                  <c:v>46</c:v>
                </c:pt>
                <c:pt idx="159">
                  <c:v>#N/A</c:v>
                </c:pt>
                <c:pt idx="160">
                  <c:v>40</c:v>
                </c:pt>
                <c:pt idx="161">
                  <c:v>42</c:v>
                </c:pt>
                <c:pt idx="162">
                  <c:v>#N/A</c:v>
                </c:pt>
                <c:pt idx="163">
                  <c:v>50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8</c:v>
                </c:pt>
                <c:pt idx="171">
                  <c:v>65</c:v>
                </c:pt>
                <c:pt idx="172">
                  <c:v>17</c:v>
                </c:pt>
                <c:pt idx="173">
                  <c:v>71</c:v>
                </c:pt>
                <c:pt idx="174">
                  <c:v>45</c:v>
                </c:pt>
                <c:pt idx="175">
                  <c:v>4</c:v>
                </c:pt>
                <c:pt idx="176">
                  <c:v>#N/A</c:v>
                </c:pt>
                <c:pt idx="177">
                  <c:v>70</c:v>
                </c:pt>
                <c:pt idx="178">
                  <c:v>31</c:v>
                </c:pt>
                <c:pt idx="179">
                  <c:v>19</c:v>
                </c:pt>
                <c:pt idx="180">
                  <c:v>61</c:v>
                </c:pt>
                <c:pt idx="181">
                  <c:v>54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45</c:v>
                </c:pt>
                <c:pt idx="187">
                  <c:v>13</c:v>
                </c:pt>
                <c:pt idx="188">
                  <c:v>#N/A</c:v>
                </c:pt>
                <c:pt idx="189">
                  <c:v>20</c:v>
                </c:pt>
                <c:pt idx="190">
                  <c:v>61</c:v>
                </c:pt>
                <c:pt idx="191">
                  <c:v>39</c:v>
                </c:pt>
                <c:pt idx="192">
                  <c:v>1</c:v>
                </c:pt>
                <c:pt idx="193">
                  <c:v>#N/A</c:v>
                </c:pt>
                <c:pt idx="194">
                  <c:v>62</c:v>
                </c:pt>
                <c:pt idx="195">
                  <c:v>63</c:v>
                </c:pt>
                <c:pt idx="196">
                  <c:v>#N/A</c:v>
                </c:pt>
                <c:pt idx="197">
                  <c:v>56</c:v>
                </c:pt>
                <c:pt idx="198">
                  <c:v>33</c:v>
                </c:pt>
                <c:pt idx="199">
                  <c:v>#N/A</c:v>
                </c:pt>
                <c:pt idx="200">
                  <c:v>6</c:v>
                </c:pt>
                <c:pt idx="201">
                  <c:v>58</c:v>
                </c:pt>
                <c:pt idx="202">
                  <c:v>#N/A</c:v>
                </c:pt>
                <c:pt idx="203">
                  <c:v>45</c:v>
                </c:pt>
                <c:pt idx="204">
                  <c:v>32</c:v>
                </c:pt>
                <c:pt idx="205">
                  <c:v>45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36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47</c:v>
                </c:pt>
                <c:pt idx="215">
                  <c:v>49</c:v>
                </c:pt>
                <c:pt idx="216">
                  <c:v>#N/A</c:v>
                </c:pt>
                <c:pt idx="217">
                  <c:v>15</c:v>
                </c:pt>
                <c:pt idx="218">
                  <c:v>#N/A</c:v>
                </c:pt>
                <c:pt idx="219">
                  <c:v>1</c:v>
                </c:pt>
                <c:pt idx="220">
                  <c:v>54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12</c:v>
                </c:pt>
                <c:pt idx="225">
                  <c:v>16</c:v>
                </c:pt>
                <c:pt idx="226">
                  <c:v>#N/A</c:v>
                </c:pt>
                <c:pt idx="227">
                  <c:v>28</c:v>
                </c:pt>
                <c:pt idx="228">
                  <c:v>#N/A</c:v>
                </c:pt>
                <c:pt idx="229">
                  <c:v>#N/A</c:v>
                </c:pt>
                <c:pt idx="230">
                  <c:v>8</c:v>
                </c:pt>
                <c:pt idx="231">
                  <c:v>58</c:v>
                </c:pt>
                <c:pt idx="232">
                  <c:v>60</c:v>
                </c:pt>
                <c:pt idx="233">
                  <c:v>#N/A</c:v>
                </c:pt>
                <c:pt idx="234">
                  <c:v>#N/A</c:v>
                </c:pt>
                <c:pt idx="235">
                  <c:v>41</c:v>
                </c:pt>
                <c:pt idx="236">
                  <c:v>64</c:v>
                </c:pt>
                <c:pt idx="237">
                  <c:v>27</c:v>
                </c:pt>
                <c:pt idx="238">
                  <c:v>#N/A</c:v>
                </c:pt>
                <c:pt idx="239">
                  <c:v>17</c:v>
                </c:pt>
                <c:pt idx="240">
                  <c:v>#N/A</c:v>
                </c:pt>
                <c:pt idx="241">
                  <c:v>#N/A</c:v>
                </c:pt>
                <c:pt idx="242">
                  <c:v>13</c:v>
                </c:pt>
                <c:pt idx="243">
                  <c:v>#N/A</c:v>
                </c:pt>
                <c:pt idx="244">
                  <c:v>35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66</c:v>
                </c:pt>
              </c:numCache>
            </c:numRef>
          </c:xVal>
          <c:yVal>
            <c:numRef>
              <c:f>'2.3 Tenure &lt;&gt; Sat'!$E$2:$E$251</c:f>
              <c:numCache>
                <c:formatCode>General</c:formatCode>
                <c:ptCount val="250"/>
                <c:pt idx="0">
                  <c:v>#N/A</c:v>
                </c:pt>
                <c:pt idx="1">
                  <c:v>#N/A</c:v>
                </c:pt>
                <c:pt idx="2">
                  <c:v>5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2</c:v>
                </c:pt>
                <c:pt idx="8">
                  <c:v>#N/A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6</c:v>
                </c:pt>
                <c:pt idx="13">
                  <c:v>#N/A</c:v>
                </c:pt>
                <c:pt idx="14">
                  <c:v>4</c:v>
                </c:pt>
                <c:pt idx="15">
                  <c:v>#N/A</c:v>
                </c:pt>
                <c:pt idx="16">
                  <c:v>8</c:v>
                </c:pt>
                <c:pt idx="17">
                  <c:v>7</c:v>
                </c:pt>
                <c:pt idx="18">
                  <c:v>#N/A</c:v>
                </c:pt>
                <c:pt idx="19">
                  <c:v>#N/A</c:v>
                </c:pt>
                <c:pt idx="20">
                  <c:v>4</c:v>
                </c:pt>
                <c:pt idx="21">
                  <c:v>#N/A</c:v>
                </c:pt>
                <c:pt idx="22">
                  <c:v>#N/A</c:v>
                </c:pt>
                <c:pt idx="23">
                  <c:v>6</c:v>
                </c:pt>
                <c:pt idx="24">
                  <c:v>5</c:v>
                </c:pt>
                <c:pt idx="25">
                  <c:v>3</c:v>
                </c:pt>
                <c:pt idx="26">
                  <c:v>9</c:v>
                </c:pt>
                <c:pt idx="27">
                  <c:v>5</c:v>
                </c:pt>
                <c:pt idx="28">
                  <c:v>5</c:v>
                </c:pt>
                <c:pt idx="29">
                  <c:v>#N/A</c:v>
                </c:pt>
                <c:pt idx="30">
                  <c:v>#N/A</c:v>
                </c:pt>
                <c:pt idx="31">
                  <c:v>1</c:v>
                </c:pt>
                <c:pt idx="32">
                  <c:v>7</c:v>
                </c:pt>
                <c:pt idx="33">
                  <c:v>#N/A</c:v>
                </c:pt>
                <c:pt idx="34">
                  <c:v>#N/A</c:v>
                </c:pt>
                <c:pt idx="35">
                  <c:v>2</c:v>
                </c:pt>
                <c:pt idx="36">
                  <c:v>3</c:v>
                </c:pt>
                <c:pt idx="37">
                  <c:v>1</c:v>
                </c:pt>
                <c:pt idx="38">
                  <c:v>#N/A</c:v>
                </c:pt>
                <c:pt idx="39">
                  <c:v>7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4</c:v>
                </c:pt>
                <c:pt idx="44">
                  <c:v>#N/A</c:v>
                </c:pt>
                <c:pt idx="45">
                  <c:v>8</c:v>
                </c:pt>
                <c:pt idx="46">
                  <c:v>3</c:v>
                </c:pt>
                <c:pt idx="47">
                  <c:v>#N/A</c:v>
                </c:pt>
                <c:pt idx="48">
                  <c:v>4</c:v>
                </c:pt>
                <c:pt idx="49">
                  <c:v>#N/A</c:v>
                </c:pt>
                <c:pt idx="50">
                  <c:v>9</c:v>
                </c:pt>
                <c:pt idx="51">
                  <c:v>8</c:v>
                </c:pt>
                <c:pt idx="52">
                  <c:v>8</c:v>
                </c:pt>
                <c:pt idx="53">
                  <c:v>10</c:v>
                </c:pt>
                <c:pt idx="54">
                  <c:v>#N/A</c:v>
                </c:pt>
                <c:pt idx="55">
                  <c:v>#N/A</c:v>
                </c:pt>
                <c:pt idx="56">
                  <c:v>6</c:v>
                </c:pt>
                <c:pt idx="57">
                  <c:v>9</c:v>
                </c:pt>
                <c:pt idx="58">
                  <c:v>#N/A</c:v>
                </c:pt>
                <c:pt idx="59">
                  <c:v>3</c:v>
                </c:pt>
                <c:pt idx="60">
                  <c:v>#N/A</c:v>
                </c:pt>
                <c:pt idx="61">
                  <c:v>10</c:v>
                </c:pt>
                <c:pt idx="62">
                  <c:v>#N/A</c:v>
                </c:pt>
                <c:pt idx="63">
                  <c:v>9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9</c:v>
                </c:pt>
                <c:pt idx="69">
                  <c:v>#N/A</c:v>
                </c:pt>
                <c:pt idx="70">
                  <c:v>4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1</c:v>
                </c:pt>
                <c:pt idx="77">
                  <c:v>9</c:v>
                </c:pt>
                <c:pt idx="78">
                  <c:v>#N/A</c:v>
                </c:pt>
                <c:pt idx="79">
                  <c:v>8</c:v>
                </c:pt>
                <c:pt idx="80">
                  <c:v>#N/A</c:v>
                </c:pt>
                <c:pt idx="81">
                  <c:v>#N/A</c:v>
                </c:pt>
                <c:pt idx="82">
                  <c:v>5</c:v>
                </c:pt>
                <c:pt idx="83">
                  <c:v>3</c:v>
                </c:pt>
                <c:pt idx="84">
                  <c:v>9</c:v>
                </c:pt>
                <c:pt idx="85">
                  <c:v>9</c:v>
                </c:pt>
                <c:pt idx="86">
                  <c:v>#N/A</c:v>
                </c:pt>
                <c:pt idx="87">
                  <c:v>4</c:v>
                </c:pt>
                <c:pt idx="88">
                  <c:v>8</c:v>
                </c:pt>
                <c:pt idx="89">
                  <c:v>#N/A</c:v>
                </c:pt>
                <c:pt idx="90">
                  <c:v>9</c:v>
                </c:pt>
                <c:pt idx="91">
                  <c:v>#N/A</c:v>
                </c:pt>
                <c:pt idx="92">
                  <c:v>#N/A</c:v>
                </c:pt>
                <c:pt idx="93">
                  <c:v>8</c:v>
                </c:pt>
                <c:pt idx="94">
                  <c:v>7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5</c:v>
                </c:pt>
                <c:pt idx="100">
                  <c:v>5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5</c:v>
                </c:pt>
                <c:pt idx="106">
                  <c:v>9</c:v>
                </c:pt>
                <c:pt idx="107">
                  <c:v>9</c:v>
                </c:pt>
                <c:pt idx="108">
                  <c:v>#N/A</c:v>
                </c:pt>
                <c:pt idx="109">
                  <c:v>3</c:v>
                </c:pt>
                <c:pt idx="110">
                  <c:v>1</c:v>
                </c:pt>
                <c:pt idx="111">
                  <c:v>2</c:v>
                </c:pt>
                <c:pt idx="112">
                  <c:v>8</c:v>
                </c:pt>
                <c:pt idx="113">
                  <c:v>#N/A</c:v>
                </c:pt>
                <c:pt idx="114">
                  <c:v>8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9</c:v>
                </c:pt>
                <c:pt idx="119">
                  <c:v>3</c:v>
                </c:pt>
                <c:pt idx="120">
                  <c:v>10</c:v>
                </c:pt>
                <c:pt idx="121">
                  <c:v>#N/A</c:v>
                </c:pt>
                <c:pt idx="122">
                  <c:v>6</c:v>
                </c:pt>
                <c:pt idx="123">
                  <c:v>8</c:v>
                </c:pt>
                <c:pt idx="124">
                  <c:v>5</c:v>
                </c:pt>
                <c:pt idx="125">
                  <c:v>3</c:v>
                </c:pt>
                <c:pt idx="126">
                  <c:v>6</c:v>
                </c:pt>
                <c:pt idx="127">
                  <c:v>4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6</c:v>
                </c:pt>
                <c:pt idx="135">
                  <c:v>#N/A</c:v>
                </c:pt>
                <c:pt idx="136">
                  <c:v>#N/A</c:v>
                </c:pt>
                <c:pt idx="137">
                  <c:v>2</c:v>
                </c:pt>
                <c:pt idx="138">
                  <c:v>8</c:v>
                </c:pt>
                <c:pt idx="139">
                  <c:v>#N/A</c:v>
                </c:pt>
                <c:pt idx="140">
                  <c:v>7</c:v>
                </c:pt>
                <c:pt idx="141">
                  <c:v>9</c:v>
                </c:pt>
                <c:pt idx="142">
                  <c:v>#N/A</c:v>
                </c:pt>
                <c:pt idx="143">
                  <c:v>8</c:v>
                </c:pt>
                <c:pt idx="144">
                  <c:v>7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6</c:v>
                </c:pt>
                <c:pt idx="152">
                  <c:v>10</c:v>
                </c:pt>
                <c:pt idx="153">
                  <c:v>#N/A</c:v>
                </c:pt>
                <c:pt idx="154">
                  <c:v>3</c:v>
                </c:pt>
                <c:pt idx="155">
                  <c:v>10</c:v>
                </c:pt>
                <c:pt idx="156">
                  <c:v>#N/A</c:v>
                </c:pt>
                <c:pt idx="157">
                  <c:v>9</c:v>
                </c:pt>
                <c:pt idx="158">
                  <c:v>1</c:v>
                </c:pt>
                <c:pt idx="159">
                  <c:v>#N/A</c:v>
                </c:pt>
                <c:pt idx="160">
                  <c:v>8</c:v>
                </c:pt>
                <c:pt idx="161">
                  <c:v>3</c:v>
                </c:pt>
                <c:pt idx="162">
                  <c:v>#N/A</c:v>
                </c:pt>
                <c:pt idx="163">
                  <c:v>8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1</c:v>
                </c:pt>
                <c:pt idx="171">
                  <c:v>10</c:v>
                </c:pt>
                <c:pt idx="172">
                  <c:v>7</c:v>
                </c:pt>
                <c:pt idx="173">
                  <c:v>5</c:v>
                </c:pt>
                <c:pt idx="174">
                  <c:v>5</c:v>
                </c:pt>
                <c:pt idx="175">
                  <c:v>1</c:v>
                </c:pt>
                <c:pt idx="176">
                  <c:v>#N/A</c:v>
                </c:pt>
                <c:pt idx="177">
                  <c:v>6</c:v>
                </c:pt>
                <c:pt idx="178">
                  <c:v>9</c:v>
                </c:pt>
                <c:pt idx="179">
                  <c:v>9</c:v>
                </c:pt>
                <c:pt idx="180">
                  <c:v>8</c:v>
                </c:pt>
                <c:pt idx="181">
                  <c:v>5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5</c:v>
                </c:pt>
                <c:pt idx="187">
                  <c:v>3</c:v>
                </c:pt>
                <c:pt idx="188">
                  <c:v>#N/A</c:v>
                </c:pt>
                <c:pt idx="189">
                  <c:v>7</c:v>
                </c:pt>
                <c:pt idx="190">
                  <c:v>9</c:v>
                </c:pt>
                <c:pt idx="191">
                  <c:v>7</c:v>
                </c:pt>
                <c:pt idx="192">
                  <c:v>3</c:v>
                </c:pt>
                <c:pt idx="193">
                  <c:v>#N/A</c:v>
                </c:pt>
                <c:pt idx="194">
                  <c:v>8</c:v>
                </c:pt>
                <c:pt idx="195">
                  <c:v>3</c:v>
                </c:pt>
                <c:pt idx="196">
                  <c:v>#N/A</c:v>
                </c:pt>
                <c:pt idx="197">
                  <c:v>8</c:v>
                </c:pt>
                <c:pt idx="198">
                  <c:v>5</c:v>
                </c:pt>
                <c:pt idx="199">
                  <c:v>#N/A</c:v>
                </c:pt>
                <c:pt idx="200">
                  <c:v>10</c:v>
                </c:pt>
                <c:pt idx="201">
                  <c:v>7</c:v>
                </c:pt>
                <c:pt idx="202">
                  <c:v>#N/A</c:v>
                </c:pt>
                <c:pt idx="203">
                  <c:v>5</c:v>
                </c:pt>
                <c:pt idx="204">
                  <c:v>8</c:v>
                </c:pt>
                <c:pt idx="205">
                  <c:v>9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4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1</c:v>
                </c:pt>
                <c:pt idx="215">
                  <c:v>4</c:v>
                </c:pt>
                <c:pt idx="216">
                  <c:v>#N/A</c:v>
                </c:pt>
                <c:pt idx="217">
                  <c:v>5</c:v>
                </c:pt>
                <c:pt idx="218">
                  <c:v>#N/A</c:v>
                </c:pt>
                <c:pt idx="219">
                  <c:v>8</c:v>
                </c:pt>
                <c:pt idx="220">
                  <c:v>4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3</c:v>
                </c:pt>
                <c:pt idx="225">
                  <c:v>9</c:v>
                </c:pt>
                <c:pt idx="226">
                  <c:v>#N/A</c:v>
                </c:pt>
                <c:pt idx="227">
                  <c:v>2</c:v>
                </c:pt>
                <c:pt idx="228">
                  <c:v>#N/A</c:v>
                </c:pt>
                <c:pt idx="229">
                  <c:v>#N/A</c:v>
                </c:pt>
                <c:pt idx="230">
                  <c:v>2</c:v>
                </c:pt>
                <c:pt idx="231">
                  <c:v>3</c:v>
                </c:pt>
                <c:pt idx="232">
                  <c:v>10</c:v>
                </c:pt>
                <c:pt idx="233">
                  <c:v>#N/A</c:v>
                </c:pt>
                <c:pt idx="234">
                  <c:v>#N/A</c:v>
                </c:pt>
                <c:pt idx="235">
                  <c:v>6</c:v>
                </c:pt>
                <c:pt idx="236">
                  <c:v>9</c:v>
                </c:pt>
                <c:pt idx="237">
                  <c:v>9</c:v>
                </c:pt>
                <c:pt idx="238">
                  <c:v>#N/A</c:v>
                </c:pt>
                <c:pt idx="239">
                  <c:v>3</c:v>
                </c:pt>
                <c:pt idx="240">
                  <c:v>#N/A</c:v>
                </c:pt>
                <c:pt idx="241">
                  <c:v>#N/A</c:v>
                </c:pt>
                <c:pt idx="242">
                  <c:v>5</c:v>
                </c:pt>
                <c:pt idx="243">
                  <c:v>#N/A</c:v>
                </c:pt>
                <c:pt idx="244">
                  <c:v>6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98-3240-BF52-21888AED6876}"/>
            </c:ext>
          </c:extLst>
        </c:ser>
        <c:ser>
          <c:idx val="1"/>
          <c:order val="1"/>
          <c:tx>
            <c:strRef>
              <c:f>'2.3 Tenure &lt;&gt; Sat'!$G$1</c:f>
              <c:strCache>
                <c:ptCount val="1"/>
                <c:pt idx="0">
                  <c:v>Churn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'2.3 Tenure &lt;&gt; Sat'!$F$2:$F$251</c:f>
              <c:numCache>
                <c:formatCode>General</c:formatCode>
                <c:ptCount val="250"/>
                <c:pt idx="0">
                  <c:v>58</c:v>
                </c:pt>
                <c:pt idx="1">
                  <c:v>63</c:v>
                </c:pt>
                <c:pt idx="2">
                  <c:v>#N/A</c:v>
                </c:pt>
                <c:pt idx="3">
                  <c:v>22</c:v>
                </c:pt>
                <c:pt idx="4">
                  <c:v>58</c:v>
                </c:pt>
                <c:pt idx="5">
                  <c:v>58</c:v>
                </c:pt>
                <c:pt idx="6">
                  <c:v>49</c:v>
                </c:pt>
                <c:pt idx="7">
                  <c:v>#N/A</c:v>
                </c:pt>
                <c:pt idx="8">
                  <c:v>42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8</c:v>
                </c:pt>
                <c:pt idx="14">
                  <c:v>#N/A</c:v>
                </c:pt>
                <c:pt idx="15">
                  <c:v>60</c:v>
                </c:pt>
                <c:pt idx="16">
                  <c:v>#N/A</c:v>
                </c:pt>
                <c:pt idx="17">
                  <c:v>#N/A</c:v>
                </c:pt>
                <c:pt idx="18">
                  <c:v>6</c:v>
                </c:pt>
                <c:pt idx="19">
                  <c:v>47</c:v>
                </c:pt>
                <c:pt idx="20">
                  <c:v>#N/A</c:v>
                </c:pt>
                <c:pt idx="21">
                  <c:v>40</c:v>
                </c:pt>
                <c:pt idx="22">
                  <c:v>52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19</c:v>
                </c:pt>
                <c:pt idx="30">
                  <c:v>58</c:v>
                </c:pt>
                <c:pt idx="31">
                  <c:v>#N/A</c:v>
                </c:pt>
                <c:pt idx="32">
                  <c:v>#N/A</c:v>
                </c:pt>
                <c:pt idx="33">
                  <c:v>23</c:v>
                </c:pt>
                <c:pt idx="34">
                  <c:v>9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</c:v>
                </c:pt>
                <c:pt idx="39">
                  <c:v>#N/A</c:v>
                </c:pt>
                <c:pt idx="40">
                  <c:v>48</c:v>
                </c:pt>
                <c:pt idx="41">
                  <c:v>1</c:v>
                </c:pt>
                <c:pt idx="42">
                  <c:v>16</c:v>
                </c:pt>
                <c:pt idx="43">
                  <c:v>#N/A</c:v>
                </c:pt>
                <c:pt idx="44">
                  <c:v>64</c:v>
                </c:pt>
                <c:pt idx="45">
                  <c:v>#N/A</c:v>
                </c:pt>
                <c:pt idx="46">
                  <c:v>#N/A</c:v>
                </c:pt>
                <c:pt idx="47">
                  <c:v>22</c:v>
                </c:pt>
                <c:pt idx="48">
                  <c:v>#N/A</c:v>
                </c:pt>
                <c:pt idx="49">
                  <c:v>26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69</c:v>
                </c:pt>
                <c:pt idx="55">
                  <c:v>47</c:v>
                </c:pt>
                <c:pt idx="56">
                  <c:v>#N/A</c:v>
                </c:pt>
                <c:pt idx="57">
                  <c:v>#N/A</c:v>
                </c:pt>
                <c:pt idx="58">
                  <c:v>16</c:v>
                </c:pt>
                <c:pt idx="59">
                  <c:v>#N/A</c:v>
                </c:pt>
                <c:pt idx="60">
                  <c:v>39</c:v>
                </c:pt>
                <c:pt idx="61">
                  <c:v>#N/A</c:v>
                </c:pt>
                <c:pt idx="62">
                  <c:v>23</c:v>
                </c:pt>
                <c:pt idx="63">
                  <c:v>#N/A</c:v>
                </c:pt>
                <c:pt idx="64">
                  <c:v>69</c:v>
                </c:pt>
                <c:pt idx="65">
                  <c:v>34</c:v>
                </c:pt>
                <c:pt idx="66">
                  <c:v>52</c:v>
                </c:pt>
                <c:pt idx="67">
                  <c:v>10</c:v>
                </c:pt>
                <c:pt idx="68">
                  <c:v>#N/A</c:v>
                </c:pt>
                <c:pt idx="69">
                  <c:v>58</c:v>
                </c:pt>
                <c:pt idx="70">
                  <c:v>#N/A</c:v>
                </c:pt>
                <c:pt idx="71">
                  <c:v>69</c:v>
                </c:pt>
                <c:pt idx="72">
                  <c:v>4</c:v>
                </c:pt>
                <c:pt idx="73">
                  <c:v>16</c:v>
                </c:pt>
                <c:pt idx="74">
                  <c:v>24</c:v>
                </c:pt>
                <c:pt idx="75">
                  <c:v>2</c:v>
                </c:pt>
                <c:pt idx="76">
                  <c:v>#N/A</c:v>
                </c:pt>
                <c:pt idx="77">
                  <c:v>#N/A</c:v>
                </c:pt>
                <c:pt idx="78">
                  <c:v>12</c:v>
                </c:pt>
                <c:pt idx="79">
                  <c:v>#N/A</c:v>
                </c:pt>
                <c:pt idx="80">
                  <c:v>35</c:v>
                </c:pt>
                <c:pt idx="81">
                  <c:v>33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12</c:v>
                </c:pt>
                <c:pt idx="87">
                  <c:v>#N/A</c:v>
                </c:pt>
                <c:pt idx="88">
                  <c:v>#N/A</c:v>
                </c:pt>
                <c:pt idx="89">
                  <c:v>33</c:v>
                </c:pt>
                <c:pt idx="90">
                  <c:v>#N/A</c:v>
                </c:pt>
                <c:pt idx="91">
                  <c:v>43</c:v>
                </c:pt>
                <c:pt idx="92">
                  <c:v>44</c:v>
                </c:pt>
                <c:pt idx="93">
                  <c:v>#N/A</c:v>
                </c:pt>
                <c:pt idx="94">
                  <c:v>#N/A</c:v>
                </c:pt>
                <c:pt idx="95">
                  <c:v>12</c:v>
                </c:pt>
                <c:pt idx="96">
                  <c:v>46</c:v>
                </c:pt>
                <c:pt idx="97">
                  <c:v>2</c:v>
                </c:pt>
                <c:pt idx="98">
                  <c:v>35</c:v>
                </c:pt>
                <c:pt idx="99">
                  <c:v>#N/A</c:v>
                </c:pt>
                <c:pt idx="100">
                  <c:v>#N/A</c:v>
                </c:pt>
                <c:pt idx="101">
                  <c:v>34</c:v>
                </c:pt>
                <c:pt idx="102">
                  <c:v>7</c:v>
                </c:pt>
                <c:pt idx="103">
                  <c:v>68</c:v>
                </c:pt>
                <c:pt idx="104">
                  <c:v>58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36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36</c:v>
                </c:pt>
                <c:pt idx="114">
                  <c:v>#N/A</c:v>
                </c:pt>
                <c:pt idx="115">
                  <c:v>23</c:v>
                </c:pt>
                <c:pt idx="116">
                  <c:v>62</c:v>
                </c:pt>
                <c:pt idx="117">
                  <c:v>37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23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49</c:v>
                </c:pt>
                <c:pt idx="129">
                  <c:v>12</c:v>
                </c:pt>
                <c:pt idx="130">
                  <c:v>61</c:v>
                </c:pt>
                <c:pt idx="131">
                  <c:v>19</c:v>
                </c:pt>
                <c:pt idx="132">
                  <c:v>9</c:v>
                </c:pt>
                <c:pt idx="133">
                  <c:v>71</c:v>
                </c:pt>
                <c:pt idx="134">
                  <c:v>#N/A</c:v>
                </c:pt>
                <c:pt idx="135">
                  <c:v>52</c:v>
                </c:pt>
                <c:pt idx="136">
                  <c:v>16</c:v>
                </c:pt>
                <c:pt idx="137">
                  <c:v>#N/A</c:v>
                </c:pt>
                <c:pt idx="138">
                  <c:v>#N/A</c:v>
                </c:pt>
                <c:pt idx="139">
                  <c:v>25</c:v>
                </c:pt>
                <c:pt idx="140">
                  <c:v>#N/A</c:v>
                </c:pt>
                <c:pt idx="141">
                  <c:v>#N/A</c:v>
                </c:pt>
                <c:pt idx="142">
                  <c:v>23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58</c:v>
                </c:pt>
                <c:pt idx="149">
                  <c:v>39</c:v>
                </c:pt>
                <c:pt idx="150">
                  <c:v>14</c:v>
                </c:pt>
                <c:pt idx="151">
                  <c:v>#N/A</c:v>
                </c:pt>
                <c:pt idx="152">
                  <c:v>#N/A</c:v>
                </c:pt>
                <c:pt idx="153">
                  <c:v>18</c:v>
                </c:pt>
                <c:pt idx="154">
                  <c:v>#N/A</c:v>
                </c:pt>
                <c:pt idx="155">
                  <c:v>#N/A</c:v>
                </c:pt>
                <c:pt idx="156">
                  <c:v>17</c:v>
                </c:pt>
                <c:pt idx="157">
                  <c:v>#N/A</c:v>
                </c:pt>
                <c:pt idx="158">
                  <c:v>#N/A</c:v>
                </c:pt>
                <c:pt idx="159">
                  <c:v>13</c:v>
                </c:pt>
                <c:pt idx="160">
                  <c:v>#N/A</c:v>
                </c:pt>
                <c:pt idx="161">
                  <c:v>#N/A</c:v>
                </c:pt>
                <c:pt idx="162">
                  <c:v>9</c:v>
                </c:pt>
                <c:pt idx="163">
                  <c:v>#N/A</c:v>
                </c:pt>
                <c:pt idx="164">
                  <c:v>27</c:v>
                </c:pt>
                <c:pt idx="165">
                  <c:v>66</c:v>
                </c:pt>
                <c:pt idx="166">
                  <c:v>5</c:v>
                </c:pt>
                <c:pt idx="167">
                  <c:v>29</c:v>
                </c:pt>
                <c:pt idx="168">
                  <c:v>37</c:v>
                </c:pt>
                <c:pt idx="169">
                  <c:v>38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36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39</c:v>
                </c:pt>
                <c:pt idx="183">
                  <c:v>19</c:v>
                </c:pt>
                <c:pt idx="184">
                  <c:v>39</c:v>
                </c:pt>
                <c:pt idx="185">
                  <c:v>67</c:v>
                </c:pt>
                <c:pt idx="186">
                  <c:v>#N/A</c:v>
                </c:pt>
                <c:pt idx="187">
                  <c:v>#N/A</c:v>
                </c:pt>
                <c:pt idx="188">
                  <c:v>58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3</c:v>
                </c:pt>
                <c:pt idx="194">
                  <c:v>#N/A</c:v>
                </c:pt>
                <c:pt idx="195">
                  <c:v>#N/A</c:v>
                </c:pt>
                <c:pt idx="196">
                  <c:v>25</c:v>
                </c:pt>
                <c:pt idx="197">
                  <c:v>#N/A</c:v>
                </c:pt>
                <c:pt idx="198">
                  <c:v>#N/A</c:v>
                </c:pt>
                <c:pt idx="199">
                  <c:v>38</c:v>
                </c:pt>
                <c:pt idx="200">
                  <c:v>#N/A</c:v>
                </c:pt>
                <c:pt idx="201">
                  <c:v>#N/A</c:v>
                </c:pt>
                <c:pt idx="202">
                  <c:v>44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61</c:v>
                </c:pt>
                <c:pt idx="207">
                  <c:v>47</c:v>
                </c:pt>
                <c:pt idx="208">
                  <c:v>21</c:v>
                </c:pt>
                <c:pt idx="209">
                  <c:v>#N/A</c:v>
                </c:pt>
                <c:pt idx="210">
                  <c:v>19</c:v>
                </c:pt>
                <c:pt idx="211">
                  <c:v>20</c:v>
                </c:pt>
                <c:pt idx="212">
                  <c:v>57</c:v>
                </c:pt>
                <c:pt idx="213">
                  <c:v>18</c:v>
                </c:pt>
                <c:pt idx="214">
                  <c:v>#N/A</c:v>
                </c:pt>
                <c:pt idx="215">
                  <c:v>#N/A</c:v>
                </c:pt>
                <c:pt idx="216">
                  <c:v>14</c:v>
                </c:pt>
                <c:pt idx="217">
                  <c:v>#N/A</c:v>
                </c:pt>
                <c:pt idx="218">
                  <c:v>31</c:v>
                </c:pt>
                <c:pt idx="219">
                  <c:v>#N/A</c:v>
                </c:pt>
                <c:pt idx="220">
                  <c:v>#N/A</c:v>
                </c:pt>
                <c:pt idx="221">
                  <c:v>3</c:v>
                </c:pt>
                <c:pt idx="222">
                  <c:v>16</c:v>
                </c:pt>
                <c:pt idx="223">
                  <c:v>57</c:v>
                </c:pt>
                <c:pt idx="224">
                  <c:v>#N/A</c:v>
                </c:pt>
                <c:pt idx="225">
                  <c:v>#N/A</c:v>
                </c:pt>
                <c:pt idx="226">
                  <c:v>24</c:v>
                </c:pt>
                <c:pt idx="227">
                  <c:v>#N/A</c:v>
                </c:pt>
                <c:pt idx="228">
                  <c:v>8</c:v>
                </c:pt>
                <c:pt idx="229">
                  <c:v>36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50</c:v>
                </c:pt>
                <c:pt idx="234">
                  <c:v>28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63</c:v>
                </c:pt>
                <c:pt idx="239">
                  <c:v>#N/A</c:v>
                </c:pt>
                <c:pt idx="240">
                  <c:v>33</c:v>
                </c:pt>
                <c:pt idx="241">
                  <c:v>29</c:v>
                </c:pt>
                <c:pt idx="242">
                  <c:v>#N/A</c:v>
                </c:pt>
                <c:pt idx="243">
                  <c:v>46</c:v>
                </c:pt>
                <c:pt idx="244">
                  <c:v>#N/A</c:v>
                </c:pt>
                <c:pt idx="245">
                  <c:v>6</c:v>
                </c:pt>
                <c:pt idx="246">
                  <c:v>69</c:v>
                </c:pt>
                <c:pt idx="247">
                  <c:v>47</c:v>
                </c:pt>
                <c:pt idx="248">
                  <c:v>25</c:v>
                </c:pt>
                <c:pt idx="249">
                  <c:v>#N/A</c:v>
                </c:pt>
              </c:numCache>
            </c:numRef>
          </c:xVal>
          <c:yVal>
            <c:numRef>
              <c:f>'2.3 Tenure &lt;&gt; Sat'!$G$2:$G$251</c:f>
              <c:numCache>
                <c:formatCode>General</c:formatCode>
                <c:ptCount val="250"/>
                <c:pt idx="0">
                  <c:v>6</c:v>
                </c:pt>
                <c:pt idx="1">
                  <c:v>1</c:v>
                </c:pt>
                <c:pt idx="2">
                  <c:v>#N/A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#N/A</c:v>
                </c:pt>
                <c:pt idx="8">
                  <c:v>3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9</c:v>
                </c:pt>
                <c:pt idx="14">
                  <c:v>#N/A</c:v>
                </c:pt>
                <c:pt idx="15">
                  <c:v>1</c:v>
                </c:pt>
                <c:pt idx="16">
                  <c:v>#N/A</c:v>
                </c:pt>
                <c:pt idx="17">
                  <c:v>#N/A</c:v>
                </c:pt>
                <c:pt idx="18">
                  <c:v>7</c:v>
                </c:pt>
                <c:pt idx="19">
                  <c:v>3</c:v>
                </c:pt>
                <c:pt idx="20">
                  <c:v>#N/A</c:v>
                </c:pt>
                <c:pt idx="21">
                  <c:v>10</c:v>
                </c:pt>
                <c:pt idx="22">
                  <c:v>9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4</c:v>
                </c:pt>
                <c:pt idx="30">
                  <c:v>4</c:v>
                </c:pt>
                <c:pt idx="31">
                  <c:v>#N/A</c:v>
                </c:pt>
                <c:pt idx="32">
                  <c:v>#N/A</c:v>
                </c:pt>
                <c:pt idx="33">
                  <c:v>9</c:v>
                </c:pt>
                <c:pt idx="34">
                  <c:v>3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6</c:v>
                </c:pt>
                <c:pt idx="39">
                  <c:v>#N/A</c:v>
                </c:pt>
                <c:pt idx="40">
                  <c:v>2</c:v>
                </c:pt>
                <c:pt idx="41">
                  <c:v>8</c:v>
                </c:pt>
                <c:pt idx="42">
                  <c:v>6</c:v>
                </c:pt>
                <c:pt idx="43">
                  <c:v>#N/A</c:v>
                </c:pt>
                <c:pt idx="44">
                  <c:v>5</c:v>
                </c:pt>
                <c:pt idx="45">
                  <c:v>#N/A</c:v>
                </c:pt>
                <c:pt idx="46">
                  <c:v>#N/A</c:v>
                </c:pt>
                <c:pt idx="47">
                  <c:v>3</c:v>
                </c:pt>
                <c:pt idx="48">
                  <c:v>#N/A</c:v>
                </c:pt>
                <c:pt idx="49">
                  <c:v>1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6</c:v>
                </c:pt>
                <c:pt idx="55">
                  <c:v>7</c:v>
                </c:pt>
                <c:pt idx="56">
                  <c:v>#N/A</c:v>
                </c:pt>
                <c:pt idx="57">
                  <c:v>#N/A</c:v>
                </c:pt>
                <c:pt idx="58">
                  <c:v>3</c:v>
                </c:pt>
                <c:pt idx="59">
                  <c:v>#N/A</c:v>
                </c:pt>
                <c:pt idx="60">
                  <c:v>3</c:v>
                </c:pt>
                <c:pt idx="61">
                  <c:v>#N/A</c:v>
                </c:pt>
                <c:pt idx="62">
                  <c:v>3</c:v>
                </c:pt>
                <c:pt idx="63">
                  <c:v>#N/A</c:v>
                </c:pt>
                <c:pt idx="64">
                  <c:v>4</c:v>
                </c:pt>
                <c:pt idx="65">
                  <c:v>7</c:v>
                </c:pt>
                <c:pt idx="66">
                  <c:v>9</c:v>
                </c:pt>
                <c:pt idx="67">
                  <c:v>7</c:v>
                </c:pt>
                <c:pt idx="68">
                  <c:v>#N/A</c:v>
                </c:pt>
                <c:pt idx="69">
                  <c:v>3</c:v>
                </c:pt>
                <c:pt idx="70">
                  <c:v>#N/A</c:v>
                </c:pt>
                <c:pt idx="71">
                  <c:v>8</c:v>
                </c:pt>
                <c:pt idx="72">
                  <c:v>6</c:v>
                </c:pt>
                <c:pt idx="73">
                  <c:v>5</c:v>
                </c:pt>
                <c:pt idx="74">
                  <c:v>4</c:v>
                </c:pt>
                <c:pt idx="75">
                  <c:v>8</c:v>
                </c:pt>
                <c:pt idx="76">
                  <c:v>#N/A</c:v>
                </c:pt>
                <c:pt idx="77">
                  <c:v>#N/A</c:v>
                </c:pt>
                <c:pt idx="78">
                  <c:v>1</c:v>
                </c:pt>
                <c:pt idx="79">
                  <c:v>#N/A</c:v>
                </c:pt>
                <c:pt idx="80">
                  <c:v>4</c:v>
                </c:pt>
                <c:pt idx="81">
                  <c:v>9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4</c:v>
                </c:pt>
                <c:pt idx="87">
                  <c:v>#N/A</c:v>
                </c:pt>
                <c:pt idx="88">
                  <c:v>#N/A</c:v>
                </c:pt>
                <c:pt idx="89">
                  <c:v>2</c:v>
                </c:pt>
                <c:pt idx="90">
                  <c:v>#N/A</c:v>
                </c:pt>
                <c:pt idx="91">
                  <c:v>6</c:v>
                </c:pt>
                <c:pt idx="92">
                  <c:v>9</c:v>
                </c:pt>
                <c:pt idx="93">
                  <c:v>#N/A</c:v>
                </c:pt>
                <c:pt idx="94">
                  <c:v>#N/A</c:v>
                </c:pt>
                <c:pt idx="95">
                  <c:v>1</c:v>
                </c:pt>
                <c:pt idx="96">
                  <c:v>3</c:v>
                </c:pt>
                <c:pt idx="97">
                  <c:v>2</c:v>
                </c:pt>
                <c:pt idx="98">
                  <c:v>5</c:v>
                </c:pt>
                <c:pt idx="99">
                  <c:v>#N/A</c:v>
                </c:pt>
                <c:pt idx="100">
                  <c:v>#N/A</c:v>
                </c:pt>
                <c:pt idx="101">
                  <c:v>4</c:v>
                </c:pt>
                <c:pt idx="102">
                  <c:v>5</c:v>
                </c:pt>
                <c:pt idx="103">
                  <c:v>3</c:v>
                </c:pt>
                <c:pt idx="104">
                  <c:v>1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4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1</c:v>
                </c:pt>
                <c:pt idx="114">
                  <c:v>#N/A</c:v>
                </c:pt>
                <c:pt idx="115">
                  <c:v>7</c:v>
                </c:pt>
                <c:pt idx="116">
                  <c:v>8</c:v>
                </c:pt>
                <c:pt idx="117">
                  <c:v>6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4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9</c:v>
                </c:pt>
                <c:pt idx="129">
                  <c:v>3</c:v>
                </c:pt>
                <c:pt idx="130">
                  <c:v>4</c:v>
                </c:pt>
                <c:pt idx="131">
                  <c:v>7</c:v>
                </c:pt>
                <c:pt idx="132">
                  <c:v>7</c:v>
                </c:pt>
                <c:pt idx="133">
                  <c:v>4</c:v>
                </c:pt>
                <c:pt idx="134">
                  <c:v>#N/A</c:v>
                </c:pt>
                <c:pt idx="135">
                  <c:v>3</c:v>
                </c:pt>
                <c:pt idx="136">
                  <c:v>6</c:v>
                </c:pt>
                <c:pt idx="137">
                  <c:v>#N/A</c:v>
                </c:pt>
                <c:pt idx="138">
                  <c:v>#N/A</c:v>
                </c:pt>
                <c:pt idx="139">
                  <c:v>2</c:v>
                </c:pt>
                <c:pt idx="140">
                  <c:v>#N/A</c:v>
                </c:pt>
                <c:pt idx="141">
                  <c:v>#N/A</c:v>
                </c:pt>
                <c:pt idx="142">
                  <c:v>1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9</c:v>
                </c:pt>
                <c:pt idx="149">
                  <c:v>2</c:v>
                </c:pt>
                <c:pt idx="150">
                  <c:v>1</c:v>
                </c:pt>
                <c:pt idx="151">
                  <c:v>#N/A</c:v>
                </c:pt>
                <c:pt idx="152">
                  <c:v>#N/A</c:v>
                </c:pt>
                <c:pt idx="153">
                  <c:v>8</c:v>
                </c:pt>
                <c:pt idx="154">
                  <c:v>#N/A</c:v>
                </c:pt>
                <c:pt idx="155">
                  <c:v>#N/A</c:v>
                </c:pt>
                <c:pt idx="156">
                  <c:v>1</c:v>
                </c:pt>
                <c:pt idx="157">
                  <c:v>#N/A</c:v>
                </c:pt>
                <c:pt idx="158">
                  <c:v>#N/A</c:v>
                </c:pt>
                <c:pt idx="159">
                  <c:v>3</c:v>
                </c:pt>
                <c:pt idx="160">
                  <c:v>#N/A</c:v>
                </c:pt>
                <c:pt idx="161">
                  <c:v>#N/A</c:v>
                </c:pt>
                <c:pt idx="162">
                  <c:v>4</c:v>
                </c:pt>
                <c:pt idx="163">
                  <c:v>#N/A</c:v>
                </c:pt>
                <c:pt idx="164">
                  <c:v>1</c:v>
                </c:pt>
                <c:pt idx="165">
                  <c:v>6</c:v>
                </c:pt>
                <c:pt idx="166">
                  <c:v>1</c:v>
                </c:pt>
                <c:pt idx="167">
                  <c:v>1</c:v>
                </c:pt>
                <c:pt idx="168">
                  <c:v>8</c:v>
                </c:pt>
                <c:pt idx="169">
                  <c:v>4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10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1</c:v>
                </c:pt>
                <c:pt idx="183">
                  <c:v>9</c:v>
                </c:pt>
                <c:pt idx="184">
                  <c:v>1</c:v>
                </c:pt>
                <c:pt idx="185">
                  <c:v>8</c:v>
                </c:pt>
                <c:pt idx="186">
                  <c:v>#N/A</c:v>
                </c:pt>
                <c:pt idx="187">
                  <c:v>#N/A</c:v>
                </c:pt>
                <c:pt idx="188">
                  <c:v>7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1</c:v>
                </c:pt>
                <c:pt idx="194">
                  <c:v>#N/A</c:v>
                </c:pt>
                <c:pt idx="195">
                  <c:v>#N/A</c:v>
                </c:pt>
                <c:pt idx="196">
                  <c:v>8</c:v>
                </c:pt>
                <c:pt idx="197">
                  <c:v>#N/A</c:v>
                </c:pt>
                <c:pt idx="198">
                  <c:v>#N/A</c:v>
                </c:pt>
                <c:pt idx="199">
                  <c:v>1</c:v>
                </c:pt>
                <c:pt idx="200">
                  <c:v>#N/A</c:v>
                </c:pt>
                <c:pt idx="201">
                  <c:v>#N/A</c:v>
                </c:pt>
                <c:pt idx="202">
                  <c:v>10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7</c:v>
                </c:pt>
                <c:pt idx="207">
                  <c:v>7</c:v>
                </c:pt>
                <c:pt idx="208">
                  <c:v>1</c:v>
                </c:pt>
                <c:pt idx="209">
                  <c:v>#N/A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4</c:v>
                </c:pt>
                <c:pt idx="214">
                  <c:v>#N/A</c:v>
                </c:pt>
                <c:pt idx="215">
                  <c:v>#N/A</c:v>
                </c:pt>
                <c:pt idx="216">
                  <c:v>2</c:v>
                </c:pt>
                <c:pt idx="217">
                  <c:v>#N/A</c:v>
                </c:pt>
                <c:pt idx="218">
                  <c:v>3</c:v>
                </c:pt>
                <c:pt idx="219">
                  <c:v>#N/A</c:v>
                </c:pt>
                <c:pt idx="220">
                  <c:v>#N/A</c:v>
                </c:pt>
                <c:pt idx="221">
                  <c:v>1</c:v>
                </c:pt>
                <c:pt idx="222">
                  <c:v>1</c:v>
                </c:pt>
                <c:pt idx="223">
                  <c:v>10</c:v>
                </c:pt>
                <c:pt idx="224">
                  <c:v>#N/A</c:v>
                </c:pt>
                <c:pt idx="225">
                  <c:v>#N/A</c:v>
                </c:pt>
                <c:pt idx="226">
                  <c:v>7</c:v>
                </c:pt>
                <c:pt idx="227">
                  <c:v>#N/A</c:v>
                </c:pt>
                <c:pt idx="228">
                  <c:v>9</c:v>
                </c:pt>
                <c:pt idx="229">
                  <c:v>10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2</c:v>
                </c:pt>
                <c:pt idx="234">
                  <c:v>3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7</c:v>
                </c:pt>
                <c:pt idx="239">
                  <c:v>#N/A</c:v>
                </c:pt>
                <c:pt idx="240">
                  <c:v>4</c:v>
                </c:pt>
                <c:pt idx="241">
                  <c:v>6</c:v>
                </c:pt>
                <c:pt idx="242">
                  <c:v>#N/A</c:v>
                </c:pt>
                <c:pt idx="243">
                  <c:v>2</c:v>
                </c:pt>
                <c:pt idx="244">
                  <c:v>#N/A</c:v>
                </c:pt>
                <c:pt idx="245">
                  <c:v>3</c:v>
                </c:pt>
                <c:pt idx="246">
                  <c:v>8</c:v>
                </c:pt>
                <c:pt idx="247">
                  <c:v>2</c:v>
                </c:pt>
                <c:pt idx="248">
                  <c:v>1</c:v>
                </c:pt>
                <c:pt idx="24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98-3240-BF52-21888AED6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073311"/>
        <c:axId val="1451524383"/>
      </c:scatterChart>
      <c:valAx>
        <c:axId val="173507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Tenure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24383"/>
        <c:crosses val="autoZero"/>
        <c:crossBetween val="midCat"/>
      </c:valAx>
      <c:valAx>
        <c:axId val="145152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073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Sat vs</a:t>
            </a:r>
            <a:r>
              <a:rPr lang="en-GB" baseline="0"/>
              <a:t> Monthly Charge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'2.4 Sat &lt;&gt; MonthlyCharge'!$O$1</c:f>
              <c:strCache>
                <c:ptCount val="1"/>
                <c:pt idx="0">
                  <c:v>No churn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39708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'2.4 Sat &lt;&gt; MonthlyCharge'!$N$2:$N$251</c:f>
              <c:numCache>
                <c:formatCode>General</c:formatCode>
                <c:ptCount val="250"/>
                <c:pt idx="0">
                  <c:v>#N/A</c:v>
                </c:pt>
                <c:pt idx="1">
                  <c:v>#N/A</c:v>
                </c:pt>
                <c:pt idx="2">
                  <c:v>5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2</c:v>
                </c:pt>
                <c:pt idx="8">
                  <c:v>#N/A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6</c:v>
                </c:pt>
                <c:pt idx="13">
                  <c:v>#N/A</c:v>
                </c:pt>
                <c:pt idx="14">
                  <c:v>4</c:v>
                </c:pt>
                <c:pt idx="15">
                  <c:v>#N/A</c:v>
                </c:pt>
                <c:pt idx="16">
                  <c:v>8</c:v>
                </c:pt>
                <c:pt idx="17">
                  <c:v>7</c:v>
                </c:pt>
                <c:pt idx="18">
                  <c:v>#N/A</c:v>
                </c:pt>
                <c:pt idx="19">
                  <c:v>#N/A</c:v>
                </c:pt>
                <c:pt idx="20">
                  <c:v>4</c:v>
                </c:pt>
                <c:pt idx="21">
                  <c:v>#N/A</c:v>
                </c:pt>
                <c:pt idx="22">
                  <c:v>#N/A</c:v>
                </c:pt>
                <c:pt idx="23">
                  <c:v>6</c:v>
                </c:pt>
                <c:pt idx="24">
                  <c:v>5</c:v>
                </c:pt>
                <c:pt idx="25">
                  <c:v>3</c:v>
                </c:pt>
                <c:pt idx="26">
                  <c:v>9</c:v>
                </c:pt>
                <c:pt idx="27">
                  <c:v>5</c:v>
                </c:pt>
                <c:pt idx="28">
                  <c:v>5</c:v>
                </c:pt>
                <c:pt idx="29">
                  <c:v>#N/A</c:v>
                </c:pt>
                <c:pt idx="30">
                  <c:v>#N/A</c:v>
                </c:pt>
                <c:pt idx="31">
                  <c:v>1</c:v>
                </c:pt>
                <c:pt idx="32">
                  <c:v>7</c:v>
                </c:pt>
                <c:pt idx="33">
                  <c:v>#N/A</c:v>
                </c:pt>
                <c:pt idx="34">
                  <c:v>#N/A</c:v>
                </c:pt>
                <c:pt idx="35">
                  <c:v>2</c:v>
                </c:pt>
                <c:pt idx="36">
                  <c:v>3</c:v>
                </c:pt>
                <c:pt idx="37">
                  <c:v>1</c:v>
                </c:pt>
                <c:pt idx="38">
                  <c:v>#N/A</c:v>
                </c:pt>
                <c:pt idx="39">
                  <c:v>7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4</c:v>
                </c:pt>
                <c:pt idx="44">
                  <c:v>#N/A</c:v>
                </c:pt>
                <c:pt idx="45">
                  <c:v>8</c:v>
                </c:pt>
                <c:pt idx="46">
                  <c:v>3</c:v>
                </c:pt>
                <c:pt idx="47">
                  <c:v>#N/A</c:v>
                </c:pt>
                <c:pt idx="48">
                  <c:v>4</c:v>
                </c:pt>
                <c:pt idx="49">
                  <c:v>#N/A</c:v>
                </c:pt>
                <c:pt idx="50">
                  <c:v>9</c:v>
                </c:pt>
                <c:pt idx="51">
                  <c:v>8</c:v>
                </c:pt>
                <c:pt idx="52">
                  <c:v>8</c:v>
                </c:pt>
                <c:pt idx="53">
                  <c:v>10</c:v>
                </c:pt>
                <c:pt idx="54">
                  <c:v>#N/A</c:v>
                </c:pt>
                <c:pt idx="55">
                  <c:v>#N/A</c:v>
                </c:pt>
                <c:pt idx="56">
                  <c:v>6</c:v>
                </c:pt>
                <c:pt idx="57">
                  <c:v>9</c:v>
                </c:pt>
                <c:pt idx="58">
                  <c:v>#N/A</c:v>
                </c:pt>
                <c:pt idx="59">
                  <c:v>3</c:v>
                </c:pt>
                <c:pt idx="60">
                  <c:v>#N/A</c:v>
                </c:pt>
                <c:pt idx="61">
                  <c:v>10</c:v>
                </c:pt>
                <c:pt idx="62">
                  <c:v>#N/A</c:v>
                </c:pt>
                <c:pt idx="63">
                  <c:v>9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9</c:v>
                </c:pt>
                <c:pt idx="69">
                  <c:v>#N/A</c:v>
                </c:pt>
                <c:pt idx="70">
                  <c:v>4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1</c:v>
                </c:pt>
                <c:pt idx="77">
                  <c:v>9</c:v>
                </c:pt>
                <c:pt idx="78">
                  <c:v>#N/A</c:v>
                </c:pt>
                <c:pt idx="79">
                  <c:v>8</c:v>
                </c:pt>
                <c:pt idx="80">
                  <c:v>#N/A</c:v>
                </c:pt>
                <c:pt idx="81">
                  <c:v>#N/A</c:v>
                </c:pt>
                <c:pt idx="82">
                  <c:v>5</c:v>
                </c:pt>
                <c:pt idx="83">
                  <c:v>3</c:v>
                </c:pt>
                <c:pt idx="84">
                  <c:v>9</c:v>
                </c:pt>
                <c:pt idx="85">
                  <c:v>9</c:v>
                </c:pt>
                <c:pt idx="86">
                  <c:v>#N/A</c:v>
                </c:pt>
                <c:pt idx="87">
                  <c:v>4</c:v>
                </c:pt>
                <c:pt idx="88">
                  <c:v>8</c:v>
                </c:pt>
                <c:pt idx="89">
                  <c:v>#N/A</c:v>
                </c:pt>
                <c:pt idx="90">
                  <c:v>9</c:v>
                </c:pt>
                <c:pt idx="91">
                  <c:v>#N/A</c:v>
                </c:pt>
                <c:pt idx="92">
                  <c:v>#N/A</c:v>
                </c:pt>
                <c:pt idx="93">
                  <c:v>8</c:v>
                </c:pt>
                <c:pt idx="94">
                  <c:v>7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5</c:v>
                </c:pt>
                <c:pt idx="100">
                  <c:v>5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5</c:v>
                </c:pt>
                <c:pt idx="106">
                  <c:v>9</c:v>
                </c:pt>
                <c:pt idx="107">
                  <c:v>9</c:v>
                </c:pt>
                <c:pt idx="108">
                  <c:v>#N/A</c:v>
                </c:pt>
                <c:pt idx="109">
                  <c:v>3</c:v>
                </c:pt>
                <c:pt idx="110">
                  <c:v>1</c:v>
                </c:pt>
                <c:pt idx="111">
                  <c:v>2</c:v>
                </c:pt>
                <c:pt idx="112">
                  <c:v>8</c:v>
                </c:pt>
                <c:pt idx="113">
                  <c:v>#N/A</c:v>
                </c:pt>
                <c:pt idx="114">
                  <c:v>8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9</c:v>
                </c:pt>
                <c:pt idx="119">
                  <c:v>3</c:v>
                </c:pt>
                <c:pt idx="120">
                  <c:v>10</c:v>
                </c:pt>
                <c:pt idx="121">
                  <c:v>#N/A</c:v>
                </c:pt>
                <c:pt idx="122">
                  <c:v>6</c:v>
                </c:pt>
                <c:pt idx="123">
                  <c:v>8</c:v>
                </c:pt>
                <c:pt idx="124">
                  <c:v>5</c:v>
                </c:pt>
                <c:pt idx="125">
                  <c:v>3</c:v>
                </c:pt>
                <c:pt idx="126">
                  <c:v>6</c:v>
                </c:pt>
                <c:pt idx="127">
                  <c:v>4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6</c:v>
                </c:pt>
                <c:pt idx="135">
                  <c:v>#N/A</c:v>
                </c:pt>
                <c:pt idx="136">
                  <c:v>#N/A</c:v>
                </c:pt>
                <c:pt idx="137">
                  <c:v>2</c:v>
                </c:pt>
                <c:pt idx="138">
                  <c:v>8</c:v>
                </c:pt>
                <c:pt idx="139">
                  <c:v>#N/A</c:v>
                </c:pt>
                <c:pt idx="140">
                  <c:v>7</c:v>
                </c:pt>
                <c:pt idx="141">
                  <c:v>9</c:v>
                </c:pt>
                <c:pt idx="142">
                  <c:v>#N/A</c:v>
                </c:pt>
                <c:pt idx="143">
                  <c:v>8</c:v>
                </c:pt>
                <c:pt idx="144">
                  <c:v>7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6</c:v>
                </c:pt>
                <c:pt idx="152">
                  <c:v>10</c:v>
                </c:pt>
                <c:pt idx="153">
                  <c:v>#N/A</c:v>
                </c:pt>
                <c:pt idx="154">
                  <c:v>3</c:v>
                </c:pt>
                <c:pt idx="155">
                  <c:v>10</c:v>
                </c:pt>
                <c:pt idx="156">
                  <c:v>#N/A</c:v>
                </c:pt>
                <c:pt idx="157">
                  <c:v>9</c:v>
                </c:pt>
                <c:pt idx="158">
                  <c:v>1</c:v>
                </c:pt>
                <c:pt idx="159">
                  <c:v>#N/A</c:v>
                </c:pt>
                <c:pt idx="160">
                  <c:v>8</c:v>
                </c:pt>
                <c:pt idx="161">
                  <c:v>3</c:v>
                </c:pt>
                <c:pt idx="162">
                  <c:v>#N/A</c:v>
                </c:pt>
                <c:pt idx="163">
                  <c:v>8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1</c:v>
                </c:pt>
                <c:pt idx="171">
                  <c:v>10</c:v>
                </c:pt>
                <c:pt idx="172">
                  <c:v>7</c:v>
                </c:pt>
                <c:pt idx="173">
                  <c:v>5</c:v>
                </c:pt>
                <c:pt idx="174">
                  <c:v>5</c:v>
                </c:pt>
                <c:pt idx="175">
                  <c:v>1</c:v>
                </c:pt>
                <c:pt idx="176">
                  <c:v>#N/A</c:v>
                </c:pt>
                <c:pt idx="177">
                  <c:v>6</c:v>
                </c:pt>
                <c:pt idx="178">
                  <c:v>9</c:v>
                </c:pt>
                <c:pt idx="179">
                  <c:v>9</c:v>
                </c:pt>
                <c:pt idx="180">
                  <c:v>8</c:v>
                </c:pt>
                <c:pt idx="181">
                  <c:v>5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5</c:v>
                </c:pt>
                <c:pt idx="187">
                  <c:v>3</c:v>
                </c:pt>
                <c:pt idx="188">
                  <c:v>#N/A</c:v>
                </c:pt>
                <c:pt idx="189">
                  <c:v>7</c:v>
                </c:pt>
                <c:pt idx="190">
                  <c:v>9</c:v>
                </c:pt>
                <c:pt idx="191">
                  <c:v>7</c:v>
                </c:pt>
                <c:pt idx="192">
                  <c:v>3</c:v>
                </c:pt>
                <c:pt idx="193">
                  <c:v>#N/A</c:v>
                </c:pt>
                <c:pt idx="194">
                  <c:v>8</c:v>
                </c:pt>
                <c:pt idx="195">
                  <c:v>3</c:v>
                </c:pt>
                <c:pt idx="196">
                  <c:v>#N/A</c:v>
                </c:pt>
                <c:pt idx="197">
                  <c:v>8</c:v>
                </c:pt>
                <c:pt idx="198">
                  <c:v>5</c:v>
                </c:pt>
                <c:pt idx="199">
                  <c:v>#N/A</c:v>
                </c:pt>
                <c:pt idx="200">
                  <c:v>10</c:v>
                </c:pt>
                <c:pt idx="201">
                  <c:v>7</c:v>
                </c:pt>
                <c:pt idx="202">
                  <c:v>#N/A</c:v>
                </c:pt>
                <c:pt idx="203">
                  <c:v>5</c:v>
                </c:pt>
                <c:pt idx="204">
                  <c:v>8</c:v>
                </c:pt>
                <c:pt idx="205">
                  <c:v>9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4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1</c:v>
                </c:pt>
                <c:pt idx="215">
                  <c:v>4</c:v>
                </c:pt>
                <c:pt idx="216">
                  <c:v>#N/A</c:v>
                </c:pt>
                <c:pt idx="217">
                  <c:v>5</c:v>
                </c:pt>
                <c:pt idx="218">
                  <c:v>#N/A</c:v>
                </c:pt>
                <c:pt idx="219">
                  <c:v>8</c:v>
                </c:pt>
                <c:pt idx="220">
                  <c:v>4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3</c:v>
                </c:pt>
                <c:pt idx="225">
                  <c:v>9</c:v>
                </c:pt>
                <c:pt idx="226">
                  <c:v>#N/A</c:v>
                </c:pt>
                <c:pt idx="227">
                  <c:v>2</c:v>
                </c:pt>
                <c:pt idx="228">
                  <c:v>#N/A</c:v>
                </c:pt>
                <c:pt idx="229">
                  <c:v>#N/A</c:v>
                </c:pt>
                <c:pt idx="230">
                  <c:v>2</c:v>
                </c:pt>
                <c:pt idx="231">
                  <c:v>3</c:v>
                </c:pt>
                <c:pt idx="232">
                  <c:v>10</c:v>
                </c:pt>
                <c:pt idx="233">
                  <c:v>#N/A</c:v>
                </c:pt>
                <c:pt idx="234">
                  <c:v>#N/A</c:v>
                </c:pt>
                <c:pt idx="235">
                  <c:v>6</c:v>
                </c:pt>
                <c:pt idx="236">
                  <c:v>9</c:v>
                </c:pt>
                <c:pt idx="237">
                  <c:v>9</c:v>
                </c:pt>
                <c:pt idx="238">
                  <c:v>#N/A</c:v>
                </c:pt>
                <c:pt idx="239">
                  <c:v>3</c:v>
                </c:pt>
                <c:pt idx="240">
                  <c:v>#N/A</c:v>
                </c:pt>
                <c:pt idx="241">
                  <c:v>#N/A</c:v>
                </c:pt>
                <c:pt idx="242">
                  <c:v>5</c:v>
                </c:pt>
                <c:pt idx="243">
                  <c:v>#N/A</c:v>
                </c:pt>
                <c:pt idx="244">
                  <c:v>6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9</c:v>
                </c:pt>
              </c:numCache>
            </c:numRef>
          </c:xVal>
          <c:yVal>
            <c:numRef>
              <c:f>'2.4 Sat &lt;&gt; MonthlyCharge'!$O$2:$O$251</c:f>
              <c:numCache>
                <c:formatCode>General</c:formatCode>
                <c:ptCount val="250"/>
                <c:pt idx="0">
                  <c:v>#N/A</c:v>
                </c:pt>
                <c:pt idx="1">
                  <c:v>#N/A</c:v>
                </c:pt>
                <c:pt idx="2">
                  <c:v>75.16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118.53</c:v>
                </c:pt>
                <c:pt idx="8">
                  <c:v>#N/A</c:v>
                </c:pt>
                <c:pt idx="9">
                  <c:v>94.96</c:v>
                </c:pt>
                <c:pt idx="10">
                  <c:v>59.3</c:v>
                </c:pt>
                <c:pt idx="11">
                  <c:v>102.92</c:v>
                </c:pt>
                <c:pt idx="12">
                  <c:v>76.91</c:v>
                </c:pt>
                <c:pt idx="13">
                  <c:v>#N/A</c:v>
                </c:pt>
                <c:pt idx="14">
                  <c:v>23.68</c:v>
                </c:pt>
                <c:pt idx="15">
                  <c:v>#N/A</c:v>
                </c:pt>
                <c:pt idx="16">
                  <c:v>21.37</c:v>
                </c:pt>
                <c:pt idx="17">
                  <c:v>27.54</c:v>
                </c:pt>
                <c:pt idx="18">
                  <c:v>#N/A</c:v>
                </c:pt>
                <c:pt idx="19">
                  <c:v>#N/A</c:v>
                </c:pt>
                <c:pt idx="20">
                  <c:v>94.99</c:v>
                </c:pt>
                <c:pt idx="21">
                  <c:v>#N/A</c:v>
                </c:pt>
                <c:pt idx="22">
                  <c:v>#N/A</c:v>
                </c:pt>
                <c:pt idx="23">
                  <c:v>92.61</c:v>
                </c:pt>
                <c:pt idx="24">
                  <c:v>95.71</c:v>
                </c:pt>
                <c:pt idx="25">
                  <c:v>57.79</c:v>
                </c:pt>
                <c:pt idx="26">
                  <c:v>44.11</c:v>
                </c:pt>
                <c:pt idx="27">
                  <c:v>40.5</c:v>
                </c:pt>
                <c:pt idx="28">
                  <c:v>45.14</c:v>
                </c:pt>
                <c:pt idx="29">
                  <c:v>#N/A</c:v>
                </c:pt>
                <c:pt idx="30">
                  <c:v>#N/A</c:v>
                </c:pt>
                <c:pt idx="31">
                  <c:v>107.82</c:v>
                </c:pt>
                <c:pt idx="32">
                  <c:v>95.7</c:v>
                </c:pt>
                <c:pt idx="33">
                  <c:v>#N/A</c:v>
                </c:pt>
                <c:pt idx="34">
                  <c:v>#N/A</c:v>
                </c:pt>
                <c:pt idx="35">
                  <c:v>22.22</c:v>
                </c:pt>
                <c:pt idx="36">
                  <c:v>69.819999999999993</c:v>
                </c:pt>
                <c:pt idx="37">
                  <c:v>67.62</c:v>
                </c:pt>
                <c:pt idx="38">
                  <c:v>#N/A</c:v>
                </c:pt>
                <c:pt idx="39">
                  <c:v>50.78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99.18</c:v>
                </c:pt>
                <c:pt idx="44">
                  <c:v>#N/A</c:v>
                </c:pt>
                <c:pt idx="45">
                  <c:v>68</c:v>
                </c:pt>
                <c:pt idx="46">
                  <c:v>62.05</c:v>
                </c:pt>
                <c:pt idx="47">
                  <c:v>#N/A</c:v>
                </c:pt>
                <c:pt idx="48">
                  <c:v>83.94</c:v>
                </c:pt>
                <c:pt idx="49">
                  <c:v>#N/A</c:v>
                </c:pt>
                <c:pt idx="50">
                  <c:v>110.32</c:v>
                </c:pt>
                <c:pt idx="51">
                  <c:v>81.73</c:v>
                </c:pt>
                <c:pt idx="52">
                  <c:v>118.05</c:v>
                </c:pt>
                <c:pt idx="53">
                  <c:v>80.81</c:v>
                </c:pt>
                <c:pt idx="54">
                  <c:v>#N/A</c:v>
                </c:pt>
                <c:pt idx="55">
                  <c:v>#N/A</c:v>
                </c:pt>
                <c:pt idx="56">
                  <c:v>29.1</c:v>
                </c:pt>
                <c:pt idx="57">
                  <c:v>92.64</c:v>
                </c:pt>
                <c:pt idx="58">
                  <c:v>#N/A</c:v>
                </c:pt>
                <c:pt idx="59">
                  <c:v>65.09</c:v>
                </c:pt>
                <c:pt idx="60">
                  <c:v>#N/A</c:v>
                </c:pt>
                <c:pt idx="61">
                  <c:v>49.8</c:v>
                </c:pt>
                <c:pt idx="62">
                  <c:v>#N/A</c:v>
                </c:pt>
                <c:pt idx="63">
                  <c:v>89.76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26.62</c:v>
                </c:pt>
                <c:pt idx="69">
                  <c:v>#N/A</c:v>
                </c:pt>
                <c:pt idx="70">
                  <c:v>82.08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66.010000000000005</c:v>
                </c:pt>
                <c:pt idx="77">
                  <c:v>78.48</c:v>
                </c:pt>
                <c:pt idx="78">
                  <c:v>#N/A</c:v>
                </c:pt>
                <c:pt idx="79">
                  <c:v>89.77</c:v>
                </c:pt>
                <c:pt idx="80">
                  <c:v>#N/A</c:v>
                </c:pt>
                <c:pt idx="81">
                  <c:v>#N/A</c:v>
                </c:pt>
                <c:pt idx="82">
                  <c:v>61.17</c:v>
                </c:pt>
                <c:pt idx="83">
                  <c:v>107.43</c:v>
                </c:pt>
                <c:pt idx="84">
                  <c:v>71.52</c:v>
                </c:pt>
                <c:pt idx="85">
                  <c:v>117.31</c:v>
                </c:pt>
                <c:pt idx="86">
                  <c:v>#N/A</c:v>
                </c:pt>
                <c:pt idx="87">
                  <c:v>42.38</c:v>
                </c:pt>
                <c:pt idx="88">
                  <c:v>102.18</c:v>
                </c:pt>
                <c:pt idx="89">
                  <c:v>#N/A</c:v>
                </c:pt>
                <c:pt idx="90">
                  <c:v>54.76</c:v>
                </c:pt>
                <c:pt idx="91">
                  <c:v>#N/A</c:v>
                </c:pt>
                <c:pt idx="92">
                  <c:v>#N/A</c:v>
                </c:pt>
                <c:pt idx="93">
                  <c:v>73.44</c:v>
                </c:pt>
                <c:pt idx="94">
                  <c:v>55.6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29.23</c:v>
                </c:pt>
                <c:pt idx="100">
                  <c:v>68.11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20.260000000000002</c:v>
                </c:pt>
                <c:pt idx="106">
                  <c:v>106.83</c:v>
                </c:pt>
                <c:pt idx="107">
                  <c:v>28.45</c:v>
                </c:pt>
                <c:pt idx="108">
                  <c:v>#N/A</c:v>
                </c:pt>
                <c:pt idx="109">
                  <c:v>118.63</c:v>
                </c:pt>
                <c:pt idx="110">
                  <c:v>73.66</c:v>
                </c:pt>
                <c:pt idx="111">
                  <c:v>112.4</c:v>
                </c:pt>
                <c:pt idx="112">
                  <c:v>43.61</c:v>
                </c:pt>
                <c:pt idx="113">
                  <c:v>#N/A</c:v>
                </c:pt>
                <c:pt idx="114">
                  <c:v>73.13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33.31</c:v>
                </c:pt>
                <c:pt idx="119">
                  <c:v>88.72</c:v>
                </c:pt>
                <c:pt idx="120">
                  <c:v>104.44</c:v>
                </c:pt>
                <c:pt idx="121">
                  <c:v>#N/A</c:v>
                </c:pt>
                <c:pt idx="122">
                  <c:v>23.05</c:v>
                </c:pt>
                <c:pt idx="123">
                  <c:v>106.72</c:v>
                </c:pt>
                <c:pt idx="124">
                  <c:v>55.41</c:v>
                </c:pt>
                <c:pt idx="125">
                  <c:v>59.72</c:v>
                </c:pt>
                <c:pt idx="126">
                  <c:v>30.49</c:v>
                </c:pt>
                <c:pt idx="127">
                  <c:v>93.74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54.29</c:v>
                </c:pt>
                <c:pt idx="135">
                  <c:v>#N/A</c:v>
                </c:pt>
                <c:pt idx="136">
                  <c:v>#N/A</c:v>
                </c:pt>
                <c:pt idx="137">
                  <c:v>84.88</c:v>
                </c:pt>
                <c:pt idx="138">
                  <c:v>67.959999999999994</c:v>
                </c:pt>
                <c:pt idx="139">
                  <c:v>#N/A</c:v>
                </c:pt>
                <c:pt idx="140">
                  <c:v>93.68</c:v>
                </c:pt>
                <c:pt idx="141">
                  <c:v>75.77</c:v>
                </c:pt>
                <c:pt idx="142">
                  <c:v>#N/A</c:v>
                </c:pt>
                <c:pt idx="143">
                  <c:v>76.45</c:v>
                </c:pt>
                <c:pt idx="144">
                  <c:v>57.88</c:v>
                </c:pt>
                <c:pt idx="145">
                  <c:v>53.74</c:v>
                </c:pt>
                <c:pt idx="146">
                  <c:v>109.96</c:v>
                </c:pt>
                <c:pt idx="147">
                  <c:v>80.760000000000005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113.37</c:v>
                </c:pt>
                <c:pt idx="152">
                  <c:v>20.75</c:v>
                </c:pt>
                <c:pt idx="153">
                  <c:v>#N/A</c:v>
                </c:pt>
                <c:pt idx="154">
                  <c:v>56.54</c:v>
                </c:pt>
                <c:pt idx="155">
                  <c:v>68.78</c:v>
                </c:pt>
                <c:pt idx="156">
                  <c:v>#N/A</c:v>
                </c:pt>
                <c:pt idx="157">
                  <c:v>28.79</c:v>
                </c:pt>
                <c:pt idx="158">
                  <c:v>100.59</c:v>
                </c:pt>
                <c:pt idx="159">
                  <c:v>#N/A</c:v>
                </c:pt>
                <c:pt idx="160">
                  <c:v>104.23</c:v>
                </c:pt>
                <c:pt idx="161">
                  <c:v>25.16</c:v>
                </c:pt>
                <c:pt idx="162">
                  <c:v>#N/A</c:v>
                </c:pt>
                <c:pt idx="163">
                  <c:v>89.7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69.069999999999993</c:v>
                </c:pt>
                <c:pt idx="171">
                  <c:v>92.29</c:v>
                </c:pt>
                <c:pt idx="172">
                  <c:v>102.09</c:v>
                </c:pt>
                <c:pt idx="173">
                  <c:v>91.85</c:v>
                </c:pt>
                <c:pt idx="174">
                  <c:v>73.5</c:v>
                </c:pt>
                <c:pt idx="175">
                  <c:v>67.66</c:v>
                </c:pt>
                <c:pt idx="176">
                  <c:v>#N/A</c:v>
                </c:pt>
                <c:pt idx="177">
                  <c:v>40.51</c:v>
                </c:pt>
                <c:pt idx="178">
                  <c:v>116.8</c:v>
                </c:pt>
                <c:pt idx="179">
                  <c:v>91.1</c:v>
                </c:pt>
                <c:pt idx="180">
                  <c:v>39.950000000000003</c:v>
                </c:pt>
                <c:pt idx="181">
                  <c:v>93.62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70.61</c:v>
                </c:pt>
                <c:pt idx="187">
                  <c:v>113.2</c:v>
                </c:pt>
                <c:pt idx="188">
                  <c:v>#N/A</c:v>
                </c:pt>
                <c:pt idx="189">
                  <c:v>79.39</c:v>
                </c:pt>
                <c:pt idx="190">
                  <c:v>56.92</c:v>
                </c:pt>
                <c:pt idx="191">
                  <c:v>65.430000000000007</c:v>
                </c:pt>
                <c:pt idx="192">
                  <c:v>74.86</c:v>
                </c:pt>
                <c:pt idx="193">
                  <c:v>#N/A</c:v>
                </c:pt>
                <c:pt idx="194">
                  <c:v>40.17</c:v>
                </c:pt>
                <c:pt idx="195">
                  <c:v>88.46</c:v>
                </c:pt>
                <c:pt idx="196">
                  <c:v>#N/A</c:v>
                </c:pt>
                <c:pt idx="197">
                  <c:v>33.880000000000003</c:v>
                </c:pt>
                <c:pt idx="198">
                  <c:v>20.27</c:v>
                </c:pt>
                <c:pt idx="199">
                  <c:v>#N/A</c:v>
                </c:pt>
                <c:pt idx="200">
                  <c:v>67.319999999999993</c:v>
                </c:pt>
                <c:pt idx="201">
                  <c:v>80.61</c:v>
                </c:pt>
                <c:pt idx="202">
                  <c:v>#N/A</c:v>
                </c:pt>
                <c:pt idx="203">
                  <c:v>30.67</c:v>
                </c:pt>
                <c:pt idx="204">
                  <c:v>105.07</c:v>
                </c:pt>
                <c:pt idx="205">
                  <c:v>94.6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40.5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98.15</c:v>
                </c:pt>
                <c:pt idx="215">
                  <c:v>102.79</c:v>
                </c:pt>
                <c:pt idx="216">
                  <c:v>#N/A</c:v>
                </c:pt>
                <c:pt idx="217">
                  <c:v>99.95</c:v>
                </c:pt>
                <c:pt idx="218">
                  <c:v>#N/A</c:v>
                </c:pt>
                <c:pt idx="219">
                  <c:v>38.64</c:v>
                </c:pt>
                <c:pt idx="220">
                  <c:v>43.57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78.83</c:v>
                </c:pt>
                <c:pt idx="225">
                  <c:v>88.3</c:v>
                </c:pt>
                <c:pt idx="226">
                  <c:v>#N/A</c:v>
                </c:pt>
                <c:pt idx="227">
                  <c:v>91.38</c:v>
                </c:pt>
                <c:pt idx="228">
                  <c:v>#N/A</c:v>
                </c:pt>
                <c:pt idx="229">
                  <c:v>#N/A</c:v>
                </c:pt>
                <c:pt idx="230">
                  <c:v>73.98</c:v>
                </c:pt>
                <c:pt idx="231">
                  <c:v>63.87</c:v>
                </c:pt>
                <c:pt idx="232">
                  <c:v>77.75</c:v>
                </c:pt>
                <c:pt idx="233">
                  <c:v>#N/A</c:v>
                </c:pt>
                <c:pt idx="234">
                  <c:v>#N/A</c:v>
                </c:pt>
                <c:pt idx="235">
                  <c:v>73.19</c:v>
                </c:pt>
                <c:pt idx="236">
                  <c:v>26.66</c:v>
                </c:pt>
                <c:pt idx="237">
                  <c:v>42.9</c:v>
                </c:pt>
                <c:pt idx="238">
                  <c:v>#N/A</c:v>
                </c:pt>
                <c:pt idx="239">
                  <c:v>63.15</c:v>
                </c:pt>
                <c:pt idx="240">
                  <c:v>#N/A</c:v>
                </c:pt>
                <c:pt idx="241">
                  <c:v>#N/A</c:v>
                </c:pt>
                <c:pt idx="242">
                  <c:v>89.37</c:v>
                </c:pt>
                <c:pt idx="243">
                  <c:v>#N/A</c:v>
                </c:pt>
                <c:pt idx="244">
                  <c:v>107.86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95.24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8E-9E4B-96B5-D67DC1EC762A}"/>
            </c:ext>
          </c:extLst>
        </c:ser>
        <c:ser>
          <c:idx val="1"/>
          <c:order val="1"/>
          <c:tx>
            <c:strRef>
              <c:f>'2.4 Sat &lt;&gt; MonthlyCharge'!$Q$1</c:f>
              <c:strCache>
                <c:ptCount val="1"/>
                <c:pt idx="0">
                  <c:v>Churn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>
                  <a:alpha val="39919"/>
                </a:srgb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'2.4 Sat &lt;&gt; MonthlyCharge'!$P$2:$P$251</c:f>
              <c:numCache>
                <c:formatCode>General</c:formatCode>
                <c:ptCount val="250"/>
                <c:pt idx="0">
                  <c:v>6</c:v>
                </c:pt>
                <c:pt idx="1">
                  <c:v>1</c:v>
                </c:pt>
                <c:pt idx="2">
                  <c:v>#N/A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#N/A</c:v>
                </c:pt>
                <c:pt idx="8">
                  <c:v>3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9</c:v>
                </c:pt>
                <c:pt idx="14">
                  <c:v>#N/A</c:v>
                </c:pt>
                <c:pt idx="15">
                  <c:v>1</c:v>
                </c:pt>
                <c:pt idx="16">
                  <c:v>#N/A</c:v>
                </c:pt>
                <c:pt idx="17">
                  <c:v>#N/A</c:v>
                </c:pt>
                <c:pt idx="18">
                  <c:v>7</c:v>
                </c:pt>
                <c:pt idx="19">
                  <c:v>3</c:v>
                </c:pt>
                <c:pt idx="20">
                  <c:v>#N/A</c:v>
                </c:pt>
                <c:pt idx="21">
                  <c:v>10</c:v>
                </c:pt>
                <c:pt idx="22">
                  <c:v>9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4</c:v>
                </c:pt>
                <c:pt idx="30">
                  <c:v>4</c:v>
                </c:pt>
                <c:pt idx="31">
                  <c:v>#N/A</c:v>
                </c:pt>
                <c:pt idx="32">
                  <c:v>#N/A</c:v>
                </c:pt>
                <c:pt idx="33">
                  <c:v>9</c:v>
                </c:pt>
                <c:pt idx="34">
                  <c:v>3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6</c:v>
                </c:pt>
                <c:pt idx="39">
                  <c:v>#N/A</c:v>
                </c:pt>
                <c:pt idx="40">
                  <c:v>2</c:v>
                </c:pt>
                <c:pt idx="41">
                  <c:v>8</c:v>
                </c:pt>
                <c:pt idx="42">
                  <c:v>6</c:v>
                </c:pt>
                <c:pt idx="43">
                  <c:v>#N/A</c:v>
                </c:pt>
                <c:pt idx="44">
                  <c:v>5</c:v>
                </c:pt>
                <c:pt idx="45">
                  <c:v>#N/A</c:v>
                </c:pt>
                <c:pt idx="46">
                  <c:v>#N/A</c:v>
                </c:pt>
                <c:pt idx="47">
                  <c:v>3</c:v>
                </c:pt>
                <c:pt idx="48">
                  <c:v>#N/A</c:v>
                </c:pt>
                <c:pt idx="49">
                  <c:v>1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6</c:v>
                </c:pt>
                <c:pt idx="55">
                  <c:v>7</c:v>
                </c:pt>
                <c:pt idx="56">
                  <c:v>#N/A</c:v>
                </c:pt>
                <c:pt idx="57">
                  <c:v>#N/A</c:v>
                </c:pt>
                <c:pt idx="58">
                  <c:v>3</c:v>
                </c:pt>
                <c:pt idx="59">
                  <c:v>#N/A</c:v>
                </c:pt>
                <c:pt idx="60">
                  <c:v>3</c:v>
                </c:pt>
                <c:pt idx="61">
                  <c:v>#N/A</c:v>
                </c:pt>
                <c:pt idx="62">
                  <c:v>3</c:v>
                </c:pt>
                <c:pt idx="63">
                  <c:v>#N/A</c:v>
                </c:pt>
                <c:pt idx="64">
                  <c:v>4</c:v>
                </c:pt>
                <c:pt idx="65">
                  <c:v>7</c:v>
                </c:pt>
                <c:pt idx="66">
                  <c:v>9</c:v>
                </c:pt>
                <c:pt idx="67">
                  <c:v>7</c:v>
                </c:pt>
                <c:pt idx="68">
                  <c:v>#N/A</c:v>
                </c:pt>
                <c:pt idx="69">
                  <c:v>3</c:v>
                </c:pt>
                <c:pt idx="70">
                  <c:v>#N/A</c:v>
                </c:pt>
                <c:pt idx="71">
                  <c:v>8</c:v>
                </c:pt>
                <c:pt idx="72">
                  <c:v>6</c:v>
                </c:pt>
                <c:pt idx="73">
                  <c:v>5</c:v>
                </c:pt>
                <c:pt idx="74">
                  <c:v>4</c:v>
                </c:pt>
                <c:pt idx="75">
                  <c:v>8</c:v>
                </c:pt>
                <c:pt idx="76">
                  <c:v>#N/A</c:v>
                </c:pt>
                <c:pt idx="77">
                  <c:v>#N/A</c:v>
                </c:pt>
                <c:pt idx="78">
                  <c:v>1</c:v>
                </c:pt>
                <c:pt idx="79">
                  <c:v>#N/A</c:v>
                </c:pt>
                <c:pt idx="80">
                  <c:v>4</c:v>
                </c:pt>
                <c:pt idx="81">
                  <c:v>9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4</c:v>
                </c:pt>
                <c:pt idx="87">
                  <c:v>#N/A</c:v>
                </c:pt>
                <c:pt idx="88">
                  <c:v>#N/A</c:v>
                </c:pt>
                <c:pt idx="89">
                  <c:v>2</c:v>
                </c:pt>
                <c:pt idx="90">
                  <c:v>#N/A</c:v>
                </c:pt>
                <c:pt idx="91">
                  <c:v>6</c:v>
                </c:pt>
                <c:pt idx="92">
                  <c:v>9</c:v>
                </c:pt>
                <c:pt idx="93">
                  <c:v>#N/A</c:v>
                </c:pt>
                <c:pt idx="94">
                  <c:v>#N/A</c:v>
                </c:pt>
                <c:pt idx="95">
                  <c:v>1</c:v>
                </c:pt>
                <c:pt idx="96">
                  <c:v>3</c:v>
                </c:pt>
                <c:pt idx="97">
                  <c:v>2</c:v>
                </c:pt>
                <c:pt idx="98">
                  <c:v>5</c:v>
                </c:pt>
                <c:pt idx="99">
                  <c:v>#N/A</c:v>
                </c:pt>
                <c:pt idx="100">
                  <c:v>#N/A</c:v>
                </c:pt>
                <c:pt idx="101">
                  <c:v>4</c:v>
                </c:pt>
                <c:pt idx="102">
                  <c:v>5</c:v>
                </c:pt>
                <c:pt idx="103">
                  <c:v>3</c:v>
                </c:pt>
                <c:pt idx="104">
                  <c:v>1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4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1</c:v>
                </c:pt>
                <c:pt idx="114">
                  <c:v>#N/A</c:v>
                </c:pt>
                <c:pt idx="115">
                  <c:v>7</c:v>
                </c:pt>
                <c:pt idx="116">
                  <c:v>8</c:v>
                </c:pt>
                <c:pt idx="117">
                  <c:v>6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4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9</c:v>
                </c:pt>
                <c:pt idx="129">
                  <c:v>3</c:v>
                </c:pt>
                <c:pt idx="130">
                  <c:v>4</c:v>
                </c:pt>
                <c:pt idx="131">
                  <c:v>7</c:v>
                </c:pt>
                <c:pt idx="132">
                  <c:v>7</c:v>
                </c:pt>
                <c:pt idx="133">
                  <c:v>4</c:v>
                </c:pt>
                <c:pt idx="134">
                  <c:v>#N/A</c:v>
                </c:pt>
                <c:pt idx="135">
                  <c:v>3</c:v>
                </c:pt>
                <c:pt idx="136">
                  <c:v>6</c:v>
                </c:pt>
                <c:pt idx="137">
                  <c:v>#N/A</c:v>
                </c:pt>
                <c:pt idx="138">
                  <c:v>#N/A</c:v>
                </c:pt>
                <c:pt idx="139">
                  <c:v>2</c:v>
                </c:pt>
                <c:pt idx="140">
                  <c:v>#N/A</c:v>
                </c:pt>
                <c:pt idx="141">
                  <c:v>#N/A</c:v>
                </c:pt>
                <c:pt idx="142">
                  <c:v>1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9</c:v>
                </c:pt>
                <c:pt idx="149">
                  <c:v>2</c:v>
                </c:pt>
                <c:pt idx="150">
                  <c:v>1</c:v>
                </c:pt>
                <c:pt idx="151">
                  <c:v>#N/A</c:v>
                </c:pt>
                <c:pt idx="152">
                  <c:v>#N/A</c:v>
                </c:pt>
                <c:pt idx="153">
                  <c:v>8</c:v>
                </c:pt>
                <c:pt idx="154">
                  <c:v>#N/A</c:v>
                </c:pt>
                <c:pt idx="155">
                  <c:v>#N/A</c:v>
                </c:pt>
                <c:pt idx="156">
                  <c:v>1</c:v>
                </c:pt>
                <c:pt idx="157">
                  <c:v>#N/A</c:v>
                </c:pt>
                <c:pt idx="158">
                  <c:v>#N/A</c:v>
                </c:pt>
                <c:pt idx="159">
                  <c:v>3</c:v>
                </c:pt>
                <c:pt idx="160">
                  <c:v>#N/A</c:v>
                </c:pt>
                <c:pt idx="161">
                  <c:v>#N/A</c:v>
                </c:pt>
                <c:pt idx="162">
                  <c:v>4</c:v>
                </c:pt>
                <c:pt idx="163">
                  <c:v>#N/A</c:v>
                </c:pt>
                <c:pt idx="164">
                  <c:v>1</c:v>
                </c:pt>
                <c:pt idx="165">
                  <c:v>6</c:v>
                </c:pt>
                <c:pt idx="166">
                  <c:v>1</c:v>
                </c:pt>
                <c:pt idx="167">
                  <c:v>1</c:v>
                </c:pt>
                <c:pt idx="168">
                  <c:v>8</c:v>
                </c:pt>
                <c:pt idx="169">
                  <c:v>4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10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1</c:v>
                </c:pt>
                <c:pt idx="183">
                  <c:v>9</c:v>
                </c:pt>
                <c:pt idx="184">
                  <c:v>1</c:v>
                </c:pt>
                <c:pt idx="185">
                  <c:v>8</c:v>
                </c:pt>
                <c:pt idx="186">
                  <c:v>#N/A</c:v>
                </c:pt>
                <c:pt idx="187">
                  <c:v>#N/A</c:v>
                </c:pt>
                <c:pt idx="188">
                  <c:v>7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1</c:v>
                </c:pt>
                <c:pt idx="194">
                  <c:v>#N/A</c:v>
                </c:pt>
                <c:pt idx="195">
                  <c:v>#N/A</c:v>
                </c:pt>
                <c:pt idx="196">
                  <c:v>8</c:v>
                </c:pt>
                <c:pt idx="197">
                  <c:v>#N/A</c:v>
                </c:pt>
                <c:pt idx="198">
                  <c:v>#N/A</c:v>
                </c:pt>
                <c:pt idx="199">
                  <c:v>1</c:v>
                </c:pt>
                <c:pt idx="200">
                  <c:v>#N/A</c:v>
                </c:pt>
                <c:pt idx="201">
                  <c:v>#N/A</c:v>
                </c:pt>
                <c:pt idx="202">
                  <c:v>10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7</c:v>
                </c:pt>
                <c:pt idx="207">
                  <c:v>7</c:v>
                </c:pt>
                <c:pt idx="208">
                  <c:v>1</c:v>
                </c:pt>
                <c:pt idx="209">
                  <c:v>#N/A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4</c:v>
                </c:pt>
                <c:pt idx="214">
                  <c:v>#N/A</c:v>
                </c:pt>
                <c:pt idx="215">
                  <c:v>#N/A</c:v>
                </c:pt>
                <c:pt idx="216">
                  <c:v>2</c:v>
                </c:pt>
                <c:pt idx="217">
                  <c:v>#N/A</c:v>
                </c:pt>
                <c:pt idx="218">
                  <c:v>3</c:v>
                </c:pt>
                <c:pt idx="219">
                  <c:v>#N/A</c:v>
                </c:pt>
                <c:pt idx="220">
                  <c:v>#N/A</c:v>
                </c:pt>
                <c:pt idx="221">
                  <c:v>1</c:v>
                </c:pt>
                <c:pt idx="222">
                  <c:v>1</c:v>
                </c:pt>
                <c:pt idx="223">
                  <c:v>10</c:v>
                </c:pt>
                <c:pt idx="224">
                  <c:v>#N/A</c:v>
                </c:pt>
                <c:pt idx="225">
                  <c:v>#N/A</c:v>
                </c:pt>
                <c:pt idx="226">
                  <c:v>7</c:v>
                </c:pt>
                <c:pt idx="227">
                  <c:v>#N/A</c:v>
                </c:pt>
                <c:pt idx="228">
                  <c:v>9</c:v>
                </c:pt>
                <c:pt idx="229">
                  <c:v>10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2</c:v>
                </c:pt>
                <c:pt idx="234">
                  <c:v>3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7</c:v>
                </c:pt>
                <c:pt idx="239">
                  <c:v>#N/A</c:v>
                </c:pt>
                <c:pt idx="240">
                  <c:v>4</c:v>
                </c:pt>
                <c:pt idx="241">
                  <c:v>6</c:v>
                </c:pt>
                <c:pt idx="242">
                  <c:v>#N/A</c:v>
                </c:pt>
                <c:pt idx="243">
                  <c:v>2</c:v>
                </c:pt>
                <c:pt idx="244">
                  <c:v>#N/A</c:v>
                </c:pt>
                <c:pt idx="245">
                  <c:v>3</c:v>
                </c:pt>
                <c:pt idx="246">
                  <c:v>8</c:v>
                </c:pt>
                <c:pt idx="247">
                  <c:v>2</c:v>
                </c:pt>
                <c:pt idx="248">
                  <c:v>1</c:v>
                </c:pt>
                <c:pt idx="249">
                  <c:v>#N/A</c:v>
                </c:pt>
              </c:numCache>
            </c:numRef>
          </c:xVal>
          <c:yVal>
            <c:numRef>
              <c:f>'2.4 Sat &lt;&gt; MonthlyCharge'!$Q$2:$Q$251</c:f>
              <c:numCache>
                <c:formatCode>General</c:formatCode>
                <c:ptCount val="250"/>
                <c:pt idx="0">
                  <c:v>28.27</c:v>
                </c:pt>
                <c:pt idx="1">
                  <c:v>107.67</c:v>
                </c:pt>
                <c:pt idx="2">
                  <c:v>#N/A</c:v>
                </c:pt>
                <c:pt idx="3">
                  <c:v>36.479999999999997</c:v>
                </c:pt>
                <c:pt idx="4">
                  <c:v>61.13</c:v>
                </c:pt>
                <c:pt idx="5">
                  <c:v>97.76</c:v>
                </c:pt>
                <c:pt idx="6">
                  <c:v>68.040000000000006</c:v>
                </c:pt>
                <c:pt idx="7">
                  <c:v>#N/A</c:v>
                </c:pt>
                <c:pt idx="8">
                  <c:v>57.67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26.35</c:v>
                </c:pt>
                <c:pt idx="14">
                  <c:v>#N/A</c:v>
                </c:pt>
                <c:pt idx="15">
                  <c:v>33.39</c:v>
                </c:pt>
                <c:pt idx="16">
                  <c:v>#N/A</c:v>
                </c:pt>
                <c:pt idx="17">
                  <c:v>#N/A</c:v>
                </c:pt>
                <c:pt idx="18">
                  <c:v>89.17</c:v>
                </c:pt>
                <c:pt idx="19">
                  <c:v>73.430000000000007</c:v>
                </c:pt>
                <c:pt idx="20">
                  <c:v>#N/A</c:v>
                </c:pt>
                <c:pt idx="21">
                  <c:v>111.32</c:v>
                </c:pt>
                <c:pt idx="22">
                  <c:v>78.510000000000005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47.47</c:v>
                </c:pt>
                <c:pt idx="30">
                  <c:v>40.72</c:v>
                </c:pt>
                <c:pt idx="31">
                  <c:v>#N/A</c:v>
                </c:pt>
                <c:pt idx="32">
                  <c:v>#N/A</c:v>
                </c:pt>
                <c:pt idx="33">
                  <c:v>24.69</c:v>
                </c:pt>
                <c:pt idx="34">
                  <c:v>46.87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103.14</c:v>
                </c:pt>
                <c:pt idx="39">
                  <c:v>#N/A</c:v>
                </c:pt>
                <c:pt idx="40">
                  <c:v>101.64</c:v>
                </c:pt>
                <c:pt idx="41">
                  <c:v>116.8</c:v>
                </c:pt>
                <c:pt idx="42">
                  <c:v>28.84</c:v>
                </c:pt>
                <c:pt idx="43">
                  <c:v>#N/A</c:v>
                </c:pt>
                <c:pt idx="44">
                  <c:v>79</c:v>
                </c:pt>
                <c:pt idx="45">
                  <c:v>#N/A</c:v>
                </c:pt>
                <c:pt idx="46">
                  <c:v>#N/A</c:v>
                </c:pt>
                <c:pt idx="47">
                  <c:v>98.47</c:v>
                </c:pt>
                <c:pt idx="48">
                  <c:v>#N/A</c:v>
                </c:pt>
                <c:pt idx="49">
                  <c:v>100.5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83.66</c:v>
                </c:pt>
                <c:pt idx="55">
                  <c:v>75.48</c:v>
                </c:pt>
                <c:pt idx="56">
                  <c:v>#N/A</c:v>
                </c:pt>
                <c:pt idx="57">
                  <c:v>#N/A</c:v>
                </c:pt>
                <c:pt idx="58">
                  <c:v>74.739999999999995</c:v>
                </c:pt>
                <c:pt idx="59">
                  <c:v>#N/A</c:v>
                </c:pt>
                <c:pt idx="60">
                  <c:v>111.05</c:v>
                </c:pt>
                <c:pt idx="61">
                  <c:v>#N/A</c:v>
                </c:pt>
                <c:pt idx="62">
                  <c:v>72.36</c:v>
                </c:pt>
                <c:pt idx="63">
                  <c:v>#N/A</c:v>
                </c:pt>
                <c:pt idx="64">
                  <c:v>99.65</c:v>
                </c:pt>
                <c:pt idx="65">
                  <c:v>65.930000000000007</c:v>
                </c:pt>
                <c:pt idx="66">
                  <c:v>104.21</c:v>
                </c:pt>
                <c:pt idx="67">
                  <c:v>96.89</c:v>
                </c:pt>
                <c:pt idx="68">
                  <c:v>#N/A</c:v>
                </c:pt>
                <c:pt idx="69">
                  <c:v>24.59</c:v>
                </c:pt>
                <c:pt idx="70">
                  <c:v>#N/A</c:v>
                </c:pt>
                <c:pt idx="71">
                  <c:v>54.74</c:v>
                </c:pt>
                <c:pt idx="72">
                  <c:v>40.909999999999997</c:v>
                </c:pt>
                <c:pt idx="73">
                  <c:v>77.959999999999994</c:v>
                </c:pt>
                <c:pt idx="74">
                  <c:v>54.16</c:v>
                </c:pt>
                <c:pt idx="75">
                  <c:v>73.73</c:v>
                </c:pt>
                <c:pt idx="76">
                  <c:v>#N/A</c:v>
                </c:pt>
                <c:pt idx="77">
                  <c:v>#N/A</c:v>
                </c:pt>
                <c:pt idx="78">
                  <c:v>60.03</c:v>
                </c:pt>
                <c:pt idx="79">
                  <c:v>#N/A</c:v>
                </c:pt>
                <c:pt idx="80">
                  <c:v>38.01</c:v>
                </c:pt>
                <c:pt idx="81">
                  <c:v>89.65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80.19</c:v>
                </c:pt>
                <c:pt idx="87">
                  <c:v>#N/A</c:v>
                </c:pt>
                <c:pt idx="88">
                  <c:v>#N/A</c:v>
                </c:pt>
                <c:pt idx="89">
                  <c:v>54.51</c:v>
                </c:pt>
                <c:pt idx="90">
                  <c:v>#N/A</c:v>
                </c:pt>
                <c:pt idx="91">
                  <c:v>23.18</c:v>
                </c:pt>
                <c:pt idx="92">
                  <c:v>74.87</c:v>
                </c:pt>
                <c:pt idx="93">
                  <c:v>#N/A</c:v>
                </c:pt>
                <c:pt idx="94">
                  <c:v>#N/A</c:v>
                </c:pt>
                <c:pt idx="95">
                  <c:v>109.42</c:v>
                </c:pt>
                <c:pt idx="96">
                  <c:v>32.869999999999997</c:v>
                </c:pt>
                <c:pt idx="97">
                  <c:v>53.01</c:v>
                </c:pt>
                <c:pt idx="98">
                  <c:v>52.16</c:v>
                </c:pt>
                <c:pt idx="99">
                  <c:v>#N/A</c:v>
                </c:pt>
                <c:pt idx="100">
                  <c:v>#N/A</c:v>
                </c:pt>
                <c:pt idx="101">
                  <c:v>88.78</c:v>
                </c:pt>
                <c:pt idx="102">
                  <c:v>71.17</c:v>
                </c:pt>
                <c:pt idx="103">
                  <c:v>35.700000000000003</c:v>
                </c:pt>
                <c:pt idx="104">
                  <c:v>57.73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79.73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96</c:v>
                </c:pt>
                <c:pt idx="114">
                  <c:v>#N/A</c:v>
                </c:pt>
                <c:pt idx="115">
                  <c:v>92.05</c:v>
                </c:pt>
                <c:pt idx="116">
                  <c:v>26.23</c:v>
                </c:pt>
                <c:pt idx="117">
                  <c:v>34.770000000000003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94.96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38.229999999999997</c:v>
                </c:pt>
                <c:pt idx="129">
                  <c:v>76.400000000000006</c:v>
                </c:pt>
                <c:pt idx="130">
                  <c:v>104.07</c:v>
                </c:pt>
                <c:pt idx="131">
                  <c:v>28.92</c:v>
                </c:pt>
                <c:pt idx="132">
                  <c:v>73.53</c:v>
                </c:pt>
                <c:pt idx="133">
                  <c:v>43.32</c:v>
                </c:pt>
                <c:pt idx="134">
                  <c:v>#N/A</c:v>
                </c:pt>
                <c:pt idx="135">
                  <c:v>67.400000000000006</c:v>
                </c:pt>
                <c:pt idx="136">
                  <c:v>55.51</c:v>
                </c:pt>
                <c:pt idx="137">
                  <c:v>#N/A</c:v>
                </c:pt>
                <c:pt idx="138">
                  <c:v>#N/A</c:v>
                </c:pt>
                <c:pt idx="139">
                  <c:v>78.42</c:v>
                </c:pt>
                <c:pt idx="140">
                  <c:v>#N/A</c:v>
                </c:pt>
                <c:pt idx="141">
                  <c:v>#N/A</c:v>
                </c:pt>
                <c:pt idx="142">
                  <c:v>78.650000000000006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44.44</c:v>
                </c:pt>
                <c:pt idx="149">
                  <c:v>69.819999999999993</c:v>
                </c:pt>
                <c:pt idx="150">
                  <c:v>53.03</c:v>
                </c:pt>
                <c:pt idx="151">
                  <c:v>#N/A</c:v>
                </c:pt>
                <c:pt idx="152">
                  <c:v>#N/A</c:v>
                </c:pt>
                <c:pt idx="153">
                  <c:v>42.53</c:v>
                </c:pt>
                <c:pt idx="154">
                  <c:v>#N/A</c:v>
                </c:pt>
                <c:pt idx="155">
                  <c:v>#N/A</c:v>
                </c:pt>
                <c:pt idx="156">
                  <c:v>105.08</c:v>
                </c:pt>
                <c:pt idx="157">
                  <c:v>#N/A</c:v>
                </c:pt>
                <c:pt idx="158">
                  <c:v>#N/A</c:v>
                </c:pt>
                <c:pt idx="159">
                  <c:v>25.57</c:v>
                </c:pt>
                <c:pt idx="160">
                  <c:v>#N/A</c:v>
                </c:pt>
                <c:pt idx="161">
                  <c:v>#N/A</c:v>
                </c:pt>
                <c:pt idx="162">
                  <c:v>21.82</c:v>
                </c:pt>
                <c:pt idx="163">
                  <c:v>#N/A</c:v>
                </c:pt>
                <c:pt idx="164">
                  <c:v>119.73</c:v>
                </c:pt>
                <c:pt idx="165">
                  <c:v>109.66</c:v>
                </c:pt>
                <c:pt idx="166">
                  <c:v>77.599999999999994</c:v>
                </c:pt>
                <c:pt idx="167">
                  <c:v>111.74</c:v>
                </c:pt>
                <c:pt idx="168">
                  <c:v>20.53</c:v>
                </c:pt>
                <c:pt idx="169">
                  <c:v>117.51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103.86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72.98</c:v>
                </c:pt>
                <c:pt idx="183">
                  <c:v>90.72</c:v>
                </c:pt>
                <c:pt idx="184">
                  <c:v>96.78</c:v>
                </c:pt>
                <c:pt idx="185">
                  <c:v>28.73</c:v>
                </c:pt>
                <c:pt idx="186">
                  <c:v>#N/A</c:v>
                </c:pt>
                <c:pt idx="187">
                  <c:v>#N/A</c:v>
                </c:pt>
                <c:pt idx="188">
                  <c:v>52.06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74.89</c:v>
                </c:pt>
                <c:pt idx="194">
                  <c:v>#N/A</c:v>
                </c:pt>
                <c:pt idx="195">
                  <c:v>#N/A</c:v>
                </c:pt>
                <c:pt idx="196">
                  <c:v>28.79</c:v>
                </c:pt>
                <c:pt idx="197">
                  <c:v>#N/A</c:v>
                </c:pt>
                <c:pt idx="198">
                  <c:v>#N/A</c:v>
                </c:pt>
                <c:pt idx="199">
                  <c:v>31.67</c:v>
                </c:pt>
                <c:pt idx="200">
                  <c:v>#N/A</c:v>
                </c:pt>
                <c:pt idx="201">
                  <c:v>#N/A</c:v>
                </c:pt>
                <c:pt idx="202">
                  <c:v>99.43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60.85</c:v>
                </c:pt>
                <c:pt idx="207">
                  <c:v>113.29</c:v>
                </c:pt>
                <c:pt idx="208">
                  <c:v>119.09</c:v>
                </c:pt>
                <c:pt idx="209">
                  <c:v>#N/A</c:v>
                </c:pt>
                <c:pt idx="210">
                  <c:v>57.92</c:v>
                </c:pt>
                <c:pt idx="211">
                  <c:v>112.64</c:v>
                </c:pt>
                <c:pt idx="212">
                  <c:v>92.16</c:v>
                </c:pt>
                <c:pt idx="213">
                  <c:v>24.81</c:v>
                </c:pt>
                <c:pt idx="214">
                  <c:v>#N/A</c:v>
                </c:pt>
                <c:pt idx="215">
                  <c:v>#N/A</c:v>
                </c:pt>
                <c:pt idx="216">
                  <c:v>95.05</c:v>
                </c:pt>
                <c:pt idx="217">
                  <c:v>#N/A</c:v>
                </c:pt>
                <c:pt idx="218">
                  <c:v>102.51</c:v>
                </c:pt>
                <c:pt idx="219">
                  <c:v>#N/A</c:v>
                </c:pt>
                <c:pt idx="220">
                  <c:v>#N/A</c:v>
                </c:pt>
                <c:pt idx="221">
                  <c:v>83.38</c:v>
                </c:pt>
                <c:pt idx="222">
                  <c:v>110.79</c:v>
                </c:pt>
                <c:pt idx="223">
                  <c:v>51.62</c:v>
                </c:pt>
                <c:pt idx="224">
                  <c:v>#N/A</c:v>
                </c:pt>
                <c:pt idx="225">
                  <c:v>#N/A</c:v>
                </c:pt>
                <c:pt idx="226">
                  <c:v>65.19</c:v>
                </c:pt>
                <c:pt idx="227">
                  <c:v>#N/A</c:v>
                </c:pt>
                <c:pt idx="228">
                  <c:v>109.97</c:v>
                </c:pt>
                <c:pt idx="229">
                  <c:v>82.41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55.54</c:v>
                </c:pt>
                <c:pt idx="234">
                  <c:v>59.15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74.28</c:v>
                </c:pt>
                <c:pt idx="239">
                  <c:v>#N/A</c:v>
                </c:pt>
                <c:pt idx="240">
                  <c:v>53.28</c:v>
                </c:pt>
                <c:pt idx="241">
                  <c:v>93.05</c:v>
                </c:pt>
                <c:pt idx="242">
                  <c:v>#N/A</c:v>
                </c:pt>
                <c:pt idx="243">
                  <c:v>36.67</c:v>
                </c:pt>
                <c:pt idx="244">
                  <c:v>#N/A</c:v>
                </c:pt>
                <c:pt idx="245">
                  <c:v>69.540000000000006</c:v>
                </c:pt>
                <c:pt idx="246">
                  <c:v>94.15</c:v>
                </c:pt>
                <c:pt idx="247">
                  <c:v>77.319999999999993</c:v>
                </c:pt>
                <c:pt idx="248">
                  <c:v>119.77</c:v>
                </c:pt>
                <c:pt idx="24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8E-9E4B-96B5-D67DC1EC762A}"/>
            </c:ext>
          </c:extLst>
        </c:ser>
        <c:ser>
          <c:idx val="2"/>
          <c:order val="2"/>
          <c:spPr>
            <a:ln w="127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'2.4 Sat &lt;&gt; MonthlyCharge'!$E$20:$E$21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'2.4 Sat &lt;&gt; MonthlyCharge'!$F$20:$F$21</c:f>
              <c:numCache>
                <c:formatCode>General</c:formatCode>
                <c:ptCount val="2"/>
                <c:pt idx="0">
                  <c:v>20.260000000000002</c:v>
                </c:pt>
                <c:pt idx="1">
                  <c:v>119.77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F8E-9E4B-96B5-D67DC1EC762A}"/>
            </c:ext>
          </c:extLst>
        </c:ser>
        <c:ser>
          <c:idx val="3"/>
          <c:order val="3"/>
          <c:spPr>
            <a:ln w="127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'2.4 Sat &lt;&gt; MonthlyCharge'!$E$24:$E$25</c:f>
              <c:numCache>
                <c:formatCode>General</c:formatCode>
                <c:ptCount val="2"/>
                <c:pt idx="0">
                  <c:v>1</c:v>
                </c:pt>
                <c:pt idx="1">
                  <c:v>10</c:v>
                </c:pt>
              </c:numCache>
            </c:numRef>
          </c:xVal>
          <c:yVal>
            <c:numRef>
              <c:f>'2.4 Sat &lt;&gt; MonthlyCharge'!$F$24:$F$25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F8E-9E4B-96B5-D67DC1EC7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465824"/>
        <c:axId val="2066882927"/>
      </c:scatterChart>
      <c:valAx>
        <c:axId val="32246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882927"/>
        <c:crosses val="autoZero"/>
        <c:crossBetween val="midCat"/>
      </c:valAx>
      <c:valAx>
        <c:axId val="206688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465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Customer Churn by Payment Method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'2.5 Payment&lt;&gt;Churn'!$F$2</c:f>
              <c:strCache>
                <c:ptCount val="1"/>
                <c:pt idx="0">
                  <c:v>Churn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'2.5 Payment&lt;&gt;Churn'!$E$3:$E$5</c:f>
              <c:strCache>
                <c:ptCount val="3"/>
                <c:pt idx="0">
                  <c:v>Credit Card</c:v>
                </c:pt>
                <c:pt idx="1">
                  <c:v>Bank Transfer</c:v>
                </c:pt>
                <c:pt idx="2">
                  <c:v>PayPal</c:v>
                </c:pt>
              </c:strCache>
            </c:strRef>
          </c:cat>
          <c:val>
            <c:numRef>
              <c:f>'2.5 Payment&lt;&gt;Churn'!$F$3:$F$5</c:f>
              <c:numCache>
                <c:formatCode>General</c:formatCode>
                <c:ptCount val="3"/>
                <c:pt idx="0">
                  <c:v>43</c:v>
                </c:pt>
                <c:pt idx="1">
                  <c:v>38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E-E44E-9FDA-173A8D132940}"/>
            </c:ext>
          </c:extLst>
        </c:ser>
        <c:ser>
          <c:idx val="1"/>
          <c:order val="1"/>
          <c:tx>
            <c:strRef>
              <c:f>'2.5 Payment&lt;&gt;Churn'!$G$2</c:f>
              <c:strCache>
                <c:ptCount val="1"/>
                <c:pt idx="0">
                  <c:v>No Churn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'2.5 Payment&lt;&gt;Churn'!$E$3:$E$5</c:f>
              <c:strCache>
                <c:ptCount val="3"/>
                <c:pt idx="0">
                  <c:v>Credit Card</c:v>
                </c:pt>
                <c:pt idx="1">
                  <c:v>Bank Transfer</c:v>
                </c:pt>
                <c:pt idx="2">
                  <c:v>PayPal</c:v>
                </c:pt>
              </c:strCache>
            </c:strRef>
          </c:cat>
          <c:val>
            <c:numRef>
              <c:f>'2.5 Payment&lt;&gt;Churn'!$G$3:$G$5</c:f>
              <c:numCache>
                <c:formatCode>General</c:formatCode>
                <c:ptCount val="3"/>
                <c:pt idx="0">
                  <c:v>47</c:v>
                </c:pt>
                <c:pt idx="1">
                  <c:v>41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BE-E44E-9FDA-173A8D1329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903792"/>
        <c:axId val="247949392"/>
      </c:barChart>
      <c:catAx>
        <c:axId val="63903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Contract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949392"/>
        <c:crosses val="autoZero"/>
        <c:auto val="1"/>
        <c:lblAlgn val="ctr"/>
        <c:lblOffset val="100"/>
        <c:noMultiLvlLbl val="0"/>
      </c:catAx>
      <c:valAx>
        <c:axId val="24794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Churn</a:t>
                </a:r>
                <a:r>
                  <a:rPr lang="en-GB" baseline="0"/>
                  <a:t> (1/0)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0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Age vs Churn</a:t>
            </a:r>
            <a:r>
              <a:rPr lang="en-GB" baseline="0"/>
              <a:t> Status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'2.6 Age_Churn'!$B$1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'2.6 Age_Churn'!$A$2:$A$133</c:f>
              <c:numCache>
                <c:formatCode>General</c:formatCode>
                <c:ptCount val="132"/>
                <c:pt idx="0">
                  <c:v>46</c:v>
                </c:pt>
                <c:pt idx="1">
                  <c:v>56</c:v>
                </c:pt>
                <c:pt idx="2">
                  <c:v>40</c:v>
                </c:pt>
                <c:pt idx="3">
                  <c:v>28</c:v>
                </c:pt>
                <c:pt idx="4">
                  <c:v>28</c:v>
                </c:pt>
                <c:pt idx="5">
                  <c:v>41</c:v>
                </c:pt>
                <c:pt idx="6">
                  <c:v>57</c:v>
                </c:pt>
                <c:pt idx="7">
                  <c:v>20</c:v>
                </c:pt>
                <c:pt idx="8">
                  <c:v>39</c:v>
                </c:pt>
                <c:pt idx="9">
                  <c:v>61</c:v>
                </c:pt>
                <c:pt idx="10">
                  <c:v>19</c:v>
                </c:pt>
                <c:pt idx="11">
                  <c:v>38</c:v>
                </c:pt>
                <c:pt idx="12">
                  <c:v>50</c:v>
                </c:pt>
                <c:pt idx="13">
                  <c:v>29</c:v>
                </c:pt>
                <c:pt idx="14">
                  <c:v>39</c:v>
                </c:pt>
                <c:pt idx="15">
                  <c:v>61</c:v>
                </c:pt>
                <c:pt idx="16">
                  <c:v>44</c:v>
                </c:pt>
                <c:pt idx="17">
                  <c:v>59</c:v>
                </c:pt>
                <c:pt idx="18">
                  <c:v>32</c:v>
                </c:pt>
                <c:pt idx="19">
                  <c:v>64</c:v>
                </c:pt>
                <c:pt idx="20">
                  <c:v>68</c:v>
                </c:pt>
                <c:pt idx="21">
                  <c:v>69</c:v>
                </c:pt>
                <c:pt idx="22">
                  <c:v>24</c:v>
                </c:pt>
                <c:pt idx="23">
                  <c:v>26</c:v>
                </c:pt>
                <c:pt idx="24">
                  <c:v>56</c:v>
                </c:pt>
                <c:pt idx="25">
                  <c:v>21</c:v>
                </c:pt>
                <c:pt idx="26">
                  <c:v>31</c:v>
                </c:pt>
                <c:pt idx="27">
                  <c:v>67</c:v>
                </c:pt>
                <c:pt idx="28">
                  <c:v>26</c:v>
                </c:pt>
                <c:pt idx="29">
                  <c:v>43</c:v>
                </c:pt>
                <c:pt idx="30">
                  <c:v>45</c:v>
                </c:pt>
                <c:pt idx="31">
                  <c:v>64</c:v>
                </c:pt>
                <c:pt idx="32">
                  <c:v>61</c:v>
                </c:pt>
                <c:pt idx="33">
                  <c:v>64</c:v>
                </c:pt>
                <c:pt idx="34">
                  <c:v>31</c:v>
                </c:pt>
                <c:pt idx="35">
                  <c:v>21</c:v>
                </c:pt>
                <c:pt idx="36">
                  <c:v>23</c:v>
                </c:pt>
                <c:pt idx="37">
                  <c:v>61</c:v>
                </c:pt>
                <c:pt idx="38">
                  <c:v>51</c:v>
                </c:pt>
                <c:pt idx="39">
                  <c:v>53</c:v>
                </c:pt>
                <c:pt idx="40">
                  <c:v>65</c:v>
                </c:pt>
                <c:pt idx="41">
                  <c:v>32</c:v>
                </c:pt>
                <c:pt idx="42">
                  <c:v>25</c:v>
                </c:pt>
                <c:pt idx="43">
                  <c:v>31</c:v>
                </c:pt>
                <c:pt idx="44">
                  <c:v>57</c:v>
                </c:pt>
                <c:pt idx="45">
                  <c:v>38</c:v>
                </c:pt>
                <c:pt idx="46">
                  <c:v>62</c:v>
                </c:pt>
                <c:pt idx="47">
                  <c:v>41</c:v>
                </c:pt>
                <c:pt idx="48">
                  <c:v>43</c:v>
                </c:pt>
                <c:pt idx="49">
                  <c:v>32</c:v>
                </c:pt>
                <c:pt idx="50">
                  <c:v>62</c:v>
                </c:pt>
                <c:pt idx="51">
                  <c:v>41</c:v>
                </c:pt>
                <c:pt idx="52">
                  <c:v>18</c:v>
                </c:pt>
                <c:pt idx="53">
                  <c:v>61</c:v>
                </c:pt>
                <c:pt idx="54">
                  <c:v>41</c:v>
                </c:pt>
                <c:pt idx="55">
                  <c:v>28</c:v>
                </c:pt>
                <c:pt idx="56">
                  <c:v>68</c:v>
                </c:pt>
                <c:pt idx="57">
                  <c:v>34</c:v>
                </c:pt>
                <c:pt idx="58">
                  <c:v>52</c:v>
                </c:pt>
                <c:pt idx="59">
                  <c:v>59</c:v>
                </c:pt>
                <c:pt idx="60">
                  <c:v>56</c:v>
                </c:pt>
                <c:pt idx="61">
                  <c:v>58</c:v>
                </c:pt>
                <c:pt idx="62">
                  <c:v>24</c:v>
                </c:pt>
                <c:pt idx="63">
                  <c:v>26</c:v>
                </c:pt>
                <c:pt idx="64">
                  <c:v>25</c:v>
                </c:pt>
                <c:pt idx="65">
                  <c:v>29</c:v>
                </c:pt>
                <c:pt idx="66">
                  <c:v>51</c:v>
                </c:pt>
                <c:pt idx="67">
                  <c:v>50</c:v>
                </c:pt>
                <c:pt idx="68">
                  <c:v>57</c:v>
                </c:pt>
                <c:pt idx="69">
                  <c:v>52</c:v>
                </c:pt>
                <c:pt idx="70">
                  <c:v>18</c:v>
                </c:pt>
                <c:pt idx="71">
                  <c:v>54</c:v>
                </c:pt>
                <c:pt idx="72">
                  <c:v>64</c:v>
                </c:pt>
                <c:pt idx="73">
                  <c:v>20</c:v>
                </c:pt>
                <c:pt idx="74">
                  <c:v>18</c:v>
                </c:pt>
                <c:pt idx="75">
                  <c:v>22</c:v>
                </c:pt>
                <c:pt idx="76">
                  <c:v>43</c:v>
                </c:pt>
                <c:pt idx="77">
                  <c:v>31</c:v>
                </c:pt>
                <c:pt idx="78">
                  <c:v>32</c:v>
                </c:pt>
                <c:pt idx="79">
                  <c:v>32</c:v>
                </c:pt>
                <c:pt idx="80">
                  <c:v>59</c:v>
                </c:pt>
                <c:pt idx="81">
                  <c:v>30</c:v>
                </c:pt>
                <c:pt idx="82">
                  <c:v>49</c:v>
                </c:pt>
                <c:pt idx="83">
                  <c:v>56</c:v>
                </c:pt>
                <c:pt idx="84">
                  <c:v>69</c:v>
                </c:pt>
                <c:pt idx="85">
                  <c:v>49</c:v>
                </c:pt>
                <c:pt idx="86">
                  <c:v>47</c:v>
                </c:pt>
                <c:pt idx="87">
                  <c:v>46</c:v>
                </c:pt>
                <c:pt idx="88">
                  <c:v>53</c:v>
                </c:pt>
                <c:pt idx="89">
                  <c:v>30</c:v>
                </c:pt>
                <c:pt idx="90">
                  <c:v>49</c:v>
                </c:pt>
                <c:pt idx="91">
                  <c:v>24</c:v>
                </c:pt>
                <c:pt idx="92">
                  <c:v>68</c:v>
                </c:pt>
                <c:pt idx="93">
                  <c:v>45</c:v>
                </c:pt>
                <c:pt idx="94">
                  <c:v>19</c:v>
                </c:pt>
                <c:pt idx="95">
                  <c:v>59</c:v>
                </c:pt>
                <c:pt idx="96">
                  <c:v>62</c:v>
                </c:pt>
                <c:pt idx="97">
                  <c:v>23</c:v>
                </c:pt>
                <c:pt idx="98">
                  <c:v>37</c:v>
                </c:pt>
                <c:pt idx="99">
                  <c:v>47</c:v>
                </c:pt>
                <c:pt idx="100">
                  <c:v>45</c:v>
                </c:pt>
                <c:pt idx="101">
                  <c:v>42</c:v>
                </c:pt>
                <c:pt idx="102">
                  <c:v>56</c:v>
                </c:pt>
                <c:pt idx="103">
                  <c:v>50</c:v>
                </c:pt>
                <c:pt idx="104">
                  <c:v>44</c:v>
                </c:pt>
                <c:pt idx="105">
                  <c:v>69</c:v>
                </c:pt>
                <c:pt idx="106">
                  <c:v>58</c:v>
                </c:pt>
                <c:pt idx="107">
                  <c:v>20</c:v>
                </c:pt>
                <c:pt idx="108">
                  <c:v>23</c:v>
                </c:pt>
                <c:pt idx="109">
                  <c:v>25</c:v>
                </c:pt>
                <c:pt idx="110">
                  <c:v>26</c:v>
                </c:pt>
                <c:pt idx="111">
                  <c:v>54</c:v>
                </c:pt>
                <c:pt idx="112">
                  <c:v>50</c:v>
                </c:pt>
                <c:pt idx="113">
                  <c:v>41</c:v>
                </c:pt>
                <c:pt idx="114">
                  <c:v>58</c:v>
                </c:pt>
                <c:pt idx="115">
                  <c:v>69</c:v>
                </c:pt>
                <c:pt idx="116">
                  <c:v>66</c:v>
                </c:pt>
                <c:pt idx="117">
                  <c:v>29</c:v>
                </c:pt>
                <c:pt idx="118">
                  <c:v>56</c:v>
                </c:pt>
                <c:pt idx="119">
                  <c:v>54</c:v>
                </c:pt>
                <c:pt idx="120">
                  <c:v>66</c:v>
                </c:pt>
                <c:pt idx="121">
                  <c:v>66</c:v>
                </c:pt>
                <c:pt idx="122">
                  <c:v>45</c:v>
                </c:pt>
                <c:pt idx="123">
                  <c:v>40</c:v>
                </c:pt>
                <c:pt idx="124">
                  <c:v>54</c:v>
                </c:pt>
                <c:pt idx="125">
                  <c:v>18</c:v>
                </c:pt>
                <c:pt idx="126">
                  <c:v>36</c:v>
                </c:pt>
                <c:pt idx="127">
                  <c:v>19</c:v>
                </c:pt>
                <c:pt idx="128">
                  <c:v>43</c:v>
                </c:pt>
                <c:pt idx="129">
                  <c:v>49</c:v>
                </c:pt>
                <c:pt idx="130">
                  <c:v>28</c:v>
                </c:pt>
                <c:pt idx="131">
                  <c:v>69</c:v>
                </c:pt>
              </c:numCache>
            </c:numRef>
          </c:xVal>
          <c:yVal>
            <c:numRef>
              <c:f>'2.6 Age_Churn'!$B$2:$B$133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FB-1B47-B4CE-5F87151996D2}"/>
            </c:ext>
          </c:extLst>
        </c:ser>
        <c:ser>
          <c:idx val="1"/>
          <c:order val="1"/>
          <c:tx>
            <c:strRef>
              <c:f>'2.6 Age_Churn'!$D$1</c:f>
              <c:strCache>
                <c:ptCount val="1"/>
                <c:pt idx="0">
                  <c:v>Churn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'2.6 Age_Churn'!$C$2:$C$119</c:f>
              <c:numCache>
                <c:formatCode>General</c:formatCode>
                <c:ptCount val="118"/>
                <c:pt idx="0">
                  <c:v>56</c:v>
                </c:pt>
                <c:pt idx="1">
                  <c:v>69</c:v>
                </c:pt>
                <c:pt idx="2">
                  <c:v>32</c:v>
                </c:pt>
                <c:pt idx="3">
                  <c:v>60</c:v>
                </c:pt>
                <c:pt idx="4">
                  <c:v>25</c:v>
                </c:pt>
                <c:pt idx="5">
                  <c:v>38</c:v>
                </c:pt>
                <c:pt idx="6">
                  <c:v>36</c:v>
                </c:pt>
                <c:pt idx="7">
                  <c:v>53</c:v>
                </c:pt>
                <c:pt idx="8">
                  <c:v>41</c:v>
                </c:pt>
                <c:pt idx="9">
                  <c:v>19</c:v>
                </c:pt>
                <c:pt idx="10">
                  <c:v>41</c:v>
                </c:pt>
                <c:pt idx="11">
                  <c:v>47</c:v>
                </c:pt>
                <c:pt idx="12">
                  <c:v>55</c:v>
                </c:pt>
                <c:pt idx="13">
                  <c:v>42</c:v>
                </c:pt>
                <c:pt idx="14">
                  <c:v>66</c:v>
                </c:pt>
                <c:pt idx="15">
                  <c:v>45</c:v>
                </c:pt>
                <c:pt idx="16">
                  <c:v>33</c:v>
                </c:pt>
                <c:pt idx="17">
                  <c:v>61</c:v>
                </c:pt>
                <c:pt idx="18">
                  <c:v>20</c:v>
                </c:pt>
                <c:pt idx="19">
                  <c:v>54</c:v>
                </c:pt>
                <c:pt idx="20">
                  <c:v>68</c:v>
                </c:pt>
                <c:pt idx="21">
                  <c:v>38</c:v>
                </c:pt>
                <c:pt idx="22">
                  <c:v>35</c:v>
                </c:pt>
                <c:pt idx="23">
                  <c:v>42</c:v>
                </c:pt>
                <c:pt idx="24">
                  <c:v>19</c:v>
                </c:pt>
                <c:pt idx="25">
                  <c:v>37</c:v>
                </c:pt>
                <c:pt idx="26">
                  <c:v>24</c:v>
                </c:pt>
                <c:pt idx="27">
                  <c:v>25</c:v>
                </c:pt>
                <c:pt idx="28">
                  <c:v>52</c:v>
                </c:pt>
                <c:pt idx="29">
                  <c:v>34</c:v>
                </c:pt>
                <c:pt idx="30">
                  <c:v>53</c:v>
                </c:pt>
                <c:pt idx="31">
                  <c:v>67</c:v>
                </c:pt>
                <c:pt idx="32">
                  <c:v>57</c:v>
                </c:pt>
                <c:pt idx="33">
                  <c:v>19</c:v>
                </c:pt>
                <c:pt idx="34">
                  <c:v>59</c:v>
                </c:pt>
                <c:pt idx="35">
                  <c:v>21</c:v>
                </c:pt>
                <c:pt idx="36">
                  <c:v>46</c:v>
                </c:pt>
                <c:pt idx="37">
                  <c:v>35</c:v>
                </c:pt>
                <c:pt idx="38">
                  <c:v>43</c:v>
                </c:pt>
                <c:pt idx="39">
                  <c:v>27</c:v>
                </c:pt>
                <c:pt idx="40">
                  <c:v>31</c:v>
                </c:pt>
                <c:pt idx="41">
                  <c:v>48</c:v>
                </c:pt>
                <c:pt idx="42">
                  <c:v>40</c:v>
                </c:pt>
                <c:pt idx="43">
                  <c:v>33</c:v>
                </c:pt>
                <c:pt idx="44">
                  <c:v>35</c:v>
                </c:pt>
                <c:pt idx="45">
                  <c:v>64</c:v>
                </c:pt>
                <c:pt idx="46">
                  <c:v>42</c:v>
                </c:pt>
                <c:pt idx="47">
                  <c:v>62</c:v>
                </c:pt>
                <c:pt idx="48">
                  <c:v>58</c:v>
                </c:pt>
                <c:pt idx="49">
                  <c:v>46</c:v>
                </c:pt>
                <c:pt idx="50">
                  <c:v>18</c:v>
                </c:pt>
                <c:pt idx="51">
                  <c:v>42</c:v>
                </c:pt>
                <c:pt idx="52">
                  <c:v>24</c:v>
                </c:pt>
                <c:pt idx="53">
                  <c:v>26</c:v>
                </c:pt>
                <c:pt idx="54">
                  <c:v>25</c:v>
                </c:pt>
                <c:pt idx="55">
                  <c:v>25</c:v>
                </c:pt>
                <c:pt idx="56">
                  <c:v>52</c:v>
                </c:pt>
                <c:pt idx="57">
                  <c:v>50</c:v>
                </c:pt>
                <c:pt idx="58">
                  <c:v>22</c:v>
                </c:pt>
                <c:pt idx="59">
                  <c:v>45</c:v>
                </c:pt>
                <c:pt idx="60">
                  <c:v>65</c:v>
                </c:pt>
                <c:pt idx="61">
                  <c:v>40</c:v>
                </c:pt>
                <c:pt idx="62">
                  <c:v>41</c:v>
                </c:pt>
                <c:pt idx="63">
                  <c:v>54</c:v>
                </c:pt>
                <c:pt idx="64">
                  <c:v>52</c:v>
                </c:pt>
                <c:pt idx="65">
                  <c:v>61</c:v>
                </c:pt>
                <c:pt idx="66">
                  <c:v>39</c:v>
                </c:pt>
                <c:pt idx="67">
                  <c:v>44</c:v>
                </c:pt>
                <c:pt idx="68">
                  <c:v>52</c:v>
                </c:pt>
                <c:pt idx="69">
                  <c:v>31</c:v>
                </c:pt>
                <c:pt idx="70">
                  <c:v>56</c:v>
                </c:pt>
                <c:pt idx="71">
                  <c:v>44</c:v>
                </c:pt>
                <c:pt idx="72">
                  <c:v>26</c:v>
                </c:pt>
                <c:pt idx="73">
                  <c:v>43</c:v>
                </c:pt>
                <c:pt idx="74">
                  <c:v>68</c:v>
                </c:pt>
                <c:pt idx="75">
                  <c:v>66</c:v>
                </c:pt>
                <c:pt idx="76">
                  <c:v>21</c:v>
                </c:pt>
                <c:pt idx="77">
                  <c:v>54</c:v>
                </c:pt>
                <c:pt idx="78">
                  <c:v>40</c:v>
                </c:pt>
                <c:pt idx="79">
                  <c:v>56</c:v>
                </c:pt>
                <c:pt idx="80">
                  <c:v>62</c:v>
                </c:pt>
                <c:pt idx="81">
                  <c:v>32</c:v>
                </c:pt>
                <c:pt idx="82">
                  <c:v>60</c:v>
                </c:pt>
                <c:pt idx="83">
                  <c:v>39</c:v>
                </c:pt>
                <c:pt idx="84">
                  <c:v>45</c:v>
                </c:pt>
                <c:pt idx="85">
                  <c:v>45</c:v>
                </c:pt>
                <c:pt idx="86">
                  <c:v>61</c:v>
                </c:pt>
                <c:pt idx="87">
                  <c:v>61</c:v>
                </c:pt>
                <c:pt idx="88">
                  <c:v>28</c:v>
                </c:pt>
                <c:pt idx="89">
                  <c:v>18</c:v>
                </c:pt>
                <c:pt idx="90">
                  <c:v>30</c:v>
                </c:pt>
                <c:pt idx="91">
                  <c:v>56</c:v>
                </c:pt>
                <c:pt idx="92">
                  <c:v>44</c:v>
                </c:pt>
                <c:pt idx="93">
                  <c:v>68</c:v>
                </c:pt>
                <c:pt idx="94">
                  <c:v>59</c:v>
                </c:pt>
                <c:pt idx="95">
                  <c:v>61</c:v>
                </c:pt>
                <c:pt idx="96">
                  <c:v>32</c:v>
                </c:pt>
                <c:pt idx="97">
                  <c:v>49</c:v>
                </c:pt>
                <c:pt idx="98">
                  <c:v>49</c:v>
                </c:pt>
                <c:pt idx="99">
                  <c:v>41</c:v>
                </c:pt>
                <c:pt idx="100">
                  <c:v>66</c:v>
                </c:pt>
                <c:pt idx="101">
                  <c:v>69</c:v>
                </c:pt>
                <c:pt idx="102">
                  <c:v>19</c:v>
                </c:pt>
                <c:pt idx="103">
                  <c:v>20</c:v>
                </c:pt>
                <c:pt idx="104">
                  <c:v>66</c:v>
                </c:pt>
                <c:pt idx="105">
                  <c:v>34</c:v>
                </c:pt>
                <c:pt idx="106">
                  <c:v>19</c:v>
                </c:pt>
                <c:pt idx="107">
                  <c:v>19</c:v>
                </c:pt>
                <c:pt idx="108">
                  <c:v>49</c:v>
                </c:pt>
                <c:pt idx="109">
                  <c:v>50</c:v>
                </c:pt>
                <c:pt idx="110">
                  <c:v>61</c:v>
                </c:pt>
                <c:pt idx="111">
                  <c:v>49</c:v>
                </c:pt>
                <c:pt idx="112">
                  <c:v>23</c:v>
                </c:pt>
                <c:pt idx="113">
                  <c:v>21</c:v>
                </c:pt>
                <c:pt idx="114">
                  <c:v>34</c:v>
                </c:pt>
                <c:pt idx="115">
                  <c:v>55</c:v>
                </c:pt>
                <c:pt idx="116">
                  <c:v>41</c:v>
                </c:pt>
                <c:pt idx="117">
                  <c:v>22</c:v>
                </c:pt>
              </c:numCache>
            </c:numRef>
          </c:xVal>
          <c:yVal>
            <c:numRef>
              <c:f>'2.6 Age_Churn'!$D$2:$D$119</c:f>
              <c:numCache>
                <c:formatCode>General</c:formatCode>
                <c:ptCount val="1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FB-1B47-B4CE-5F8715199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516447"/>
        <c:axId val="304734528"/>
      </c:scatterChart>
      <c:valAx>
        <c:axId val="61051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734528"/>
        <c:crosses val="autoZero"/>
        <c:crossBetween val="midCat"/>
      </c:valAx>
      <c:valAx>
        <c:axId val="30473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516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SatisfactionScore vs Churn</a:t>
            </a:r>
            <a:r>
              <a:rPr lang="en-GB" baseline="0"/>
              <a:t> Status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'2.7 SatChurn'!$G$1</c:f>
              <c:strCache>
                <c:ptCount val="1"/>
                <c:pt idx="0">
                  <c:v>No Churn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lus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'2.7 SatChurn'!$F$2:$F$251</c:f>
              <c:numCache>
                <c:formatCode>General</c:formatCode>
                <c:ptCount val="2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9</c:v>
                </c:pt>
                <c:pt idx="119">
                  <c:v>3</c:v>
                </c:pt>
                <c:pt idx="120">
                  <c:v>10</c:v>
                </c:pt>
                <c:pt idx="121">
                  <c:v>#N/A</c:v>
                </c:pt>
                <c:pt idx="122">
                  <c:v>6</c:v>
                </c:pt>
                <c:pt idx="123">
                  <c:v>8</c:v>
                </c:pt>
                <c:pt idx="124">
                  <c:v>5</c:v>
                </c:pt>
                <c:pt idx="125">
                  <c:v>3</c:v>
                </c:pt>
                <c:pt idx="126">
                  <c:v>6</c:v>
                </c:pt>
                <c:pt idx="127">
                  <c:v>4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6</c:v>
                </c:pt>
                <c:pt idx="135">
                  <c:v>#N/A</c:v>
                </c:pt>
                <c:pt idx="136">
                  <c:v>#N/A</c:v>
                </c:pt>
                <c:pt idx="137">
                  <c:v>2</c:v>
                </c:pt>
                <c:pt idx="138">
                  <c:v>8</c:v>
                </c:pt>
                <c:pt idx="139">
                  <c:v>#N/A</c:v>
                </c:pt>
                <c:pt idx="140">
                  <c:v>7</c:v>
                </c:pt>
                <c:pt idx="141">
                  <c:v>9</c:v>
                </c:pt>
                <c:pt idx="142">
                  <c:v>#N/A</c:v>
                </c:pt>
                <c:pt idx="143">
                  <c:v>8</c:v>
                </c:pt>
                <c:pt idx="144">
                  <c:v>7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6</c:v>
                </c:pt>
                <c:pt idx="152">
                  <c:v>10</c:v>
                </c:pt>
                <c:pt idx="153">
                  <c:v>#N/A</c:v>
                </c:pt>
                <c:pt idx="154">
                  <c:v>3</c:v>
                </c:pt>
                <c:pt idx="155">
                  <c:v>10</c:v>
                </c:pt>
                <c:pt idx="156">
                  <c:v>#N/A</c:v>
                </c:pt>
                <c:pt idx="157">
                  <c:v>9</c:v>
                </c:pt>
                <c:pt idx="158">
                  <c:v>1</c:v>
                </c:pt>
                <c:pt idx="159">
                  <c:v>#N/A</c:v>
                </c:pt>
                <c:pt idx="160">
                  <c:v>8</c:v>
                </c:pt>
                <c:pt idx="161">
                  <c:v>3</c:v>
                </c:pt>
                <c:pt idx="162">
                  <c:v>#N/A</c:v>
                </c:pt>
                <c:pt idx="163">
                  <c:v>8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1</c:v>
                </c:pt>
                <c:pt idx="171">
                  <c:v>10</c:v>
                </c:pt>
                <c:pt idx="172">
                  <c:v>7</c:v>
                </c:pt>
                <c:pt idx="173">
                  <c:v>5</c:v>
                </c:pt>
                <c:pt idx="174">
                  <c:v>5</c:v>
                </c:pt>
                <c:pt idx="175">
                  <c:v>1</c:v>
                </c:pt>
                <c:pt idx="176">
                  <c:v>#N/A</c:v>
                </c:pt>
                <c:pt idx="177">
                  <c:v>6</c:v>
                </c:pt>
                <c:pt idx="178">
                  <c:v>9</c:v>
                </c:pt>
                <c:pt idx="179">
                  <c:v>9</c:v>
                </c:pt>
                <c:pt idx="180">
                  <c:v>8</c:v>
                </c:pt>
                <c:pt idx="181">
                  <c:v>5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5</c:v>
                </c:pt>
                <c:pt idx="187">
                  <c:v>3</c:v>
                </c:pt>
                <c:pt idx="188">
                  <c:v>#N/A</c:v>
                </c:pt>
                <c:pt idx="189">
                  <c:v>7</c:v>
                </c:pt>
                <c:pt idx="190">
                  <c:v>9</c:v>
                </c:pt>
                <c:pt idx="191">
                  <c:v>7</c:v>
                </c:pt>
                <c:pt idx="192">
                  <c:v>3</c:v>
                </c:pt>
                <c:pt idx="193">
                  <c:v>#N/A</c:v>
                </c:pt>
                <c:pt idx="194">
                  <c:v>8</c:v>
                </c:pt>
                <c:pt idx="195">
                  <c:v>3</c:v>
                </c:pt>
                <c:pt idx="196">
                  <c:v>#N/A</c:v>
                </c:pt>
                <c:pt idx="197">
                  <c:v>8</c:v>
                </c:pt>
                <c:pt idx="198">
                  <c:v>5</c:v>
                </c:pt>
                <c:pt idx="199">
                  <c:v>#N/A</c:v>
                </c:pt>
                <c:pt idx="200">
                  <c:v>10</c:v>
                </c:pt>
                <c:pt idx="201">
                  <c:v>7</c:v>
                </c:pt>
                <c:pt idx="202">
                  <c:v>#N/A</c:v>
                </c:pt>
                <c:pt idx="203">
                  <c:v>5</c:v>
                </c:pt>
                <c:pt idx="204">
                  <c:v>8</c:v>
                </c:pt>
                <c:pt idx="205">
                  <c:v>9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4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1</c:v>
                </c:pt>
                <c:pt idx="215">
                  <c:v>4</c:v>
                </c:pt>
                <c:pt idx="216">
                  <c:v>#N/A</c:v>
                </c:pt>
                <c:pt idx="217">
                  <c:v>5</c:v>
                </c:pt>
                <c:pt idx="218">
                  <c:v>#N/A</c:v>
                </c:pt>
                <c:pt idx="219">
                  <c:v>8</c:v>
                </c:pt>
                <c:pt idx="220">
                  <c:v>4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3</c:v>
                </c:pt>
                <c:pt idx="225">
                  <c:v>9</c:v>
                </c:pt>
                <c:pt idx="226">
                  <c:v>#N/A</c:v>
                </c:pt>
                <c:pt idx="227">
                  <c:v>2</c:v>
                </c:pt>
                <c:pt idx="228">
                  <c:v>#N/A</c:v>
                </c:pt>
                <c:pt idx="229">
                  <c:v>#N/A</c:v>
                </c:pt>
                <c:pt idx="230">
                  <c:v>2</c:v>
                </c:pt>
                <c:pt idx="231">
                  <c:v>3</c:v>
                </c:pt>
                <c:pt idx="232">
                  <c:v>10</c:v>
                </c:pt>
                <c:pt idx="233">
                  <c:v>#N/A</c:v>
                </c:pt>
                <c:pt idx="234">
                  <c:v>#N/A</c:v>
                </c:pt>
                <c:pt idx="235">
                  <c:v>6</c:v>
                </c:pt>
                <c:pt idx="236">
                  <c:v>9</c:v>
                </c:pt>
                <c:pt idx="237">
                  <c:v>9</c:v>
                </c:pt>
                <c:pt idx="238">
                  <c:v>#N/A</c:v>
                </c:pt>
                <c:pt idx="239">
                  <c:v>3</c:v>
                </c:pt>
                <c:pt idx="240">
                  <c:v>#N/A</c:v>
                </c:pt>
                <c:pt idx="241">
                  <c:v>#N/A</c:v>
                </c:pt>
                <c:pt idx="242">
                  <c:v>5</c:v>
                </c:pt>
                <c:pt idx="243">
                  <c:v>#N/A</c:v>
                </c:pt>
                <c:pt idx="244">
                  <c:v>6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9</c:v>
                </c:pt>
              </c:numCache>
            </c:numRef>
          </c:xVal>
          <c:yVal>
            <c:numRef>
              <c:f>'2.7 SatChurn'!$G$2:$G$251</c:f>
              <c:numCache>
                <c:formatCode>General</c:formatCode>
                <c:ptCount val="2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-8.7316853634306461E-3</c:v>
                </c:pt>
                <c:pt idx="119">
                  <c:v>1.1171671405577479E-2</c:v>
                </c:pt>
                <c:pt idx="120">
                  <c:v>1.2197466635741852E-2</c:v>
                </c:pt>
                <c:pt idx="121">
                  <c:v>#N/A</c:v>
                </c:pt>
                <c:pt idx="122">
                  <c:v>-3.9180490777187132E-3</c:v>
                </c:pt>
                <c:pt idx="123">
                  <c:v>-6.8579830268344971E-3</c:v>
                </c:pt>
                <c:pt idx="124">
                  <c:v>-3.9045478579977245E-3</c:v>
                </c:pt>
                <c:pt idx="125">
                  <c:v>-1.4103133747052068E-2</c:v>
                </c:pt>
                <c:pt idx="126">
                  <c:v>-7.9639544964567426E-3</c:v>
                </c:pt>
                <c:pt idx="127">
                  <c:v>6.786548592163222E-3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4.7816177242445725E-3</c:v>
                </c:pt>
                <c:pt idx="135">
                  <c:v>#N/A</c:v>
                </c:pt>
                <c:pt idx="136">
                  <c:v>#N/A</c:v>
                </c:pt>
                <c:pt idx="137">
                  <c:v>2.6532334908194997E-3</c:v>
                </c:pt>
                <c:pt idx="138">
                  <c:v>-1.3493012683114357E-2</c:v>
                </c:pt>
                <c:pt idx="139">
                  <c:v>#N/A</c:v>
                </c:pt>
                <c:pt idx="140">
                  <c:v>1.2625948959720811E-2</c:v>
                </c:pt>
                <c:pt idx="141">
                  <c:v>-3.3487486318039893E-3</c:v>
                </c:pt>
                <c:pt idx="142">
                  <c:v>#N/A</c:v>
                </c:pt>
                <c:pt idx="143">
                  <c:v>-2.0105354266120056E-3</c:v>
                </c:pt>
                <c:pt idx="144">
                  <c:v>9.6467801414303229E-3</c:v>
                </c:pt>
                <c:pt idx="145">
                  <c:v>-1.2195392466016058E-2</c:v>
                </c:pt>
                <c:pt idx="146">
                  <c:v>-4.4449341948279517E-3</c:v>
                </c:pt>
                <c:pt idx="147">
                  <c:v>-1.2839759735793847E-2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-7.037676223953903E-5</c:v>
                </c:pt>
                <c:pt idx="152">
                  <c:v>1.5196077423986819E-3</c:v>
                </c:pt>
                <c:pt idx="153">
                  <c:v>#N/A</c:v>
                </c:pt>
                <c:pt idx="154">
                  <c:v>8.3242290421254184E-3</c:v>
                </c:pt>
                <c:pt idx="155">
                  <c:v>-9.5609395289022563E-3</c:v>
                </c:pt>
                <c:pt idx="156">
                  <c:v>#N/A</c:v>
                </c:pt>
                <c:pt idx="157">
                  <c:v>-1.4694805242946215E-2</c:v>
                </c:pt>
                <c:pt idx="158">
                  <c:v>4.1847844206300694E-3</c:v>
                </c:pt>
                <c:pt idx="159">
                  <c:v>#N/A</c:v>
                </c:pt>
                <c:pt idx="160">
                  <c:v>7.3288518900285612E-3</c:v>
                </c:pt>
                <c:pt idx="161">
                  <c:v>8.9593631871328194E-3</c:v>
                </c:pt>
                <c:pt idx="162">
                  <c:v>#N/A</c:v>
                </c:pt>
                <c:pt idx="163">
                  <c:v>-4.1012431374415443E-3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6.9923509696970211E-3</c:v>
                </c:pt>
                <c:pt idx="171">
                  <c:v>5.5800000894723142E-4</c:v>
                </c:pt>
                <c:pt idx="172">
                  <c:v>-9.1428950522404896E-3</c:v>
                </c:pt>
                <c:pt idx="173">
                  <c:v>8.5171237514101977E-3</c:v>
                </c:pt>
                <c:pt idx="174">
                  <c:v>-9.2083802106773596E-3</c:v>
                </c:pt>
                <c:pt idx="175">
                  <c:v>9.1598914477787584E-3</c:v>
                </c:pt>
                <c:pt idx="176">
                  <c:v>#N/A</c:v>
                </c:pt>
                <c:pt idx="177">
                  <c:v>-3.1726162140478052E-3</c:v>
                </c:pt>
                <c:pt idx="178">
                  <c:v>6.7194051180378116E-3</c:v>
                </c:pt>
                <c:pt idx="179">
                  <c:v>3.3366752374829698E-3</c:v>
                </c:pt>
                <c:pt idx="180">
                  <c:v>5.1345439963889662E-3</c:v>
                </c:pt>
                <c:pt idx="181">
                  <c:v>9.6842188929115117E-3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-1.2452029052992268E-2</c:v>
                </c:pt>
                <c:pt idx="187">
                  <c:v>2.695363075214566E-3</c:v>
                </c:pt>
                <c:pt idx="188">
                  <c:v>#N/A</c:v>
                </c:pt>
                <c:pt idx="189">
                  <c:v>-9.0072198651427126E-4</c:v>
                </c:pt>
                <c:pt idx="190">
                  <c:v>1.3241766241153358E-2</c:v>
                </c:pt>
                <c:pt idx="191">
                  <c:v>5.9692545021380588E-3</c:v>
                </c:pt>
                <c:pt idx="192">
                  <c:v>8.9427412696364197E-3</c:v>
                </c:pt>
                <c:pt idx="193">
                  <c:v>#N/A</c:v>
                </c:pt>
                <c:pt idx="194">
                  <c:v>-1.2589746991243799E-2</c:v>
                </c:pt>
                <c:pt idx="195">
                  <c:v>4.1346150240309174E-3</c:v>
                </c:pt>
                <c:pt idx="196">
                  <c:v>#N/A</c:v>
                </c:pt>
                <c:pt idx="197">
                  <c:v>1.266738683769973E-2</c:v>
                </c:pt>
                <c:pt idx="198">
                  <c:v>2.7289554421507822E-4</c:v>
                </c:pt>
                <c:pt idx="199">
                  <c:v>#N/A</c:v>
                </c:pt>
                <c:pt idx="200">
                  <c:v>6.624723129224473E-3</c:v>
                </c:pt>
                <c:pt idx="201">
                  <c:v>-9.279473968858365E-3</c:v>
                </c:pt>
                <c:pt idx="202">
                  <c:v>#N/A</c:v>
                </c:pt>
                <c:pt idx="203">
                  <c:v>1.3183720347631827E-2</c:v>
                </c:pt>
                <c:pt idx="204">
                  <c:v>2.2149516823142899E-3</c:v>
                </c:pt>
                <c:pt idx="205">
                  <c:v>1.1399729008682278E-2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1.178538426174542E-2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-5.3676842482055006E-3</c:v>
                </c:pt>
                <c:pt idx="215">
                  <c:v>-1.2146820929249217E-2</c:v>
                </c:pt>
                <c:pt idx="216">
                  <c:v>#N/A</c:v>
                </c:pt>
                <c:pt idx="217">
                  <c:v>-1.2012153471775151E-2</c:v>
                </c:pt>
                <c:pt idx="218">
                  <c:v>#N/A</c:v>
                </c:pt>
                <c:pt idx="219">
                  <c:v>-3.7828281477018011E-3</c:v>
                </c:pt>
                <c:pt idx="220">
                  <c:v>1.374601957746599E-2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-1.1057380089641649E-2</c:v>
                </c:pt>
                <c:pt idx="225">
                  <c:v>8.023458843564835E-3</c:v>
                </c:pt>
                <c:pt idx="226">
                  <c:v>#N/A</c:v>
                </c:pt>
                <c:pt idx="227">
                  <c:v>-1.9999730004711903E-3</c:v>
                </c:pt>
                <c:pt idx="228">
                  <c:v>#N/A</c:v>
                </c:pt>
                <c:pt idx="229">
                  <c:v>#N/A</c:v>
                </c:pt>
                <c:pt idx="230">
                  <c:v>-1.2298082850313917E-2</c:v>
                </c:pt>
                <c:pt idx="231">
                  <c:v>4.1566665131059885E-4</c:v>
                </c:pt>
                <c:pt idx="232">
                  <c:v>-3.944777087572981E-3</c:v>
                </c:pt>
                <c:pt idx="233">
                  <c:v>#N/A</c:v>
                </c:pt>
                <c:pt idx="234">
                  <c:v>#N/A</c:v>
                </c:pt>
                <c:pt idx="235">
                  <c:v>1.235147006118672E-3</c:v>
                </c:pt>
                <c:pt idx="236">
                  <c:v>1.4293557123039809E-2</c:v>
                </c:pt>
                <c:pt idx="237">
                  <c:v>6.0038055636397526E-4</c:v>
                </c:pt>
                <c:pt idx="238">
                  <c:v>#N/A</c:v>
                </c:pt>
                <c:pt idx="239">
                  <c:v>-4.541439873552342E-3</c:v>
                </c:pt>
                <c:pt idx="240">
                  <c:v>#N/A</c:v>
                </c:pt>
                <c:pt idx="241">
                  <c:v>#N/A</c:v>
                </c:pt>
                <c:pt idx="242">
                  <c:v>-1.1716152657042938E-2</c:v>
                </c:pt>
                <c:pt idx="243">
                  <c:v>#N/A</c:v>
                </c:pt>
                <c:pt idx="244">
                  <c:v>8.7100443856238056E-3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-4.0500074585654518E-4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66-994C-91DF-E1EBD21B2372}"/>
            </c:ext>
          </c:extLst>
        </c:ser>
        <c:ser>
          <c:idx val="1"/>
          <c:order val="1"/>
          <c:tx>
            <c:strRef>
              <c:f>'2.7 SatChurn'!$J$1</c:f>
              <c:strCache>
                <c:ptCount val="1"/>
                <c:pt idx="0">
                  <c:v>Churn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'2.7 SatChurn'!$I$2:$I$251</c:f>
              <c:numCache>
                <c:formatCode>General</c:formatCode>
                <c:ptCount val="25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6</c:v>
                </c:pt>
                <c:pt idx="10">
                  <c:v>3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5</c:v>
                </c:pt>
                <c:pt idx="16">
                  <c:v>0</c:v>
                </c:pt>
                <c:pt idx="17">
                  <c:v>2</c:v>
                </c:pt>
                <c:pt idx="18">
                  <c:v>3</c:v>
                </c:pt>
                <c:pt idx="19">
                  <c:v>0</c:v>
                </c:pt>
                <c:pt idx="20">
                  <c:v>2</c:v>
                </c:pt>
                <c:pt idx="21">
                  <c:v>5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0</c:v>
                </c:pt>
                <c:pt idx="30">
                  <c:v>1</c:v>
                </c:pt>
                <c:pt idx="31">
                  <c:v>3</c:v>
                </c:pt>
                <c:pt idx="32">
                  <c:v>0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3</c:v>
                </c:pt>
                <c:pt idx="38">
                  <c:v>2</c:v>
                </c:pt>
                <c:pt idx="39">
                  <c:v>1</c:v>
                </c:pt>
                <c:pt idx="40">
                  <c:v>2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0</c:v>
                </c:pt>
                <c:pt idx="47">
                  <c:v>6</c:v>
                </c:pt>
                <c:pt idx="48">
                  <c:v>1</c:v>
                </c:pt>
                <c:pt idx="49">
                  <c:v>4</c:v>
                </c:pt>
                <c:pt idx="50">
                  <c:v>6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2</c:v>
                </c:pt>
                <c:pt idx="60">
                  <c:v>3</c:v>
                </c:pt>
                <c:pt idx="61">
                  <c:v>3</c:v>
                </c:pt>
                <c:pt idx="62">
                  <c:v>2</c:v>
                </c:pt>
                <c:pt idx="63">
                  <c:v>1</c:v>
                </c:pt>
                <c:pt idx="64">
                  <c:v>2</c:v>
                </c:pt>
                <c:pt idx="65">
                  <c:v>1</c:v>
                </c:pt>
                <c:pt idx="66">
                  <c:v>1</c:v>
                </c:pt>
                <c:pt idx="67">
                  <c:v>2</c:v>
                </c:pt>
                <c:pt idx="68">
                  <c:v>1</c:v>
                </c:pt>
                <c:pt idx="69">
                  <c:v>2</c:v>
                </c:pt>
                <c:pt idx="70">
                  <c:v>3</c:v>
                </c:pt>
                <c:pt idx="71">
                  <c:v>2</c:v>
                </c:pt>
                <c:pt idx="72">
                  <c:v>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4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2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3</c:v>
                </c:pt>
                <c:pt idx="87">
                  <c:v>1</c:v>
                </c:pt>
                <c:pt idx="88">
                  <c:v>1</c:v>
                </c:pt>
                <c:pt idx="89">
                  <c:v>2</c:v>
                </c:pt>
                <c:pt idx="90">
                  <c:v>3</c:v>
                </c:pt>
                <c:pt idx="91">
                  <c:v>1</c:v>
                </c:pt>
                <c:pt idx="92">
                  <c:v>3</c:v>
                </c:pt>
                <c:pt idx="93">
                  <c:v>2</c:v>
                </c:pt>
                <c:pt idx="94">
                  <c:v>3</c:v>
                </c:pt>
                <c:pt idx="95">
                  <c:v>1</c:v>
                </c:pt>
                <c:pt idx="96">
                  <c:v>2</c:v>
                </c:pt>
                <c:pt idx="97">
                  <c:v>0</c:v>
                </c:pt>
                <c:pt idx="98">
                  <c:v>3</c:v>
                </c:pt>
                <c:pt idx="99">
                  <c:v>0</c:v>
                </c:pt>
                <c:pt idx="100">
                  <c:v>2</c:v>
                </c:pt>
                <c:pt idx="101">
                  <c:v>3</c:v>
                </c:pt>
                <c:pt idx="102">
                  <c:v>0</c:v>
                </c:pt>
                <c:pt idx="103">
                  <c:v>3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2</c:v>
                </c:pt>
                <c:pt idx="108">
                  <c:v>2</c:v>
                </c:pt>
                <c:pt idx="109">
                  <c:v>3</c:v>
                </c:pt>
                <c:pt idx="110">
                  <c:v>1</c:v>
                </c:pt>
                <c:pt idx="111">
                  <c:v>2</c:v>
                </c:pt>
                <c:pt idx="112">
                  <c:v>2</c:v>
                </c:pt>
                <c:pt idx="113">
                  <c:v>3</c:v>
                </c:pt>
                <c:pt idx="114">
                  <c:v>2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4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9</c:v>
                </c:pt>
                <c:pt idx="129">
                  <c:v>3</c:v>
                </c:pt>
                <c:pt idx="130">
                  <c:v>4</c:v>
                </c:pt>
                <c:pt idx="131">
                  <c:v>7</c:v>
                </c:pt>
                <c:pt idx="132">
                  <c:v>7</c:v>
                </c:pt>
                <c:pt idx="133">
                  <c:v>4</c:v>
                </c:pt>
                <c:pt idx="134">
                  <c:v>#N/A</c:v>
                </c:pt>
                <c:pt idx="135">
                  <c:v>3</c:v>
                </c:pt>
                <c:pt idx="136">
                  <c:v>6</c:v>
                </c:pt>
                <c:pt idx="137">
                  <c:v>#N/A</c:v>
                </c:pt>
                <c:pt idx="138">
                  <c:v>#N/A</c:v>
                </c:pt>
                <c:pt idx="139">
                  <c:v>2</c:v>
                </c:pt>
                <c:pt idx="140">
                  <c:v>#N/A</c:v>
                </c:pt>
                <c:pt idx="141">
                  <c:v>#N/A</c:v>
                </c:pt>
                <c:pt idx="142">
                  <c:v>1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9</c:v>
                </c:pt>
                <c:pt idx="149">
                  <c:v>2</c:v>
                </c:pt>
                <c:pt idx="150">
                  <c:v>1</c:v>
                </c:pt>
                <c:pt idx="151">
                  <c:v>#N/A</c:v>
                </c:pt>
                <c:pt idx="152">
                  <c:v>#N/A</c:v>
                </c:pt>
                <c:pt idx="153">
                  <c:v>8</c:v>
                </c:pt>
                <c:pt idx="154">
                  <c:v>#N/A</c:v>
                </c:pt>
                <c:pt idx="155">
                  <c:v>#N/A</c:v>
                </c:pt>
                <c:pt idx="156">
                  <c:v>1</c:v>
                </c:pt>
                <c:pt idx="157">
                  <c:v>#N/A</c:v>
                </c:pt>
                <c:pt idx="158">
                  <c:v>#N/A</c:v>
                </c:pt>
                <c:pt idx="159">
                  <c:v>3</c:v>
                </c:pt>
                <c:pt idx="160">
                  <c:v>#N/A</c:v>
                </c:pt>
                <c:pt idx="161">
                  <c:v>#N/A</c:v>
                </c:pt>
                <c:pt idx="162">
                  <c:v>4</c:v>
                </c:pt>
                <c:pt idx="163">
                  <c:v>#N/A</c:v>
                </c:pt>
                <c:pt idx="164">
                  <c:v>1</c:v>
                </c:pt>
                <c:pt idx="165">
                  <c:v>6</c:v>
                </c:pt>
                <c:pt idx="166">
                  <c:v>1</c:v>
                </c:pt>
                <c:pt idx="167">
                  <c:v>1</c:v>
                </c:pt>
                <c:pt idx="168">
                  <c:v>8</c:v>
                </c:pt>
                <c:pt idx="169">
                  <c:v>4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10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1</c:v>
                </c:pt>
                <c:pt idx="183">
                  <c:v>9</c:v>
                </c:pt>
                <c:pt idx="184">
                  <c:v>1</c:v>
                </c:pt>
                <c:pt idx="185">
                  <c:v>8</c:v>
                </c:pt>
                <c:pt idx="186">
                  <c:v>#N/A</c:v>
                </c:pt>
                <c:pt idx="187">
                  <c:v>#N/A</c:v>
                </c:pt>
                <c:pt idx="188">
                  <c:v>7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1</c:v>
                </c:pt>
                <c:pt idx="194">
                  <c:v>#N/A</c:v>
                </c:pt>
                <c:pt idx="195">
                  <c:v>#N/A</c:v>
                </c:pt>
                <c:pt idx="196">
                  <c:v>8</c:v>
                </c:pt>
                <c:pt idx="197">
                  <c:v>#N/A</c:v>
                </c:pt>
                <c:pt idx="198">
                  <c:v>#N/A</c:v>
                </c:pt>
                <c:pt idx="199">
                  <c:v>1</c:v>
                </c:pt>
                <c:pt idx="200">
                  <c:v>#N/A</c:v>
                </c:pt>
                <c:pt idx="201">
                  <c:v>#N/A</c:v>
                </c:pt>
                <c:pt idx="202">
                  <c:v>10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7</c:v>
                </c:pt>
                <c:pt idx="207">
                  <c:v>7</c:v>
                </c:pt>
                <c:pt idx="208">
                  <c:v>1</c:v>
                </c:pt>
                <c:pt idx="209">
                  <c:v>#N/A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4</c:v>
                </c:pt>
                <c:pt idx="214">
                  <c:v>#N/A</c:v>
                </c:pt>
                <c:pt idx="215">
                  <c:v>#N/A</c:v>
                </c:pt>
                <c:pt idx="216">
                  <c:v>2</c:v>
                </c:pt>
                <c:pt idx="217">
                  <c:v>#N/A</c:v>
                </c:pt>
                <c:pt idx="218">
                  <c:v>3</c:v>
                </c:pt>
                <c:pt idx="219">
                  <c:v>#N/A</c:v>
                </c:pt>
                <c:pt idx="220">
                  <c:v>#N/A</c:v>
                </c:pt>
                <c:pt idx="221">
                  <c:v>1</c:v>
                </c:pt>
                <c:pt idx="222">
                  <c:v>1</c:v>
                </c:pt>
                <c:pt idx="223">
                  <c:v>10</c:v>
                </c:pt>
                <c:pt idx="224">
                  <c:v>#N/A</c:v>
                </c:pt>
                <c:pt idx="225">
                  <c:v>#N/A</c:v>
                </c:pt>
                <c:pt idx="226">
                  <c:v>7</c:v>
                </c:pt>
                <c:pt idx="227">
                  <c:v>#N/A</c:v>
                </c:pt>
                <c:pt idx="228">
                  <c:v>9</c:v>
                </c:pt>
                <c:pt idx="229">
                  <c:v>10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2</c:v>
                </c:pt>
                <c:pt idx="234">
                  <c:v>3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7</c:v>
                </c:pt>
                <c:pt idx="239">
                  <c:v>#N/A</c:v>
                </c:pt>
                <c:pt idx="240">
                  <c:v>4</c:v>
                </c:pt>
                <c:pt idx="241">
                  <c:v>6</c:v>
                </c:pt>
                <c:pt idx="242">
                  <c:v>#N/A</c:v>
                </c:pt>
                <c:pt idx="243">
                  <c:v>2</c:v>
                </c:pt>
                <c:pt idx="244">
                  <c:v>#N/A</c:v>
                </c:pt>
                <c:pt idx="245">
                  <c:v>3</c:v>
                </c:pt>
                <c:pt idx="246">
                  <c:v>8</c:v>
                </c:pt>
                <c:pt idx="247">
                  <c:v>2</c:v>
                </c:pt>
                <c:pt idx="248">
                  <c:v>1</c:v>
                </c:pt>
                <c:pt idx="249">
                  <c:v>#N/A</c:v>
                </c:pt>
              </c:numCache>
            </c:numRef>
          </c:xVal>
          <c:yVal>
            <c:numRef>
              <c:f>'2.7 SatChurn'!$J$2:$J$251</c:f>
              <c:numCache>
                <c:formatCode>General</c:formatCode>
                <c:ptCount val="250"/>
                <c:pt idx="0">
                  <c:v>1.0015781821400966</c:v>
                </c:pt>
                <c:pt idx="1">
                  <c:v>1.0020921424853444</c:v>
                </c:pt>
                <c:pt idx="2">
                  <c:v>1.0118584125408501</c:v>
                </c:pt>
                <c:pt idx="3">
                  <c:v>0.98666746867199184</c:v>
                </c:pt>
                <c:pt idx="4">
                  <c:v>1.014223462865242</c:v>
                </c:pt>
                <c:pt idx="5">
                  <c:v>0.98631513649720148</c:v>
                </c:pt>
                <c:pt idx="6">
                  <c:v>1.0147141269841349</c:v>
                </c:pt>
                <c:pt idx="7">
                  <c:v>0.99520620331546772</c:v>
                </c:pt>
                <c:pt idx="8">
                  <c:v>1.0002654471756038</c:v>
                </c:pt>
                <c:pt idx="9">
                  <c:v>1.0106175197382359</c:v>
                </c:pt>
                <c:pt idx="10">
                  <c:v>0.99807513881097631</c:v>
                </c:pt>
                <c:pt idx="11">
                  <c:v>0.99076968672551469</c:v>
                </c:pt>
                <c:pt idx="12">
                  <c:v>0.99919338403880542</c:v>
                </c:pt>
                <c:pt idx="13">
                  <c:v>1.0137513101227209</c:v>
                </c:pt>
                <c:pt idx="14">
                  <c:v>1.0108726768641243</c:v>
                </c:pt>
                <c:pt idx="15">
                  <c:v>0.98935527534910805</c:v>
                </c:pt>
                <c:pt idx="16">
                  <c:v>0.99872570461509269</c:v>
                </c:pt>
                <c:pt idx="17">
                  <c:v>1.0040676647975899</c:v>
                </c:pt>
                <c:pt idx="18">
                  <c:v>0.99091008285274407</c:v>
                </c:pt>
                <c:pt idx="19">
                  <c:v>1.0141995818918914</c:v>
                </c:pt>
                <c:pt idx="20">
                  <c:v>0.99141521630456164</c:v>
                </c:pt>
                <c:pt idx="21">
                  <c:v>1.0089970555770986</c:v>
                </c:pt>
                <c:pt idx="22">
                  <c:v>0.98795755143713604</c:v>
                </c:pt>
                <c:pt idx="23">
                  <c:v>0.99155691761970266</c:v>
                </c:pt>
                <c:pt idx="24">
                  <c:v>1.0007171034474314</c:v>
                </c:pt>
                <c:pt idx="25">
                  <c:v>0.98975466271805279</c:v>
                </c:pt>
                <c:pt idx="26">
                  <c:v>0.99165498590796541</c:v>
                </c:pt>
                <c:pt idx="27">
                  <c:v>0.9955680773059512</c:v>
                </c:pt>
                <c:pt idx="28">
                  <c:v>0.9932922904822139</c:v>
                </c:pt>
                <c:pt idx="29">
                  <c:v>0.99006841838658677</c:v>
                </c:pt>
                <c:pt idx="30">
                  <c:v>0.99080162997336507</c:v>
                </c:pt>
                <c:pt idx="31">
                  <c:v>1.0111704606246306</c:v>
                </c:pt>
                <c:pt idx="32">
                  <c:v>1.0082440165695357</c:v>
                </c:pt>
                <c:pt idx="33">
                  <c:v>1.0102966990549156</c:v>
                </c:pt>
                <c:pt idx="34">
                  <c:v>1.0045505851139753</c:v>
                </c:pt>
                <c:pt idx="35">
                  <c:v>0.99509498021126952</c:v>
                </c:pt>
                <c:pt idx="36">
                  <c:v>0.98875646538404083</c:v>
                </c:pt>
                <c:pt idx="37">
                  <c:v>1.0064801068056748</c:v>
                </c:pt>
                <c:pt idx="38">
                  <c:v>1.0083632677715137</c:v>
                </c:pt>
                <c:pt idx="39">
                  <c:v>0.99159064383431117</c:v>
                </c:pt>
                <c:pt idx="40">
                  <c:v>1.0003363015482249</c:v>
                </c:pt>
                <c:pt idx="41">
                  <c:v>1.0105664651112574</c:v>
                </c:pt>
                <c:pt idx="42">
                  <c:v>0.99853852628663298</c:v>
                </c:pt>
                <c:pt idx="43">
                  <c:v>0.99311584545199438</c:v>
                </c:pt>
                <c:pt idx="44">
                  <c:v>0.99614199958083116</c:v>
                </c:pt>
                <c:pt idx="45">
                  <c:v>1.0098871438427672</c:v>
                </c:pt>
                <c:pt idx="46">
                  <c:v>0.98773642750524493</c:v>
                </c:pt>
                <c:pt idx="47">
                  <c:v>0.985815744289395</c:v>
                </c:pt>
                <c:pt idx="48">
                  <c:v>1.0062351927750108</c:v>
                </c:pt>
                <c:pt idx="49">
                  <c:v>1.003362349309235</c:v>
                </c:pt>
                <c:pt idx="50">
                  <c:v>1.0014031171312587</c:v>
                </c:pt>
                <c:pt idx="51">
                  <c:v>1.005268577561117</c:v>
                </c:pt>
                <c:pt idx="52">
                  <c:v>1.0069776866983597</c:v>
                </c:pt>
                <c:pt idx="53">
                  <c:v>1.0056441086774528</c:v>
                </c:pt>
                <c:pt idx="54">
                  <c:v>1.0061349609025503</c:v>
                </c:pt>
                <c:pt idx="55">
                  <c:v>0.99455181810480586</c:v>
                </c:pt>
                <c:pt idx="56">
                  <c:v>0.99988152339835401</c:v>
                </c:pt>
                <c:pt idx="57">
                  <c:v>0.9895753025636278</c:v>
                </c:pt>
                <c:pt idx="58">
                  <c:v>0.99215268868422202</c:v>
                </c:pt>
                <c:pt idx="59">
                  <c:v>1.0117777799247631</c:v>
                </c:pt>
                <c:pt idx="60">
                  <c:v>1.0134162227248342</c:v>
                </c:pt>
                <c:pt idx="61">
                  <c:v>1.0078994210505827</c:v>
                </c:pt>
                <c:pt idx="62">
                  <c:v>0.99882850573223247</c:v>
                </c:pt>
                <c:pt idx="63">
                  <c:v>1.0113684834638328</c:v>
                </c:pt>
                <c:pt idx="64">
                  <c:v>1.0051415351203292</c:v>
                </c:pt>
                <c:pt idx="65">
                  <c:v>0.98577303289956364</c:v>
                </c:pt>
                <c:pt idx="66">
                  <c:v>1.0126886309038614</c:v>
                </c:pt>
                <c:pt idx="67">
                  <c:v>0.99853335814800126</c:v>
                </c:pt>
                <c:pt idx="68">
                  <c:v>1.0017742202647861</c:v>
                </c:pt>
                <c:pt idx="69">
                  <c:v>0.98525823249377686</c:v>
                </c:pt>
                <c:pt idx="70">
                  <c:v>1.004590155699951</c:v>
                </c:pt>
                <c:pt idx="71">
                  <c:v>1.0026355982977104</c:v>
                </c:pt>
                <c:pt idx="72">
                  <c:v>1.012361282507384</c:v>
                </c:pt>
                <c:pt idx="73">
                  <c:v>0.99495070001285546</c:v>
                </c:pt>
                <c:pt idx="74">
                  <c:v>1.0054823765817213</c:v>
                </c:pt>
                <c:pt idx="75">
                  <c:v>0.98921863538558596</c:v>
                </c:pt>
                <c:pt idx="76">
                  <c:v>1.0073723623377695</c:v>
                </c:pt>
                <c:pt idx="77">
                  <c:v>1.0038512369561579</c:v>
                </c:pt>
                <c:pt idx="78">
                  <c:v>0.98954814171976313</c:v>
                </c:pt>
                <c:pt idx="79">
                  <c:v>1.0083832229347702</c:v>
                </c:pt>
                <c:pt idx="80">
                  <c:v>0.9989530317247397</c:v>
                </c:pt>
                <c:pt idx="81">
                  <c:v>1.008903684842573</c:v>
                </c:pt>
                <c:pt idx="82">
                  <c:v>0.99043207548051659</c:v>
                </c:pt>
                <c:pt idx="83">
                  <c:v>0.99261414559985128</c:v>
                </c:pt>
                <c:pt idx="84">
                  <c:v>0.98729045632749135</c:v>
                </c:pt>
                <c:pt idx="85">
                  <c:v>1.0081270821537469</c:v>
                </c:pt>
                <c:pt idx="86">
                  <c:v>0.9994648939321541</c:v>
                </c:pt>
                <c:pt idx="87">
                  <c:v>1.0050880402718667</c:v>
                </c:pt>
                <c:pt idx="88">
                  <c:v>1.0024823223045825</c:v>
                </c:pt>
                <c:pt idx="89">
                  <c:v>1.0105824021980347</c:v>
                </c:pt>
                <c:pt idx="90">
                  <c:v>0.99935320981480347</c:v>
                </c:pt>
                <c:pt idx="91">
                  <c:v>0.98916838983998567</c:v>
                </c:pt>
                <c:pt idx="92">
                  <c:v>0.98729140439853214</c:v>
                </c:pt>
                <c:pt idx="93">
                  <c:v>0.9873334613463034</c:v>
                </c:pt>
                <c:pt idx="94">
                  <c:v>0.99749661470609474</c:v>
                </c:pt>
                <c:pt idx="95">
                  <c:v>1.0039805001983106</c:v>
                </c:pt>
                <c:pt idx="96">
                  <c:v>1.010927749670389</c:v>
                </c:pt>
                <c:pt idx="97">
                  <c:v>0.99797728008370556</c:v>
                </c:pt>
                <c:pt idx="98">
                  <c:v>1.0026903479173892</c:v>
                </c:pt>
                <c:pt idx="99">
                  <c:v>1.0117296433163445</c:v>
                </c:pt>
                <c:pt idx="100">
                  <c:v>1.0029093160546039</c:v>
                </c:pt>
                <c:pt idx="101">
                  <c:v>1.0147024838035958</c:v>
                </c:pt>
                <c:pt idx="102">
                  <c:v>0.98831041268776298</c:v>
                </c:pt>
                <c:pt idx="103">
                  <c:v>1.0139235719697923</c:v>
                </c:pt>
                <c:pt idx="104">
                  <c:v>1.0117989913700169</c:v>
                </c:pt>
                <c:pt idx="105">
                  <c:v>1.0084621315177298</c:v>
                </c:pt>
                <c:pt idx="106">
                  <c:v>1.0046547890689606</c:v>
                </c:pt>
                <c:pt idx="107">
                  <c:v>0.98563269650296714</c:v>
                </c:pt>
                <c:pt idx="108">
                  <c:v>1.0009740233837783</c:v>
                </c:pt>
                <c:pt idx="109">
                  <c:v>0.98534409899859343</c:v>
                </c:pt>
                <c:pt idx="110">
                  <c:v>0.99616053943114402</c:v>
                </c:pt>
                <c:pt idx="111">
                  <c:v>1.0108975810455347</c:v>
                </c:pt>
                <c:pt idx="112">
                  <c:v>1.0130175484884525</c:v>
                </c:pt>
                <c:pt idx="113">
                  <c:v>0.99405526228844587</c:v>
                </c:pt>
                <c:pt idx="114">
                  <c:v>0.98670239143701921</c:v>
                </c:pt>
                <c:pt idx="115">
                  <c:v>0.99877492637175247</c:v>
                </c:pt>
                <c:pt idx="116">
                  <c:v>1.0120442151737914</c:v>
                </c:pt>
                <c:pt idx="117">
                  <c:v>1.0030212071149516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1.0131729605395345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1.0045221863923077</c:v>
                </c:pt>
                <c:pt idx="129">
                  <c:v>1.0064163883359705</c:v>
                </c:pt>
                <c:pt idx="130">
                  <c:v>1.0096831748102482</c:v>
                </c:pt>
                <c:pt idx="131">
                  <c:v>1.0096349585450601</c:v>
                </c:pt>
                <c:pt idx="132">
                  <c:v>0.98913892727596964</c:v>
                </c:pt>
                <c:pt idx="133">
                  <c:v>1.0081405419474245</c:v>
                </c:pt>
                <c:pt idx="134">
                  <c:v>#N/A</c:v>
                </c:pt>
                <c:pt idx="135">
                  <c:v>0.98620336019003074</c:v>
                </c:pt>
                <c:pt idx="136">
                  <c:v>1.0059519241010093</c:v>
                </c:pt>
                <c:pt idx="137">
                  <c:v>#N/A</c:v>
                </c:pt>
                <c:pt idx="138">
                  <c:v>#N/A</c:v>
                </c:pt>
                <c:pt idx="139">
                  <c:v>1.0081387786697564</c:v>
                </c:pt>
                <c:pt idx="140">
                  <c:v>#N/A</c:v>
                </c:pt>
                <c:pt idx="141">
                  <c:v>#N/A</c:v>
                </c:pt>
                <c:pt idx="142">
                  <c:v>0.99698771415559906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0.98812716653396593</c:v>
                </c:pt>
                <c:pt idx="149">
                  <c:v>1.009128567850752</c:v>
                </c:pt>
                <c:pt idx="150">
                  <c:v>0.99743011996008701</c:v>
                </c:pt>
                <c:pt idx="151">
                  <c:v>#N/A</c:v>
                </c:pt>
                <c:pt idx="152">
                  <c:v>#N/A</c:v>
                </c:pt>
                <c:pt idx="153">
                  <c:v>0.98994185014108227</c:v>
                </c:pt>
                <c:pt idx="154">
                  <c:v>#N/A</c:v>
                </c:pt>
                <c:pt idx="155">
                  <c:v>#N/A</c:v>
                </c:pt>
                <c:pt idx="156">
                  <c:v>1.0145428514619677</c:v>
                </c:pt>
                <c:pt idx="157">
                  <c:v>#N/A</c:v>
                </c:pt>
                <c:pt idx="158">
                  <c:v>#N/A</c:v>
                </c:pt>
                <c:pt idx="159">
                  <c:v>1.0060157903634841</c:v>
                </c:pt>
                <c:pt idx="160">
                  <c:v>#N/A</c:v>
                </c:pt>
                <c:pt idx="161">
                  <c:v>#N/A</c:v>
                </c:pt>
                <c:pt idx="162">
                  <c:v>0.98872156313193538</c:v>
                </c:pt>
                <c:pt idx="163">
                  <c:v>#N/A</c:v>
                </c:pt>
                <c:pt idx="164">
                  <c:v>0.99352877511959237</c:v>
                </c:pt>
                <c:pt idx="165">
                  <c:v>1.0004794673397477</c:v>
                </c:pt>
                <c:pt idx="166">
                  <c:v>0.99102070916743135</c:v>
                </c:pt>
                <c:pt idx="167">
                  <c:v>0.99506831360393433</c:v>
                </c:pt>
                <c:pt idx="168">
                  <c:v>0.99939586464701702</c:v>
                </c:pt>
                <c:pt idx="169">
                  <c:v>1.0098963071327014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1.0065158743298643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0.99731249149408896</c:v>
                </c:pt>
                <c:pt idx="183">
                  <c:v>0.98774248265125919</c:v>
                </c:pt>
                <c:pt idx="184">
                  <c:v>0.99780513992341713</c:v>
                </c:pt>
                <c:pt idx="185">
                  <c:v>1.0149120071416535</c:v>
                </c:pt>
                <c:pt idx="186">
                  <c:v>#N/A</c:v>
                </c:pt>
                <c:pt idx="187">
                  <c:v>#N/A</c:v>
                </c:pt>
                <c:pt idx="188">
                  <c:v>1.008789904549289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1.0076998371211598</c:v>
                </c:pt>
                <c:pt idx="194">
                  <c:v>#N/A</c:v>
                </c:pt>
                <c:pt idx="195">
                  <c:v>#N/A</c:v>
                </c:pt>
                <c:pt idx="196">
                  <c:v>1.000240989425293</c:v>
                </c:pt>
                <c:pt idx="197">
                  <c:v>#N/A</c:v>
                </c:pt>
                <c:pt idx="198">
                  <c:v>#N/A</c:v>
                </c:pt>
                <c:pt idx="199">
                  <c:v>1.0006444318560181</c:v>
                </c:pt>
                <c:pt idx="200">
                  <c:v>#N/A</c:v>
                </c:pt>
                <c:pt idx="201">
                  <c:v>#N/A</c:v>
                </c:pt>
                <c:pt idx="202">
                  <c:v>1.005835408742537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1.0083472087851171</c:v>
                </c:pt>
                <c:pt idx="207">
                  <c:v>1.0049017073140756</c:v>
                </c:pt>
                <c:pt idx="208">
                  <c:v>1.0074879351084167</c:v>
                </c:pt>
                <c:pt idx="209">
                  <c:v>#N/A</c:v>
                </c:pt>
                <c:pt idx="210">
                  <c:v>1.0063226722266652</c:v>
                </c:pt>
                <c:pt idx="211">
                  <c:v>1.0008909920442592</c:v>
                </c:pt>
                <c:pt idx="212">
                  <c:v>0.99460937341845634</c:v>
                </c:pt>
                <c:pt idx="213">
                  <c:v>0.99720945544001727</c:v>
                </c:pt>
                <c:pt idx="214">
                  <c:v>#N/A</c:v>
                </c:pt>
                <c:pt idx="215">
                  <c:v>#N/A</c:v>
                </c:pt>
                <c:pt idx="216">
                  <c:v>0.99860246039629741</c:v>
                </c:pt>
                <c:pt idx="217">
                  <c:v>#N/A</c:v>
                </c:pt>
                <c:pt idx="218">
                  <c:v>1.0139732505371681</c:v>
                </c:pt>
                <c:pt idx="219">
                  <c:v>#N/A</c:v>
                </c:pt>
                <c:pt idx="220">
                  <c:v>#N/A</c:v>
                </c:pt>
                <c:pt idx="221">
                  <c:v>0.98859050386450964</c:v>
                </c:pt>
                <c:pt idx="222">
                  <c:v>1.0057253788352463</c:v>
                </c:pt>
                <c:pt idx="223">
                  <c:v>0.99922447840009709</c:v>
                </c:pt>
                <c:pt idx="224">
                  <c:v>#N/A</c:v>
                </c:pt>
                <c:pt idx="225">
                  <c:v>#N/A</c:v>
                </c:pt>
                <c:pt idx="226">
                  <c:v>1.0115659129020176</c:v>
                </c:pt>
                <c:pt idx="227">
                  <c:v>#N/A</c:v>
                </c:pt>
                <c:pt idx="228">
                  <c:v>1.013423904157565</c:v>
                </c:pt>
                <c:pt idx="229">
                  <c:v>0.98840548716267063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0.99124285462151551</c:v>
                </c:pt>
                <c:pt idx="234">
                  <c:v>1.0024157040245498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0.99518440414339637</c:v>
                </c:pt>
                <c:pt idx="239">
                  <c:v>#N/A</c:v>
                </c:pt>
                <c:pt idx="240">
                  <c:v>1.0090702332126178</c:v>
                </c:pt>
                <c:pt idx="241">
                  <c:v>1.0006095240297417</c:v>
                </c:pt>
                <c:pt idx="242">
                  <c:v>#N/A</c:v>
                </c:pt>
                <c:pt idx="243">
                  <c:v>0.99587915702052243</c:v>
                </c:pt>
                <c:pt idx="244">
                  <c:v>#N/A</c:v>
                </c:pt>
                <c:pt idx="245">
                  <c:v>1.0079318184299131</c:v>
                </c:pt>
                <c:pt idx="246">
                  <c:v>1.0026874770351659</c:v>
                </c:pt>
                <c:pt idx="247">
                  <c:v>1.0042828887148774</c:v>
                </c:pt>
                <c:pt idx="248">
                  <c:v>1.0062452037427345</c:v>
                </c:pt>
                <c:pt idx="24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66-994C-91DF-E1EBD21B2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996159"/>
        <c:axId val="2082759199"/>
      </c:scatterChart>
      <c:valAx>
        <c:axId val="200199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SatisfactionScore</a:t>
                </a:r>
                <a:r>
                  <a:rPr lang="en-GB" baseline="0"/>
                  <a:t> (1-10)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759199"/>
        <c:crosses val="autoZero"/>
        <c:crossBetween val="midCat"/>
      </c:valAx>
      <c:valAx>
        <c:axId val="2082759199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  <a:alpha val="61497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Churn</a:t>
                </a:r>
                <a:r>
                  <a:rPr lang="en-GB" baseline="0"/>
                  <a:t> (Yes/No - 1/0)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996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Support Ticket vs</a:t>
            </a:r>
            <a:r>
              <a:rPr lang="en-GB" baseline="0"/>
              <a:t> Churn Status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'2.7 SatChurn'!$G$1</c:f>
              <c:strCache>
                <c:ptCount val="1"/>
                <c:pt idx="0">
                  <c:v>No Churn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plus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'2.7 SatChurn'!$F$2:$F$251</c:f>
              <c:numCache>
                <c:formatCode>General</c:formatCode>
                <c:ptCount val="2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9</c:v>
                </c:pt>
                <c:pt idx="119">
                  <c:v>3</c:v>
                </c:pt>
                <c:pt idx="120">
                  <c:v>10</c:v>
                </c:pt>
                <c:pt idx="121">
                  <c:v>#N/A</c:v>
                </c:pt>
                <c:pt idx="122">
                  <c:v>6</c:v>
                </c:pt>
                <c:pt idx="123">
                  <c:v>8</c:v>
                </c:pt>
                <c:pt idx="124">
                  <c:v>5</c:v>
                </c:pt>
                <c:pt idx="125">
                  <c:v>3</c:v>
                </c:pt>
                <c:pt idx="126">
                  <c:v>6</c:v>
                </c:pt>
                <c:pt idx="127">
                  <c:v>4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6</c:v>
                </c:pt>
                <c:pt idx="135">
                  <c:v>#N/A</c:v>
                </c:pt>
                <c:pt idx="136">
                  <c:v>#N/A</c:v>
                </c:pt>
                <c:pt idx="137">
                  <c:v>2</c:v>
                </c:pt>
                <c:pt idx="138">
                  <c:v>8</c:v>
                </c:pt>
                <c:pt idx="139">
                  <c:v>#N/A</c:v>
                </c:pt>
                <c:pt idx="140">
                  <c:v>7</c:v>
                </c:pt>
                <c:pt idx="141">
                  <c:v>9</c:v>
                </c:pt>
                <c:pt idx="142">
                  <c:v>#N/A</c:v>
                </c:pt>
                <c:pt idx="143">
                  <c:v>8</c:v>
                </c:pt>
                <c:pt idx="144">
                  <c:v>7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6</c:v>
                </c:pt>
                <c:pt idx="152">
                  <c:v>10</c:v>
                </c:pt>
                <c:pt idx="153">
                  <c:v>#N/A</c:v>
                </c:pt>
                <c:pt idx="154">
                  <c:v>3</c:v>
                </c:pt>
                <c:pt idx="155">
                  <c:v>10</c:v>
                </c:pt>
                <c:pt idx="156">
                  <c:v>#N/A</c:v>
                </c:pt>
                <c:pt idx="157">
                  <c:v>9</c:v>
                </c:pt>
                <c:pt idx="158">
                  <c:v>1</c:v>
                </c:pt>
                <c:pt idx="159">
                  <c:v>#N/A</c:v>
                </c:pt>
                <c:pt idx="160">
                  <c:v>8</c:v>
                </c:pt>
                <c:pt idx="161">
                  <c:v>3</c:v>
                </c:pt>
                <c:pt idx="162">
                  <c:v>#N/A</c:v>
                </c:pt>
                <c:pt idx="163">
                  <c:v>8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1</c:v>
                </c:pt>
                <c:pt idx="171">
                  <c:v>10</c:v>
                </c:pt>
                <c:pt idx="172">
                  <c:v>7</c:v>
                </c:pt>
                <c:pt idx="173">
                  <c:v>5</c:v>
                </c:pt>
                <c:pt idx="174">
                  <c:v>5</c:v>
                </c:pt>
                <c:pt idx="175">
                  <c:v>1</c:v>
                </c:pt>
                <c:pt idx="176">
                  <c:v>#N/A</c:v>
                </c:pt>
                <c:pt idx="177">
                  <c:v>6</c:v>
                </c:pt>
                <c:pt idx="178">
                  <c:v>9</c:v>
                </c:pt>
                <c:pt idx="179">
                  <c:v>9</c:v>
                </c:pt>
                <c:pt idx="180">
                  <c:v>8</c:v>
                </c:pt>
                <c:pt idx="181">
                  <c:v>5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5</c:v>
                </c:pt>
                <c:pt idx="187">
                  <c:v>3</c:v>
                </c:pt>
                <c:pt idx="188">
                  <c:v>#N/A</c:v>
                </c:pt>
                <c:pt idx="189">
                  <c:v>7</c:v>
                </c:pt>
                <c:pt idx="190">
                  <c:v>9</c:v>
                </c:pt>
                <c:pt idx="191">
                  <c:v>7</c:v>
                </c:pt>
                <c:pt idx="192">
                  <c:v>3</c:v>
                </c:pt>
                <c:pt idx="193">
                  <c:v>#N/A</c:v>
                </c:pt>
                <c:pt idx="194">
                  <c:v>8</c:v>
                </c:pt>
                <c:pt idx="195">
                  <c:v>3</c:v>
                </c:pt>
                <c:pt idx="196">
                  <c:v>#N/A</c:v>
                </c:pt>
                <c:pt idx="197">
                  <c:v>8</c:v>
                </c:pt>
                <c:pt idx="198">
                  <c:v>5</c:v>
                </c:pt>
                <c:pt idx="199">
                  <c:v>#N/A</c:v>
                </c:pt>
                <c:pt idx="200">
                  <c:v>10</c:v>
                </c:pt>
                <c:pt idx="201">
                  <c:v>7</c:v>
                </c:pt>
                <c:pt idx="202">
                  <c:v>#N/A</c:v>
                </c:pt>
                <c:pt idx="203">
                  <c:v>5</c:v>
                </c:pt>
                <c:pt idx="204">
                  <c:v>8</c:v>
                </c:pt>
                <c:pt idx="205">
                  <c:v>9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4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1</c:v>
                </c:pt>
                <c:pt idx="215">
                  <c:v>4</c:v>
                </c:pt>
                <c:pt idx="216">
                  <c:v>#N/A</c:v>
                </c:pt>
                <c:pt idx="217">
                  <c:v>5</c:v>
                </c:pt>
                <c:pt idx="218">
                  <c:v>#N/A</c:v>
                </c:pt>
                <c:pt idx="219">
                  <c:v>8</c:v>
                </c:pt>
                <c:pt idx="220">
                  <c:v>4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3</c:v>
                </c:pt>
                <c:pt idx="225">
                  <c:v>9</c:v>
                </c:pt>
                <c:pt idx="226">
                  <c:v>#N/A</c:v>
                </c:pt>
                <c:pt idx="227">
                  <c:v>2</c:v>
                </c:pt>
                <c:pt idx="228">
                  <c:v>#N/A</c:v>
                </c:pt>
                <c:pt idx="229">
                  <c:v>#N/A</c:v>
                </c:pt>
                <c:pt idx="230">
                  <c:v>2</c:v>
                </c:pt>
                <c:pt idx="231">
                  <c:v>3</c:v>
                </c:pt>
                <c:pt idx="232">
                  <c:v>10</c:v>
                </c:pt>
                <c:pt idx="233">
                  <c:v>#N/A</c:v>
                </c:pt>
                <c:pt idx="234">
                  <c:v>#N/A</c:v>
                </c:pt>
                <c:pt idx="235">
                  <c:v>6</c:v>
                </c:pt>
                <c:pt idx="236">
                  <c:v>9</c:v>
                </c:pt>
                <c:pt idx="237">
                  <c:v>9</c:v>
                </c:pt>
                <c:pt idx="238">
                  <c:v>#N/A</c:v>
                </c:pt>
                <c:pt idx="239">
                  <c:v>3</c:v>
                </c:pt>
                <c:pt idx="240">
                  <c:v>#N/A</c:v>
                </c:pt>
                <c:pt idx="241">
                  <c:v>#N/A</c:v>
                </c:pt>
                <c:pt idx="242">
                  <c:v>5</c:v>
                </c:pt>
                <c:pt idx="243">
                  <c:v>#N/A</c:v>
                </c:pt>
                <c:pt idx="244">
                  <c:v>6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9</c:v>
                </c:pt>
              </c:numCache>
            </c:numRef>
          </c:xVal>
          <c:yVal>
            <c:numRef>
              <c:f>'2.7 SatChurn'!$G$2:$G$251</c:f>
              <c:numCache>
                <c:formatCode>General</c:formatCode>
                <c:ptCount val="2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-8.7316853634306461E-3</c:v>
                </c:pt>
                <c:pt idx="119">
                  <c:v>1.1171671405577479E-2</c:v>
                </c:pt>
                <c:pt idx="120">
                  <c:v>1.2197466635741852E-2</c:v>
                </c:pt>
                <c:pt idx="121">
                  <c:v>#N/A</c:v>
                </c:pt>
                <c:pt idx="122">
                  <c:v>-3.9180490777187132E-3</c:v>
                </c:pt>
                <c:pt idx="123">
                  <c:v>-6.8579830268344971E-3</c:v>
                </c:pt>
                <c:pt idx="124">
                  <c:v>-3.9045478579977245E-3</c:v>
                </c:pt>
                <c:pt idx="125">
                  <c:v>-1.4103133747052068E-2</c:v>
                </c:pt>
                <c:pt idx="126">
                  <c:v>-7.9639544964567426E-3</c:v>
                </c:pt>
                <c:pt idx="127">
                  <c:v>6.786548592163222E-3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4.7816177242445725E-3</c:v>
                </c:pt>
                <c:pt idx="135">
                  <c:v>#N/A</c:v>
                </c:pt>
                <c:pt idx="136">
                  <c:v>#N/A</c:v>
                </c:pt>
                <c:pt idx="137">
                  <c:v>2.6532334908194997E-3</c:v>
                </c:pt>
                <c:pt idx="138">
                  <c:v>-1.3493012683114357E-2</c:v>
                </c:pt>
                <c:pt idx="139">
                  <c:v>#N/A</c:v>
                </c:pt>
                <c:pt idx="140">
                  <c:v>1.2625948959720811E-2</c:v>
                </c:pt>
                <c:pt idx="141">
                  <c:v>-3.3487486318039893E-3</c:v>
                </c:pt>
                <c:pt idx="142">
                  <c:v>#N/A</c:v>
                </c:pt>
                <c:pt idx="143">
                  <c:v>-2.0105354266120056E-3</c:v>
                </c:pt>
                <c:pt idx="144">
                  <c:v>9.6467801414303229E-3</c:v>
                </c:pt>
                <c:pt idx="145">
                  <c:v>-1.2195392466016058E-2</c:v>
                </c:pt>
                <c:pt idx="146">
                  <c:v>-4.4449341948279517E-3</c:v>
                </c:pt>
                <c:pt idx="147">
                  <c:v>-1.2839759735793847E-2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-7.037676223953903E-5</c:v>
                </c:pt>
                <c:pt idx="152">
                  <c:v>1.5196077423986819E-3</c:v>
                </c:pt>
                <c:pt idx="153">
                  <c:v>#N/A</c:v>
                </c:pt>
                <c:pt idx="154">
                  <c:v>8.3242290421254184E-3</c:v>
                </c:pt>
                <c:pt idx="155">
                  <c:v>-9.5609395289022563E-3</c:v>
                </c:pt>
                <c:pt idx="156">
                  <c:v>#N/A</c:v>
                </c:pt>
                <c:pt idx="157">
                  <c:v>-1.4694805242946215E-2</c:v>
                </c:pt>
                <c:pt idx="158">
                  <c:v>4.1847844206300694E-3</c:v>
                </c:pt>
                <c:pt idx="159">
                  <c:v>#N/A</c:v>
                </c:pt>
                <c:pt idx="160">
                  <c:v>7.3288518900285612E-3</c:v>
                </c:pt>
                <c:pt idx="161">
                  <c:v>8.9593631871328194E-3</c:v>
                </c:pt>
                <c:pt idx="162">
                  <c:v>#N/A</c:v>
                </c:pt>
                <c:pt idx="163">
                  <c:v>-4.1012431374415443E-3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6.9923509696970211E-3</c:v>
                </c:pt>
                <c:pt idx="171">
                  <c:v>5.5800000894723142E-4</c:v>
                </c:pt>
                <c:pt idx="172">
                  <c:v>-9.1428950522404896E-3</c:v>
                </c:pt>
                <c:pt idx="173">
                  <c:v>8.5171237514101977E-3</c:v>
                </c:pt>
                <c:pt idx="174">
                  <c:v>-9.2083802106773596E-3</c:v>
                </c:pt>
                <c:pt idx="175">
                  <c:v>9.1598914477787584E-3</c:v>
                </c:pt>
                <c:pt idx="176">
                  <c:v>#N/A</c:v>
                </c:pt>
                <c:pt idx="177">
                  <c:v>-3.1726162140478052E-3</c:v>
                </c:pt>
                <c:pt idx="178">
                  <c:v>6.7194051180378116E-3</c:v>
                </c:pt>
                <c:pt idx="179">
                  <c:v>3.3366752374829698E-3</c:v>
                </c:pt>
                <c:pt idx="180">
                  <c:v>5.1345439963889662E-3</c:v>
                </c:pt>
                <c:pt idx="181">
                  <c:v>9.6842188929115117E-3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-1.2452029052992268E-2</c:v>
                </c:pt>
                <c:pt idx="187">
                  <c:v>2.695363075214566E-3</c:v>
                </c:pt>
                <c:pt idx="188">
                  <c:v>#N/A</c:v>
                </c:pt>
                <c:pt idx="189">
                  <c:v>-9.0072198651427126E-4</c:v>
                </c:pt>
                <c:pt idx="190">
                  <c:v>1.3241766241153358E-2</c:v>
                </c:pt>
                <c:pt idx="191">
                  <c:v>5.9692545021380588E-3</c:v>
                </c:pt>
                <c:pt idx="192">
                  <c:v>8.9427412696364197E-3</c:v>
                </c:pt>
                <c:pt idx="193">
                  <c:v>#N/A</c:v>
                </c:pt>
                <c:pt idx="194">
                  <c:v>-1.2589746991243799E-2</c:v>
                </c:pt>
                <c:pt idx="195">
                  <c:v>4.1346150240309174E-3</c:v>
                </c:pt>
                <c:pt idx="196">
                  <c:v>#N/A</c:v>
                </c:pt>
                <c:pt idx="197">
                  <c:v>1.266738683769973E-2</c:v>
                </c:pt>
                <c:pt idx="198">
                  <c:v>2.7289554421507822E-4</c:v>
                </c:pt>
                <c:pt idx="199">
                  <c:v>#N/A</c:v>
                </c:pt>
                <c:pt idx="200">
                  <c:v>6.624723129224473E-3</c:v>
                </c:pt>
                <c:pt idx="201">
                  <c:v>-9.279473968858365E-3</c:v>
                </c:pt>
                <c:pt idx="202">
                  <c:v>#N/A</c:v>
                </c:pt>
                <c:pt idx="203">
                  <c:v>1.3183720347631827E-2</c:v>
                </c:pt>
                <c:pt idx="204">
                  <c:v>2.2149516823142899E-3</c:v>
                </c:pt>
                <c:pt idx="205">
                  <c:v>1.1399729008682278E-2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1.178538426174542E-2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-5.3676842482055006E-3</c:v>
                </c:pt>
                <c:pt idx="215">
                  <c:v>-1.2146820929249217E-2</c:v>
                </c:pt>
                <c:pt idx="216">
                  <c:v>#N/A</c:v>
                </c:pt>
                <c:pt idx="217">
                  <c:v>-1.2012153471775151E-2</c:v>
                </c:pt>
                <c:pt idx="218">
                  <c:v>#N/A</c:v>
                </c:pt>
                <c:pt idx="219">
                  <c:v>-3.7828281477018011E-3</c:v>
                </c:pt>
                <c:pt idx="220">
                  <c:v>1.374601957746599E-2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-1.1057380089641649E-2</c:v>
                </c:pt>
                <c:pt idx="225">
                  <c:v>8.023458843564835E-3</c:v>
                </c:pt>
                <c:pt idx="226">
                  <c:v>#N/A</c:v>
                </c:pt>
                <c:pt idx="227">
                  <c:v>-1.9999730004711903E-3</c:v>
                </c:pt>
                <c:pt idx="228">
                  <c:v>#N/A</c:v>
                </c:pt>
                <c:pt idx="229">
                  <c:v>#N/A</c:v>
                </c:pt>
                <c:pt idx="230">
                  <c:v>-1.2298082850313917E-2</c:v>
                </c:pt>
                <c:pt idx="231">
                  <c:v>4.1566665131059885E-4</c:v>
                </c:pt>
                <c:pt idx="232">
                  <c:v>-3.944777087572981E-3</c:v>
                </c:pt>
                <c:pt idx="233">
                  <c:v>#N/A</c:v>
                </c:pt>
                <c:pt idx="234">
                  <c:v>#N/A</c:v>
                </c:pt>
                <c:pt idx="235">
                  <c:v>1.235147006118672E-3</c:v>
                </c:pt>
                <c:pt idx="236">
                  <c:v>1.4293557123039809E-2</c:v>
                </c:pt>
                <c:pt idx="237">
                  <c:v>6.0038055636397526E-4</c:v>
                </c:pt>
                <c:pt idx="238">
                  <c:v>#N/A</c:v>
                </c:pt>
                <c:pt idx="239">
                  <c:v>-4.541439873552342E-3</c:v>
                </c:pt>
                <c:pt idx="240">
                  <c:v>#N/A</c:v>
                </c:pt>
                <c:pt idx="241">
                  <c:v>#N/A</c:v>
                </c:pt>
                <c:pt idx="242">
                  <c:v>-1.1716152657042938E-2</c:v>
                </c:pt>
                <c:pt idx="243">
                  <c:v>#N/A</c:v>
                </c:pt>
                <c:pt idx="244">
                  <c:v>8.7100443856238056E-3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-4.0500074585654518E-4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0E-4B4F-9D1A-4575A7474661}"/>
            </c:ext>
          </c:extLst>
        </c:ser>
        <c:ser>
          <c:idx val="1"/>
          <c:order val="1"/>
          <c:tx>
            <c:strRef>
              <c:f>'2.7 SatChurn'!$J$1</c:f>
              <c:strCache>
                <c:ptCount val="1"/>
                <c:pt idx="0">
                  <c:v>Churn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'2.7 SatChurn'!$I$2:$I$251</c:f>
              <c:numCache>
                <c:formatCode>General</c:formatCode>
                <c:ptCount val="25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6</c:v>
                </c:pt>
                <c:pt idx="10">
                  <c:v>3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5</c:v>
                </c:pt>
                <c:pt idx="16">
                  <c:v>0</c:v>
                </c:pt>
                <c:pt idx="17">
                  <c:v>2</c:v>
                </c:pt>
                <c:pt idx="18">
                  <c:v>3</c:v>
                </c:pt>
                <c:pt idx="19">
                  <c:v>0</c:v>
                </c:pt>
                <c:pt idx="20">
                  <c:v>2</c:v>
                </c:pt>
                <c:pt idx="21">
                  <c:v>5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0</c:v>
                </c:pt>
                <c:pt idx="30">
                  <c:v>1</c:v>
                </c:pt>
                <c:pt idx="31">
                  <c:v>3</c:v>
                </c:pt>
                <c:pt idx="32">
                  <c:v>0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3</c:v>
                </c:pt>
                <c:pt idx="38">
                  <c:v>2</c:v>
                </c:pt>
                <c:pt idx="39">
                  <c:v>1</c:v>
                </c:pt>
                <c:pt idx="40">
                  <c:v>2</c:v>
                </c:pt>
                <c:pt idx="41">
                  <c:v>0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0</c:v>
                </c:pt>
                <c:pt idx="47">
                  <c:v>6</c:v>
                </c:pt>
                <c:pt idx="48">
                  <c:v>1</c:v>
                </c:pt>
                <c:pt idx="49">
                  <c:v>4</c:v>
                </c:pt>
                <c:pt idx="50">
                  <c:v>6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2</c:v>
                </c:pt>
                <c:pt idx="60">
                  <c:v>3</c:v>
                </c:pt>
                <c:pt idx="61">
                  <c:v>3</c:v>
                </c:pt>
                <c:pt idx="62">
                  <c:v>2</c:v>
                </c:pt>
                <c:pt idx="63">
                  <c:v>1</c:v>
                </c:pt>
                <c:pt idx="64">
                  <c:v>2</c:v>
                </c:pt>
                <c:pt idx="65">
                  <c:v>1</c:v>
                </c:pt>
                <c:pt idx="66">
                  <c:v>1</c:v>
                </c:pt>
                <c:pt idx="67">
                  <c:v>2</c:v>
                </c:pt>
                <c:pt idx="68">
                  <c:v>1</c:v>
                </c:pt>
                <c:pt idx="69">
                  <c:v>2</c:v>
                </c:pt>
                <c:pt idx="70">
                  <c:v>3</c:v>
                </c:pt>
                <c:pt idx="71">
                  <c:v>2</c:v>
                </c:pt>
                <c:pt idx="72">
                  <c:v>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4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2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3</c:v>
                </c:pt>
                <c:pt idx="87">
                  <c:v>1</c:v>
                </c:pt>
                <c:pt idx="88">
                  <c:v>1</c:v>
                </c:pt>
                <c:pt idx="89">
                  <c:v>2</c:v>
                </c:pt>
                <c:pt idx="90">
                  <c:v>3</c:v>
                </c:pt>
                <c:pt idx="91">
                  <c:v>1</c:v>
                </c:pt>
                <c:pt idx="92">
                  <c:v>3</c:v>
                </c:pt>
                <c:pt idx="93">
                  <c:v>2</c:v>
                </c:pt>
                <c:pt idx="94">
                  <c:v>3</c:v>
                </c:pt>
                <c:pt idx="95">
                  <c:v>1</c:v>
                </c:pt>
                <c:pt idx="96">
                  <c:v>2</c:v>
                </c:pt>
                <c:pt idx="97">
                  <c:v>0</c:v>
                </c:pt>
                <c:pt idx="98">
                  <c:v>3</c:v>
                </c:pt>
                <c:pt idx="99">
                  <c:v>0</c:v>
                </c:pt>
                <c:pt idx="100">
                  <c:v>2</c:v>
                </c:pt>
                <c:pt idx="101">
                  <c:v>3</c:v>
                </c:pt>
                <c:pt idx="102">
                  <c:v>0</c:v>
                </c:pt>
                <c:pt idx="103">
                  <c:v>3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2</c:v>
                </c:pt>
                <c:pt idx="108">
                  <c:v>2</c:v>
                </c:pt>
                <c:pt idx="109">
                  <c:v>3</c:v>
                </c:pt>
                <c:pt idx="110">
                  <c:v>1</c:v>
                </c:pt>
                <c:pt idx="111">
                  <c:v>2</c:v>
                </c:pt>
                <c:pt idx="112">
                  <c:v>2</c:v>
                </c:pt>
                <c:pt idx="113">
                  <c:v>3</c:v>
                </c:pt>
                <c:pt idx="114">
                  <c:v>2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4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9</c:v>
                </c:pt>
                <c:pt idx="129">
                  <c:v>3</c:v>
                </c:pt>
                <c:pt idx="130">
                  <c:v>4</c:v>
                </c:pt>
                <c:pt idx="131">
                  <c:v>7</c:v>
                </c:pt>
                <c:pt idx="132">
                  <c:v>7</c:v>
                </c:pt>
                <c:pt idx="133">
                  <c:v>4</c:v>
                </c:pt>
                <c:pt idx="134">
                  <c:v>#N/A</c:v>
                </c:pt>
                <c:pt idx="135">
                  <c:v>3</c:v>
                </c:pt>
                <c:pt idx="136">
                  <c:v>6</c:v>
                </c:pt>
                <c:pt idx="137">
                  <c:v>#N/A</c:v>
                </c:pt>
                <c:pt idx="138">
                  <c:v>#N/A</c:v>
                </c:pt>
                <c:pt idx="139">
                  <c:v>2</c:v>
                </c:pt>
                <c:pt idx="140">
                  <c:v>#N/A</c:v>
                </c:pt>
                <c:pt idx="141">
                  <c:v>#N/A</c:v>
                </c:pt>
                <c:pt idx="142">
                  <c:v>1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9</c:v>
                </c:pt>
                <c:pt idx="149">
                  <c:v>2</c:v>
                </c:pt>
                <c:pt idx="150">
                  <c:v>1</c:v>
                </c:pt>
                <c:pt idx="151">
                  <c:v>#N/A</c:v>
                </c:pt>
                <c:pt idx="152">
                  <c:v>#N/A</c:v>
                </c:pt>
                <c:pt idx="153">
                  <c:v>8</c:v>
                </c:pt>
                <c:pt idx="154">
                  <c:v>#N/A</c:v>
                </c:pt>
                <c:pt idx="155">
                  <c:v>#N/A</c:v>
                </c:pt>
                <c:pt idx="156">
                  <c:v>1</c:v>
                </c:pt>
                <c:pt idx="157">
                  <c:v>#N/A</c:v>
                </c:pt>
                <c:pt idx="158">
                  <c:v>#N/A</c:v>
                </c:pt>
                <c:pt idx="159">
                  <c:v>3</c:v>
                </c:pt>
                <c:pt idx="160">
                  <c:v>#N/A</c:v>
                </c:pt>
                <c:pt idx="161">
                  <c:v>#N/A</c:v>
                </c:pt>
                <c:pt idx="162">
                  <c:v>4</c:v>
                </c:pt>
                <c:pt idx="163">
                  <c:v>#N/A</c:v>
                </c:pt>
                <c:pt idx="164">
                  <c:v>1</c:v>
                </c:pt>
                <c:pt idx="165">
                  <c:v>6</c:v>
                </c:pt>
                <c:pt idx="166">
                  <c:v>1</c:v>
                </c:pt>
                <c:pt idx="167">
                  <c:v>1</c:v>
                </c:pt>
                <c:pt idx="168">
                  <c:v>8</c:v>
                </c:pt>
                <c:pt idx="169">
                  <c:v>4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10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1</c:v>
                </c:pt>
                <c:pt idx="183">
                  <c:v>9</c:v>
                </c:pt>
                <c:pt idx="184">
                  <c:v>1</c:v>
                </c:pt>
                <c:pt idx="185">
                  <c:v>8</c:v>
                </c:pt>
                <c:pt idx="186">
                  <c:v>#N/A</c:v>
                </c:pt>
                <c:pt idx="187">
                  <c:v>#N/A</c:v>
                </c:pt>
                <c:pt idx="188">
                  <c:v>7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1</c:v>
                </c:pt>
                <c:pt idx="194">
                  <c:v>#N/A</c:v>
                </c:pt>
                <c:pt idx="195">
                  <c:v>#N/A</c:v>
                </c:pt>
                <c:pt idx="196">
                  <c:v>8</c:v>
                </c:pt>
                <c:pt idx="197">
                  <c:v>#N/A</c:v>
                </c:pt>
                <c:pt idx="198">
                  <c:v>#N/A</c:v>
                </c:pt>
                <c:pt idx="199">
                  <c:v>1</c:v>
                </c:pt>
                <c:pt idx="200">
                  <c:v>#N/A</c:v>
                </c:pt>
                <c:pt idx="201">
                  <c:v>#N/A</c:v>
                </c:pt>
                <c:pt idx="202">
                  <c:v>10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7</c:v>
                </c:pt>
                <c:pt idx="207">
                  <c:v>7</c:v>
                </c:pt>
                <c:pt idx="208">
                  <c:v>1</c:v>
                </c:pt>
                <c:pt idx="209">
                  <c:v>#N/A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4</c:v>
                </c:pt>
                <c:pt idx="214">
                  <c:v>#N/A</c:v>
                </c:pt>
                <c:pt idx="215">
                  <c:v>#N/A</c:v>
                </c:pt>
                <c:pt idx="216">
                  <c:v>2</c:v>
                </c:pt>
                <c:pt idx="217">
                  <c:v>#N/A</c:v>
                </c:pt>
                <c:pt idx="218">
                  <c:v>3</c:v>
                </c:pt>
                <c:pt idx="219">
                  <c:v>#N/A</c:v>
                </c:pt>
                <c:pt idx="220">
                  <c:v>#N/A</c:v>
                </c:pt>
                <c:pt idx="221">
                  <c:v>1</c:v>
                </c:pt>
                <c:pt idx="222">
                  <c:v>1</c:v>
                </c:pt>
                <c:pt idx="223">
                  <c:v>10</c:v>
                </c:pt>
                <c:pt idx="224">
                  <c:v>#N/A</c:v>
                </c:pt>
                <c:pt idx="225">
                  <c:v>#N/A</c:v>
                </c:pt>
                <c:pt idx="226">
                  <c:v>7</c:v>
                </c:pt>
                <c:pt idx="227">
                  <c:v>#N/A</c:v>
                </c:pt>
                <c:pt idx="228">
                  <c:v>9</c:v>
                </c:pt>
                <c:pt idx="229">
                  <c:v>10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2</c:v>
                </c:pt>
                <c:pt idx="234">
                  <c:v>3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7</c:v>
                </c:pt>
                <c:pt idx="239">
                  <c:v>#N/A</c:v>
                </c:pt>
                <c:pt idx="240">
                  <c:v>4</c:v>
                </c:pt>
                <c:pt idx="241">
                  <c:v>6</c:v>
                </c:pt>
                <c:pt idx="242">
                  <c:v>#N/A</c:v>
                </c:pt>
                <c:pt idx="243">
                  <c:v>2</c:v>
                </c:pt>
                <c:pt idx="244">
                  <c:v>#N/A</c:v>
                </c:pt>
                <c:pt idx="245">
                  <c:v>3</c:v>
                </c:pt>
                <c:pt idx="246">
                  <c:v>8</c:v>
                </c:pt>
                <c:pt idx="247">
                  <c:v>2</c:v>
                </c:pt>
                <c:pt idx="248">
                  <c:v>1</c:v>
                </c:pt>
                <c:pt idx="249">
                  <c:v>#N/A</c:v>
                </c:pt>
              </c:numCache>
            </c:numRef>
          </c:xVal>
          <c:yVal>
            <c:numRef>
              <c:f>'2.7 SatChurn'!$J$2:$J$251</c:f>
              <c:numCache>
                <c:formatCode>General</c:formatCode>
                <c:ptCount val="250"/>
                <c:pt idx="0">
                  <c:v>1.0015781821400966</c:v>
                </c:pt>
                <c:pt idx="1">
                  <c:v>1.0020921424853444</c:v>
                </c:pt>
                <c:pt idx="2">
                  <c:v>1.0118584125408501</c:v>
                </c:pt>
                <c:pt idx="3">
                  <c:v>0.98666746867199184</c:v>
                </c:pt>
                <c:pt idx="4">
                  <c:v>1.014223462865242</c:v>
                </c:pt>
                <c:pt idx="5">
                  <c:v>0.98631513649720148</c:v>
                </c:pt>
                <c:pt idx="6">
                  <c:v>1.0147141269841349</c:v>
                </c:pt>
                <c:pt idx="7">
                  <c:v>0.99520620331546772</c:v>
                </c:pt>
                <c:pt idx="8">
                  <c:v>1.0002654471756038</c:v>
                </c:pt>
                <c:pt idx="9">
                  <c:v>1.0106175197382359</c:v>
                </c:pt>
                <c:pt idx="10">
                  <c:v>0.99807513881097631</c:v>
                </c:pt>
                <c:pt idx="11">
                  <c:v>0.99076968672551469</c:v>
                </c:pt>
                <c:pt idx="12">
                  <c:v>0.99919338403880542</c:v>
                </c:pt>
                <c:pt idx="13">
                  <c:v>1.0137513101227209</c:v>
                </c:pt>
                <c:pt idx="14">
                  <c:v>1.0108726768641243</c:v>
                </c:pt>
                <c:pt idx="15">
                  <c:v>0.98935527534910805</c:v>
                </c:pt>
                <c:pt idx="16">
                  <c:v>0.99872570461509269</c:v>
                </c:pt>
                <c:pt idx="17">
                  <c:v>1.0040676647975899</c:v>
                </c:pt>
                <c:pt idx="18">
                  <c:v>0.99091008285274407</c:v>
                </c:pt>
                <c:pt idx="19">
                  <c:v>1.0141995818918914</c:v>
                </c:pt>
                <c:pt idx="20">
                  <c:v>0.99141521630456164</c:v>
                </c:pt>
                <c:pt idx="21">
                  <c:v>1.0089970555770986</c:v>
                </c:pt>
                <c:pt idx="22">
                  <c:v>0.98795755143713604</c:v>
                </c:pt>
                <c:pt idx="23">
                  <c:v>0.99155691761970266</c:v>
                </c:pt>
                <c:pt idx="24">
                  <c:v>1.0007171034474314</c:v>
                </c:pt>
                <c:pt idx="25">
                  <c:v>0.98975466271805279</c:v>
                </c:pt>
                <c:pt idx="26">
                  <c:v>0.99165498590796541</c:v>
                </c:pt>
                <c:pt idx="27">
                  <c:v>0.9955680773059512</c:v>
                </c:pt>
                <c:pt idx="28">
                  <c:v>0.9932922904822139</c:v>
                </c:pt>
                <c:pt idx="29">
                  <c:v>0.99006841838658677</c:v>
                </c:pt>
                <c:pt idx="30">
                  <c:v>0.99080162997336507</c:v>
                </c:pt>
                <c:pt idx="31">
                  <c:v>1.0111704606246306</c:v>
                </c:pt>
                <c:pt idx="32">
                  <c:v>1.0082440165695357</c:v>
                </c:pt>
                <c:pt idx="33">
                  <c:v>1.0102966990549156</c:v>
                </c:pt>
                <c:pt idx="34">
                  <c:v>1.0045505851139753</c:v>
                </c:pt>
                <c:pt idx="35">
                  <c:v>0.99509498021126952</c:v>
                </c:pt>
                <c:pt idx="36">
                  <c:v>0.98875646538404083</c:v>
                </c:pt>
                <c:pt idx="37">
                  <c:v>1.0064801068056748</c:v>
                </c:pt>
                <c:pt idx="38">
                  <c:v>1.0083632677715137</c:v>
                </c:pt>
                <c:pt idx="39">
                  <c:v>0.99159064383431117</c:v>
                </c:pt>
                <c:pt idx="40">
                  <c:v>1.0003363015482249</c:v>
                </c:pt>
                <c:pt idx="41">
                  <c:v>1.0105664651112574</c:v>
                </c:pt>
                <c:pt idx="42">
                  <c:v>0.99853852628663298</c:v>
                </c:pt>
                <c:pt idx="43">
                  <c:v>0.99311584545199438</c:v>
                </c:pt>
                <c:pt idx="44">
                  <c:v>0.99614199958083116</c:v>
                </c:pt>
                <c:pt idx="45">
                  <c:v>1.0098871438427672</c:v>
                </c:pt>
                <c:pt idx="46">
                  <c:v>0.98773642750524493</c:v>
                </c:pt>
                <c:pt idx="47">
                  <c:v>0.985815744289395</c:v>
                </c:pt>
                <c:pt idx="48">
                  <c:v>1.0062351927750108</c:v>
                </c:pt>
                <c:pt idx="49">
                  <c:v>1.003362349309235</c:v>
                </c:pt>
                <c:pt idx="50">
                  <c:v>1.0014031171312587</c:v>
                </c:pt>
                <c:pt idx="51">
                  <c:v>1.005268577561117</c:v>
                </c:pt>
                <c:pt idx="52">
                  <c:v>1.0069776866983597</c:v>
                </c:pt>
                <c:pt idx="53">
                  <c:v>1.0056441086774528</c:v>
                </c:pt>
                <c:pt idx="54">
                  <c:v>1.0061349609025503</c:v>
                </c:pt>
                <c:pt idx="55">
                  <c:v>0.99455181810480586</c:v>
                </c:pt>
                <c:pt idx="56">
                  <c:v>0.99988152339835401</c:v>
                </c:pt>
                <c:pt idx="57">
                  <c:v>0.9895753025636278</c:v>
                </c:pt>
                <c:pt idx="58">
                  <c:v>0.99215268868422202</c:v>
                </c:pt>
                <c:pt idx="59">
                  <c:v>1.0117777799247631</c:v>
                </c:pt>
                <c:pt idx="60">
                  <c:v>1.0134162227248342</c:v>
                </c:pt>
                <c:pt idx="61">
                  <c:v>1.0078994210505827</c:v>
                </c:pt>
                <c:pt idx="62">
                  <c:v>0.99882850573223247</c:v>
                </c:pt>
                <c:pt idx="63">
                  <c:v>1.0113684834638328</c:v>
                </c:pt>
                <c:pt idx="64">
                  <c:v>1.0051415351203292</c:v>
                </c:pt>
                <c:pt idx="65">
                  <c:v>0.98577303289956364</c:v>
                </c:pt>
                <c:pt idx="66">
                  <c:v>1.0126886309038614</c:v>
                </c:pt>
                <c:pt idx="67">
                  <c:v>0.99853335814800126</c:v>
                </c:pt>
                <c:pt idx="68">
                  <c:v>1.0017742202647861</c:v>
                </c:pt>
                <c:pt idx="69">
                  <c:v>0.98525823249377686</c:v>
                </c:pt>
                <c:pt idx="70">
                  <c:v>1.004590155699951</c:v>
                </c:pt>
                <c:pt idx="71">
                  <c:v>1.0026355982977104</c:v>
                </c:pt>
                <c:pt idx="72">
                  <c:v>1.012361282507384</c:v>
                </c:pt>
                <c:pt idx="73">
                  <c:v>0.99495070001285546</c:v>
                </c:pt>
                <c:pt idx="74">
                  <c:v>1.0054823765817213</c:v>
                </c:pt>
                <c:pt idx="75">
                  <c:v>0.98921863538558596</c:v>
                </c:pt>
                <c:pt idx="76">
                  <c:v>1.0073723623377695</c:v>
                </c:pt>
                <c:pt idx="77">
                  <c:v>1.0038512369561579</c:v>
                </c:pt>
                <c:pt idx="78">
                  <c:v>0.98954814171976313</c:v>
                </c:pt>
                <c:pt idx="79">
                  <c:v>1.0083832229347702</c:v>
                </c:pt>
                <c:pt idx="80">
                  <c:v>0.9989530317247397</c:v>
                </c:pt>
                <c:pt idx="81">
                  <c:v>1.008903684842573</c:v>
                </c:pt>
                <c:pt idx="82">
                  <c:v>0.99043207548051659</c:v>
                </c:pt>
                <c:pt idx="83">
                  <c:v>0.99261414559985128</c:v>
                </c:pt>
                <c:pt idx="84">
                  <c:v>0.98729045632749135</c:v>
                </c:pt>
                <c:pt idx="85">
                  <c:v>1.0081270821537469</c:v>
                </c:pt>
                <c:pt idx="86">
                  <c:v>0.9994648939321541</c:v>
                </c:pt>
                <c:pt idx="87">
                  <c:v>1.0050880402718667</c:v>
                </c:pt>
                <c:pt idx="88">
                  <c:v>1.0024823223045825</c:v>
                </c:pt>
                <c:pt idx="89">
                  <c:v>1.0105824021980347</c:v>
                </c:pt>
                <c:pt idx="90">
                  <c:v>0.99935320981480347</c:v>
                </c:pt>
                <c:pt idx="91">
                  <c:v>0.98916838983998567</c:v>
                </c:pt>
                <c:pt idx="92">
                  <c:v>0.98729140439853214</c:v>
                </c:pt>
                <c:pt idx="93">
                  <c:v>0.9873334613463034</c:v>
                </c:pt>
                <c:pt idx="94">
                  <c:v>0.99749661470609474</c:v>
                </c:pt>
                <c:pt idx="95">
                  <c:v>1.0039805001983106</c:v>
                </c:pt>
                <c:pt idx="96">
                  <c:v>1.010927749670389</c:v>
                </c:pt>
                <c:pt idx="97">
                  <c:v>0.99797728008370556</c:v>
                </c:pt>
                <c:pt idx="98">
                  <c:v>1.0026903479173892</c:v>
                </c:pt>
                <c:pt idx="99">
                  <c:v>1.0117296433163445</c:v>
                </c:pt>
                <c:pt idx="100">
                  <c:v>1.0029093160546039</c:v>
                </c:pt>
                <c:pt idx="101">
                  <c:v>1.0147024838035958</c:v>
                </c:pt>
                <c:pt idx="102">
                  <c:v>0.98831041268776298</c:v>
                </c:pt>
                <c:pt idx="103">
                  <c:v>1.0139235719697923</c:v>
                </c:pt>
                <c:pt idx="104">
                  <c:v>1.0117989913700169</c:v>
                </c:pt>
                <c:pt idx="105">
                  <c:v>1.0084621315177298</c:v>
                </c:pt>
                <c:pt idx="106">
                  <c:v>1.0046547890689606</c:v>
                </c:pt>
                <c:pt idx="107">
                  <c:v>0.98563269650296714</c:v>
                </c:pt>
                <c:pt idx="108">
                  <c:v>1.0009740233837783</c:v>
                </c:pt>
                <c:pt idx="109">
                  <c:v>0.98534409899859343</c:v>
                </c:pt>
                <c:pt idx="110">
                  <c:v>0.99616053943114402</c:v>
                </c:pt>
                <c:pt idx="111">
                  <c:v>1.0108975810455347</c:v>
                </c:pt>
                <c:pt idx="112">
                  <c:v>1.0130175484884525</c:v>
                </c:pt>
                <c:pt idx="113">
                  <c:v>0.99405526228844587</c:v>
                </c:pt>
                <c:pt idx="114">
                  <c:v>0.98670239143701921</c:v>
                </c:pt>
                <c:pt idx="115">
                  <c:v>0.99877492637175247</c:v>
                </c:pt>
                <c:pt idx="116">
                  <c:v>1.0120442151737914</c:v>
                </c:pt>
                <c:pt idx="117">
                  <c:v>1.0030212071149516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1.0131729605395345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1.0045221863923077</c:v>
                </c:pt>
                <c:pt idx="129">
                  <c:v>1.0064163883359705</c:v>
                </c:pt>
                <c:pt idx="130">
                  <c:v>1.0096831748102482</c:v>
                </c:pt>
                <c:pt idx="131">
                  <c:v>1.0096349585450601</c:v>
                </c:pt>
                <c:pt idx="132">
                  <c:v>0.98913892727596964</c:v>
                </c:pt>
                <c:pt idx="133">
                  <c:v>1.0081405419474245</c:v>
                </c:pt>
                <c:pt idx="134">
                  <c:v>#N/A</c:v>
                </c:pt>
                <c:pt idx="135">
                  <c:v>0.98620336019003074</c:v>
                </c:pt>
                <c:pt idx="136">
                  <c:v>1.0059519241010093</c:v>
                </c:pt>
                <c:pt idx="137">
                  <c:v>#N/A</c:v>
                </c:pt>
                <c:pt idx="138">
                  <c:v>#N/A</c:v>
                </c:pt>
                <c:pt idx="139">
                  <c:v>1.0081387786697564</c:v>
                </c:pt>
                <c:pt idx="140">
                  <c:v>#N/A</c:v>
                </c:pt>
                <c:pt idx="141">
                  <c:v>#N/A</c:v>
                </c:pt>
                <c:pt idx="142">
                  <c:v>0.99698771415559906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0.98812716653396593</c:v>
                </c:pt>
                <c:pt idx="149">
                  <c:v>1.009128567850752</c:v>
                </c:pt>
                <c:pt idx="150">
                  <c:v>0.99743011996008701</c:v>
                </c:pt>
                <c:pt idx="151">
                  <c:v>#N/A</c:v>
                </c:pt>
                <c:pt idx="152">
                  <c:v>#N/A</c:v>
                </c:pt>
                <c:pt idx="153">
                  <c:v>0.98994185014108227</c:v>
                </c:pt>
                <c:pt idx="154">
                  <c:v>#N/A</c:v>
                </c:pt>
                <c:pt idx="155">
                  <c:v>#N/A</c:v>
                </c:pt>
                <c:pt idx="156">
                  <c:v>1.0145428514619677</c:v>
                </c:pt>
                <c:pt idx="157">
                  <c:v>#N/A</c:v>
                </c:pt>
                <c:pt idx="158">
                  <c:v>#N/A</c:v>
                </c:pt>
                <c:pt idx="159">
                  <c:v>1.0060157903634841</c:v>
                </c:pt>
                <c:pt idx="160">
                  <c:v>#N/A</c:v>
                </c:pt>
                <c:pt idx="161">
                  <c:v>#N/A</c:v>
                </c:pt>
                <c:pt idx="162">
                  <c:v>0.98872156313193538</c:v>
                </c:pt>
                <c:pt idx="163">
                  <c:v>#N/A</c:v>
                </c:pt>
                <c:pt idx="164">
                  <c:v>0.99352877511959237</c:v>
                </c:pt>
                <c:pt idx="165">
                  <c:v>1.0004794673397477</c:v>
                </c:pt>
                <c:pt idx="166">
                  <c:v>0.99102070916743135</c:v>
                </c:pt>
                <c:pt idx="167">
                  <c:v>0.99506831360393433</c:v>
                </c:pt>
                <c:pt idx="168">
                  <c:v>0.99939586464701702</c:v>
                </c:pt>
                <c:pt idx="169">
                  <c:v>1.0098963071327014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1.0065158743298643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0.99731249149408896</c:v>
                </c:pt>
                <c:pt idx="183">
                  <c:v>0.98774248265125919</c:v>
                </c:pt>
                <c:pt idx="184">
                  <c:v>0.99780513992341713</c:v>
                </c:pt>
                <c:pt idx="185">
                  <c:v>1.0149120071416535</c:v>
                </c:pt>
                <c:pt idx="186">
                  <c:v>#N/A</c:v>
                </c:pt>
                <c:pt idx="187">
                  <c:v>#N/A</c:v>
                </c:pt>
                <c:pt idx="188">
                  <c:v>1.008789904549289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1.0076998371211598</c:v>
                </c:pt>
                <c:pt idx="194">
                  <c:v>#N/A</c:v>
                </c:pt>
                <c:pt idx="195">
                  <c:v>#N/A</c:v>
                </c:pt>
                <c:pt idx="196">
                  <c:v>1.000240989425293</c:v>
                </c:pt>
                <c:pt idx="197">
                  <c:v>#N/A</c:v>
                </c:pt>
                <c:pt idx="198">
                  <c:v>#N/A</c:v>
                </c:pt>
                <c:pt idx="199">
                  <c:v>1.0006444318560181</c:v>
                </c:pt>
                <c:pt idx="200">
                  <c:v>#N/A</c:v>
                </c:pt>
                <c:pt idx="201">
                  <c:v>#N/A</c:v>
                </c:pt>
                <c:pt idx="202">
                  <c:v>1.005835408742537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1.0083472087851171</c:v>
                </c:pt>
                <c:pt idx="207">
                  <c:v>1.0049017073140756</c:v>
                </c:pt>
                <c:pt idx="208">
                  <c:v>1.0074879351084167</c:v>
                </c:pt>
                <c:pt idx="209">
                  <c:v>#N/A</c:v>
                </c:pt>
                <c:pt idx="210">
                  <c:v>1.0063226722266652</c:v>
                </c:pt>
                <c:pt idx="211">
                  <c:v>1.0008909920442592</c:v>
                </c:pt>
                <c:pt idx="212">
                  <c:v>0.99460937341845634</c:v>
                </c:pt>
                <c:pt idx="213">
                  <c:v>0.99720945544001727</c:v>
                </c:pt>
                <c:pt idx="214">
                  <c:v>#N/A</c:v>
                </c:pt>
                <c:pt idx="215">
                  <c:v>#N/A</c:v>
                </c:pt>
                <c:pt idx="216">
                  <c:v>0.99860246039629741</c:v>
                </c:pt>
                <c:pt idx="217">
                  <c:v>#N/A</c:v>
                </c:pt>
                <c:pt idx="218">
                  <c:v>1.0139732505371681</c:v>
                </c:pt>
                <c:pt idx="219">
                  <c:v>#N/A</c:v>
                </c:pt>
                <c:pt idx="220">
                  <c:v>#N/A</c:v>
                </c:pt>
                <c:pt idx="221">
                  <c:v>0.98859050386450964</c:v>
                </c:pt>
                <c:pt idx="222">
                  <c:v>1.0057253788352463</c:v>
                </c:pt>
                <c:pt idx="223">
                  <c:v>0.99922447840009709</c:v>
                </c:pt>
                <c:pt idx="224">
                  <c:v>#N/A</c:v>
                </c:pt>
                <c:pt idx="225">
                  <c:v>#N/A</c:v>
                </c:pt>
                <c:pt idx="226">
                  <c:v>1.0115659129020176</c:v>
                </c:pt>
                <c:pt idx="227">
                  <c:v>#N/A</c:v>
                </c:pt>
                <c:pt idx="228">
                  <c:v>1.013423904157565</c:v>
                </c:pt>
                <c:pt idx="229">
                  <c:v>0.98840548716267063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0.99124285462151551</c:v>
                </c:pt>
                <c:pt idx="234">
                  <c:v>1.0024157040245498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0.99518440414339637</c:v>
                </c:pt>
                <c:pt idx="239">
                  <c:v>#N/A</c:v>
                </c:pt>
                <c:pt idx="240">
                  <c:v>1.0090702332126178</c:v>
                </c:pt>
                <c:pt idx="241">
                  <c:v>1.0006095240297417</c:v>
                </c:pt>
                <c:pt idx="242">
                  <c:v>#N/A</c:v>
                </c:pt>
                <c:pt idx="243">
                  <c:v>0.99587915702052243</c:v>
                </c:pt>
                <c:pt idx="244">
                  <c:v>#N/A</c:v>
                </c:pt>
                <c:pt idx="245">
                  <c:v>1.0079318184299131</c:v>
                </c:pt>
                <c:pt idx="246">
                  <c:v>1.0026874770351659</c:v>
                </c:pt>
                <c:pt idx="247">
                  <c:v>1.0042828887148774</c:v>
                </c:pt>
                <c:pt idx="248">
                  <c:v>1.0062452037427345</c:v>
                </c:pt>
                <c:pt idx="24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0E-4B4F-9D1A-4575A7474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387823"/>
        <c:axId val="1906179359"/>
      </c:scatterChart>
      <c:valAx>
        <c:axId val="181138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Support</a:t>
                </a:r>
                <a:r>
                  <a:rPr lang="en-GB" baseline="0"/>
                  <a:t> Ticket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179359"/>
        <c:crosses val="autoZero"/>
        <c:crossBetween val="midCat"/>
      </c:valAx>
      <c:valAx>
        <c:axId val="190617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8656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Churn</a:t>
                </a:r>
                <a:r>
                  <a:rPr lang="en-GB" baseline="0"/>
                  <a:t> (1/0)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387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Tenure Segment by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'2.8 Diagnostic - Tenure, Sat'!$H$2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'2.8 Diagnostic - Tenure, Sat'!$G$3:$G$7</c:f>
              <c:strCache>
                <c:ptCount val="5"/>
                <c:pt idx="0">
                  <c:v>&gt;24m</c:v>
                </c:pt>
                <c:pt idx="1">
                  <c:v>0–3m</c:v>
                </c:pt>
                <c:pt idx="2">
                  <c:v>13–24m</c:v>
                </c:pt>
                <c:pt idx="3">
                  <c:v>4–6m</c:v>
                </c:pt>
                <c:pt idx="4">
                  <c:v>7–12m</c:v>
                </c:pt>
              </c:strCache>
            </c:strRef>
          </c:cat>
          <c:val>
            <c:numRef>
              <c:f>'2.8 Diagnostic - Tenure, Sat'!$H$3:$H$7</c:f>
              <c:numCache>
                <c:formatCode>0%</c:formatCode>
                <c:ptCount val="5"/>
                <c:pt idx="0">
                  <c:v>0.44654088050314467</c:v>
                </c:pt>
                <c:pt idx="1">
                  <c:v>0.6</c:v>
                </c:pt>
                <c:pt idx="2">
                  <c:v>0.50980392156862742</c:v>
                </c:pt>
                <c:pt idx="3">
                  <c:v>0.5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88-BC4A-A87B-7B82A2D357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3475327"/>
        <c:axId val="1656162063"/>
      </c:barChart>
      <c:catAx>
        <c:axId val="175347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162063"/>
        <c:crosses val="autoZero"/>
        <c:auto val="1"/>
        <c:lblAlgn val="ctr"/>
        <c:lblOffset val="100"/>
        <c:noMultiLvlLbl val="0"/>
      </c:catAx>
      <c:valAx>
        <c:axId val="165616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47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 by TenureBucket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'2.8 Diagnostic - Tenure, Sat'!$F$23</c:f>
              <c:strCache>
                <c:ptCount val="1"/>
                <c:pt idx="0">
                  <c:v>Lift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'2.8 Diagnostic - Tenure, Sat'!$A$24:$A$28</c:f>
              <c:strCache>
                <c:ptCount val="5"/>
                <c:pt idx="0">
                  <c:v>0-3m</c:v>
                </c:pt>
                <c:pt idx="1">
                  <c:v>4-6m</c:v>
                </c:pt>
                <c:pt idx="2">
                  <c:v>7-12m</c:v>
                </c:pt>
                <c:pt idx="3">
                  <c:v>13-24m</c:v>
                </c:pt>
                <c:pt idx="4">
                  <c:v>&gt;24</c:v>
                </c:pt>
              </c:strCache>
            </c:strRef>
          </c:cat>
          <c:val>
            <c:numRef>
              <c:f>'2.8 Diagnostic - Tenure, Sat'!$F$24:$F$28</c:f>
              <c:numCache>
                <c:formatCode>0.00</c:formatCode>
                <c:ptCount val="5"/>
                <c:pt idx="0">
                  <c:v>1.271186440677966</c:v>
                </c:pt>
                <c:pt idx="1">
                  <c:v>1.0593220338983051</c:v>
                </c:pt>
                <c:pt idx="2">
                  <c:v>1.0593220338983051</c:v>
                </c:pt>
                <c:pt idx="3">
                  <c:v>1.0800930541708209</c:v>
                </c:pt>
                <c:pt idx="4">
                  <c:v>0.94606118750666246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B-C74E-B977-57A5019729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8625903"/>
        <c:axId val="1326066911"/>
      </c:barChart>
      <c:catAx>
        <c:axId val="163862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066911"/>
        <c:crosses val="autoZero"/>
        <c:auto val="1"/>
        <c:lblAlgn val="ctr"/>
        <c:lblOffset val="100"/>
        <c:noMultiLvlLbl val="0"/>
      </c:catAx>
      <c:valAx>
        <c:axId val="132606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62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Satisfaction Segment by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'2.8 Diagnostic - Tenure, Sat'!$K$2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'2.8 Diagnostic - Tenure, Sat'!$J$3:$J$6</c:f>
              <c:strCache>
                <c:ptCount val="4"/>
                <c:pt idx="0">
                  <c:v>1–4</c:v>
                </c:pt>
                <c:pt idx="1">
                  <c:v>5–6</c:v>
                </c:pt>
                <c:pt idx="2">
                  <c:v>7–8</c:v>
                </c:pt>
                <c:pt idx="3">
                  <c:v>9–10</c:v>
                </c:pt>
              </c:strCache>
            </c:strRef>
          </c:cat>
          <c:val>
            <c:numRef>
              <c:f>'2.8 Diagnostic - Tenure, Sat'!$K$3:$K$6</c:f>
              <c:numCache>
                <c:formatCode>0%</c:formatCode>
                <c:ptCount val="4"/>
                <c:pt idx="0">
                  <c:v>0.63</c:v>
                </c:pt>
                <c:pt idx="1">
                  <c:v>0.32</c:v>
                </c:pt>
                <c:pt idx="2">
                  <c:v>0.4</c:v>
                </c:pt>
                <c:pt idx="3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C-C04A-A928-34EF1F1529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9250351"/>
        <c:axId val="1753896671"/>
      </c:barChart>
      <c:catAx>
        <c:axId val="159925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896671"/>
        <c:crosses val="autoZero"/>
        <c:auto val="1"/>
        <c:lblAlgn val="ctr"/>
        <c:lblOffset val="100"/>
        <c:noMultiLvlLbl val="0"/>
      </c:catAx>
      <c:valAx>
        <c:axId val="175389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25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'2.8 Diagnostic - Tenure, Sat'!$K$8</c:f>
              <c:strCache>
                <c:ptCount val="1"/>
                <c:pt idx="0">
                  <c:v>Lift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'2.8 Diagnostic - Tenure, Sat'!$J$9:$J$12</c:f>
              <c:strCache>
                <c:ptCount val="4"/>
                <c:pt idx="0">
                  <c:v>1-4</c:v>
                </c:pt>
                <c:pt idx="1">
                  <c:v>5-6</c:v>
                </c:pt>
                <c:pt idx="2">
                  <c:v>7-8</c:v>
                </c:pt>
                <c:pt idx="3">
                  <c:v>9-10</c:v>
                </c:pt>
              </c:strCache>
            </c:strRef>
          </c:cat>
          <c:val>
            <c:numRef>
              <c:f>'2.8 Diagnostic - Tenure, Sat'!$K$9:$K$12</c:f>
              <c:numCache>
                <c:formatCode>0.00</c:formatCode>
                <c:ptCount val="4"/>
                <c:pt idx="0">
                  <c:v>1.33</c:v>
                </c:pt>
                <c:pt idx="1">
                  <c:v>0.67</c:v>
                </c:pt>
                <c:pt idx="2">
                  <c:v>0.84</c:v>
                </c:pt>
                <c:pt idx="3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1-1544-9684-E13EC3BE72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2734223"/>
        <c:axId val="1815111151"/>
      </c:barChart>
      <c:catAx>
        <c:axId val="130273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111151"/>
        <c:crosses val="autoZero"/>
        <c:auto val="1"/>
        <c:lblAlgn val="ctr"/>
        <c:lblOffset val="100"/>
        <c:noMultiLvlLbl val="0"/>
      </c:catAx>
      <c:valAx>
        <c:axId val="181511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3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MonthlyCharge Segment</a:t>
            </a:r>
            <a:r>
              <a:rPr lang="en-US" baseline="0"/>
              <a:t> by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'2.9Diagnostic - MonthlyQ,UsageQ'!$X$1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'2.9Diagnostic - MonthlyQ,UsageQ'!$W$2:$W$5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'2.9Diagnostic - MonthlyQ,UsageQ'!$X$2:$X$5</c:f>
              <c:numCache>
                <c:formatCode>0%</c:formatCode>
                <c:ptCount val="4"/>
                <c:pt idx="0">
                  <c:v>0.48</c:v>
                </c:pt>
                <c:pt idx="1">
                  <c:v>0.47</c:v>
                </c:pt>
                <c:pt idx="2">
                  <c:v>0.43</c:v>
                </c:pt>
                <c:pt idx="3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B-D141-89D5-E496662ABA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582959"/>
        <c:axId val="1467157679"/>
      </c:barChart>
      <c:catAx>
        <c:axId val="174558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157679"/>
        <c:crosses val="autoZero"/>
        <c:auto val="1"/>
        <c:lblAlgn val="ctr"/>
        <c:lblOffset val="100"/>
        <c:noMultiLvlLbl val="0"/>
      </c:catAx>
      <c:valAx>
        <c:axId val="146715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8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'2.9Diagnostic - MonthlyQ,UsageQ'!$Z$1</c:f>
              <c:strCache>
                <c:ptCount val="1"/>
                <c:pt idx="0">
                  <c:v>Lift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'2.9Diagnostic - MonthlyQ,UsageQ'!$Y$2:$Y$5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'2.9Diagnostic - MonthlyQ,UsageQ'!$Z$2:$Z$5</c:f>
              <c:numCache>
                <c:formatCode>General</c:formatCode>
                <c:ptCount val="4"/>
                <c:pt idx="0">
                  <c:v>1.01</c:v>
                </c:pt>
                <c:pt idx="1">
                  <c:v>0.99</c:v>
                </c:pt>
                <c:pt idx="2">
                  <c:v>0.91</c:v>
                </c:pt>
                <c:pt idx="3">
                  <c:v>1.0900000000000001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3-384E-A18C-57EA9C0DC3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18760783"/>
        <c:axId val="1862145935"/>
      </c:barChart>
      <c:catAx>
        <c:axId val="191876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145935"/>
        <c:crosses val="autoZero"/>
        <c:auto val="1"/>
        <c:lblAlgn val="ctr"/>
        <c:lblOffset val="100"/>
        <c:noMultiLvlLbl val="0"/>
      </c:catAx>
      <c:valAx>
        <c:axId val="186214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76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ServiceUsage</a:t>
            </a:r>
            <a:r>
              <a:rPr lang="en-US" baseline="0"/>
              <a:t> Segment by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'2.9Diagnostic - MonthlyQ,UsageQ'!$AC$1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'2.9Diagnostic - MonthlyQ,UsageQ'!$AB$2:$AB$4</c:f>
              <c:strCache>
                <c:ptCount val="3"/>
                <c:pt idx="0">
                  <c:v>High</c:v>
                </c:pt>
                <c:pt idx="1">
                  <c:v>Mid-High</c:v>
                </c:pt>
                <c:pt idx="2">
                  <c:v>Low</c:v>
                </c:pt>
              </c:strCache>
            </c:strRef>
          </c:cat>
          <c:val>
            <c:numRef>
              <c:f>'2.9Diagnostic - MonthlyQ,UsageQ'!$AC$2:$AC$4</c:f>
              <c:numCache>
                <c:formatCode>0%</c:formatCode>
                <c:ptCount val="3"/>
                <c:pt idx="0">
                  <c:v>0.52</c:v>
                </c:pt>
                <c:pt idx="1">
                  <c:v>0.44</c:v>
                </c:pt>
                <c:pt idx="2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7-F94B-8E27-E3FDD11AB7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74631903"/>
        <c:axId val="1861388639"/>
      </c:barChart>
      <c:catAx>
        <c:axId val="177463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88639"/>
        <c:crosses val="autoZero"/>
        <c:auto val="1"/>
        <c:lblAlgn val="ctr"/>
        <c:lblOffset val="100"/>
        <c:noMultiLvlLbl val="0"/>
      </c:catAx>
      <c:valAx>
        <c:axId val="186138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63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'2.9Diagnostic - MonthlyQ,UsageQ'!$AE$1</c:f>
              <c:strCache>
                <c:ptCount val="1"/>
                <c:pt idx="0">
                  <c:v>Lift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'2.9Diagnostic - MonthlyQ,UsageQ'!$AD$2:$AD$4</c:f>
              <c:strCache>
                <c:ptCount val="3"/>
                <c:pt idx="0">
                  <c:v>High</c:v>
                </c:pt>
                <c:pt idx="1">
                  <c:v>Mid-High</c:v>
                </c:pt>
                <c:pt idx="2">
                  <c:v>Low</c:v>
                </c:pt>
              </c:strCache>
            </c:strRef>
          </c:cat>
          <c:val>
            <c:numRef>
              <c:f>'2.9Diagnostic - MonthlyQ,UsageQ'!$AE$2:$AE$4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0.95</c:v>
                </c:pt>
                <c:pt idx="2">
                  <c:v>1.18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5-144E-B0EF-EB2F4AF428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0956351"/>
        <c:axId val="1721374255"/>
      </c:barChart>
      <c:catAx>
        <c:axId val="185095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374255"/>
        <c:crosses val="autoZero"/>
        <c:auto val="1"/>
        <c:lblAlgn val="ctr"/>
        <c:lblOffset val="100"/>
        <c:noMultiLvlLbl val="0"/>
      </c:catAx>
      <c:valAx>
        <c:axId val="172137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95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ServiceUsage</a:t>
            </a:r>
            <a:r>
              <a:rPr lang="en-US" baseline="0"/>
              <a:t> Segment by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'2.10 Diagnostic-Contractype'!$W$1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'2.10 Diagnostic-Contractype'!$V$2:$V$5</c:f>
              <c:strCache>
                <c:ptCount val="4"/>
                <c:pt idx="0">
                  <c:v>High</c:v>
                </c:pt>
                <c:pt idx="1">
                  <c:v>Mid-High</c:v>
                </c:pt>
                <c:pt idx="2">
                  <c:v>Mid-Low</c:v>
                </c:pt>
                <c:pt idx="3">
                  <c:v>Low</c:v>
                </c:pt>
              </c:strCache>
            </c:strRef>
          </c:cat>
          <c:val>
            <c:numRef>
              <c:f>'2.10 Diagnostic-Contractype'!$W$2:$W$5</c:f>
              <c:numCache>
                <c:formatCode>0%</c:formatCode>
                <c:ptCount val="4"/>
                <c:pt idx="0">
                  <c:v>0.6</c:v>
                </c:pt>
                <c:pt idx="1">
                  <c:v>0.5</c:v>
                </c:pt>
                <c:pt idx="2">
                  <c:v>0.35</c:v>
                </c:pt>
                <c:pt idx="3">
                  <c:v>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7-6A48-A072-95FD2DFF29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5170576"/>
        <c:axId val="35343472"/>
      </c:barChart>
      <c:catAx>
        <c:axId val="3517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43472"/>
        <c:crosses val="autoZero"/>
        <c:auto val="1"/>
        <c:lblAlgn val="ctr"/>
        <c:lblOffset val="100"/>
        <c:noMultiLvlLbl val="0"/>
      </c:catAx>
      <c:valAx>
        <c:axId val="3534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7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'2.10 Diagnostic-Contractype'!$Y$1</c:f>
              <c:strCache>
                <c:ptCount val="1"/>
                <c:pt idx="0">
                  <c:v>Lift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'2.10 Diagnostic-Contractype'!$X$2:$X$5</c:f>
              <c:strCache>
                <c:ptCount val="4"/>
                <c:pt idx="0">
                  <c:v>High</c:v>
                </c:pt>
                <c:pt idx="1">
                  <c:v>Mid-High</c:v>
                </c:pt>
                <c:pt idx="2">
                  <c:v>Mid-Low</c:v>
                </c:pt>
                <c:pt idx="3">
                  <c:v>Low</c:v>
                </c:pt>
              </c:strCache>
            </c:strRef>
          </c:cat>
          <c:val>
            <c:numRef>
              <c:f>'2.10 Diagnostic-Contractype'!$Y$2:$Y$5</c:f>
              <c:numCache>
                <c:formatCode>General</c:formatCode>
                <c:ptCount val="4"/>
                <c:pt idx="0">
                  <c:v>1.28</c:v>
                </c:pt>
                <c:pt idx="1">
                  <c:v>1.06</c:v>
                </c:pt>
                <c:pt idx="2">
                  <c:v>0.74</c:v>
                </c:pt>
                <c:pt idx="3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0-1D4A-8378-2FF2D99423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115392"/>
        <c:axId val="78072400"/>
      </c:barChart>
      <c:catAx>
        <c:axId val="7811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72400"/>
        <c:crosses val="autoZero"/>
        <c:auto val="1"/>
        <c:lblAlgn val="ctr"/>
        <c:lblOffset val="100"/>
        <c:noMultiLvlLbl val="0"/>
      </c:catAx>
      <c:valAx>
        <c:axId val="7807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1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ContractType</a:t>
            </a:r>
            <a:r>
              <a:rPr lang="en-US" baseline="0"/>
              <a:t> segment by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'2.10 Diagnostic-Contractype'!$AB$1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'2.10 Diagnostic-Contractype'!$AA$2:$AA$4</c:f>
              <c:strCache>
                <c:ptCount val="3"/>
                <c:pt idx="0">
                  <c:v>1-year</c:v>
                </c:pt>
                <c:pt idx="1">
                  <c:v>2-year</c:v>
                </c:pt>
                <c:pt idx="2">
                  <c:v>Month to Month</c:v>
                </c:pt>
              </c:strCache>
            </c:strRef>
          </c:cat>
          <c:val>
            <c:numRef>
              <c:f>'2.10 Diagnostic-Contractype'!$AB$2:$AB$4</c:f>
              <c:numCache>
                <c:formatCode>0%</c:formatCode>
                <c:ptCount val="3"/>
                <c:pt idx="0">
                  <c:v>0.42</c:v>
                </c:pt>
                <c:pt idx="1">
                  <c:v>0.42</c:v>
                </c:pt>
                <c:pt idx="2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2-8B43-B77C-22A9D92A7B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18829087"/>
        <c:axId val="78382352"/>
      </c:barChart>
      <c:catAx>
        <c:axId val="191882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82352"/>
        <c:crosses val="autoZero"/>
        <c:auto val="1"/>
        <c:lblAlgn val="ctr"/>
        <c:lblOffset val="100"/>
        <c:noMultiLvlLbl val="0"/>
      </c:catAx>
      <c:valAx>
        <c:axId val="7838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82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'2.10 Diagnostic-Contractype'!$AD$1</c:f>
              <c:strCache>
                <c:ptCount val="1"/>
                <c:pt idx="0">
                  <c:v>Lift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'2.10 Diagnostic-Contractype'!$AC$2:$AC$4</c:f>
              <c:strCache>
                <c:ptCount val="3"/>
                <c:pt idx="0">
                  <c:v>1-year</c:v>
                </c:pt>
                <c:pt idx="1">
                  <c:v>2-year</c:v>
                </c:pt>
                <c:pt idx="2">
                  <c:v>Month to month</c:v>
                </c:pt>
              </c:strCache>
            </c:strRef>
          </c:cat>
          <c:val>
            <c:numRef>
              <c:f>'2.10 Diagnostic-Contractype'!$AD$2:$AD$4</c:f>
              <c:numCache>
                <c:formatCode>General</c:formatCode>
                <c:ptCount val="3"/>
                <c:pt idx="0">
                  <c:v>0.88</c:v>
                </c:pt>
                <c:pt idx="1">
                  <c:v>0.9</c:v>
                </c:pt>
                <c:pt idx="2">
                  <c:v>1.08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3-794D-83C1-812227DC5A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581152"/>
        <c:axId val="78502576"/>
      </c:barChart>
      <c:catAx>
        <c:axId val="7858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02576"/>
        <c:crosses val="autoZero"/>
        <c:auto val="1"/>
        <c:lblAlgn val="ctr"/>
        <c:lblOffset val="100"/>
        <c:noMultiLvlLbl val="0"/>
      </c:catAx>
      <c:valAx>
        <c:axId val="7850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8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Usage</a:t>
            </a:r>
            <a:r>
              <a:rPr lang="en-GB" baseline="0"/>
              <a:t> vs Sat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'2.11 Usage &lt;&gt; Sat'!$E$1</c:f>
              <c:strCache>
                <c:ptCount val="1"/>
                <c:pt idx="0">
                  <c:v>No churn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60000"/>
                  <a:lumOff val="40000"/>
                  <a:alpha val="39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'2.11 Usage &lt;&gt; Sat'!$D$2:$D$251</c:f>
              <c:numCache>
                <c:formatCode>General</c:formatCode>
                <c:ptCount val="250"/>
                <c:pt idx="0">
                  <c:v>#N/A</c:v>
                </c:pt>
                <c:pt idx="1">
                  <c:v>#N/A</c:v>
                </c:pt>
                <c:pt idx="2">
                  <c:v>41.6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68</c:v>
                </c:pt>
                <c:pt idx="8">
                  <c:v>#N/A</c:v>
                </c:pt>
                <c:pt idx="9">
                  <c:v>21.9</c:v>
                </c:pt>
                <c:pt idx="10">
                  <c:v>7.8</c:v>
                </c:pt>
                <c:pt idx="11">
                  <c:v>20.9</c:v>
                </c:pt>
                <c:pt idx="12">
                  <c:v>22.2</c:v>
                </c:pt>
                <c:pt idx="13">
                  <c:v>#N/A</c:v>
                </c:pt>
                <c:pt idx="14">
                  <c:v>43.2</c:v>
                </c:pt>
                <c:pt idx="15">
                  <c:v>#N/A</c:v>
                </c:pt>
                <c:pt idx="16">
                  <c:v>53.5</c:v>
                </c:pt>
                <c:pt idx="17">
                  <c:v>73.7</c:v>
                </c:pt>
                <c:pt idx="18">
                  <c:v>#N/A</c:v>
                </c:pt>
                <c:pt idx="19">
                  <c:v>#N/A</c:v>
                </c:pt>
                <c:pt idx="20">
                  <c:v>71.8</c:v>
                </c:pt>
                <c:pt idx="21">
                  <c:v>#N/A</c:v>
                </c:pt>
                <c:pt idx="22">
                  <c:v>#N/A</c:v>
                </c:pt>
                <c:pt idx="23">
                  <c:v>61.9</c:v>
                </c:pt>
                <c:pt idx="24">
                  <c:v>62.2</c:v>
                </c:pt>
                <c:pt idx="25">
                  <c:v>7.2</c:v>
                </c:pt>
                <c:pt idx="26">
                  <c:v>35.6</c:v>
                </c:pt>
                <c:pt idx="27">
                  <c:v>65.5</c:v>
                </c:pt>
                <c:pt idx="28">
                  <c:v>19.2</c:v>
                </c:pt>
                <c:pt idx="29">
                  <c:v>#N/A</c:v>
                </c:pt>
                <c:pt idx="30">
                  <c:v>#N/A</c:v>
                </c:pt>
                <c:pt idx="31">
                  <c:v>98.3</c:v>
                </c:pt>
                <c:pt idx="32">
                  <c:v>24.9</c:v>
                </c:pt>
                <c:pt idx="33">
                  <c:v>#N/A</c:v>
                </c:pt>
                <c:pt idx="34">
                  <c:v>#N/A</c:v>
                </c:pt>
                <c:pt idx="35">
                  <c:v>40.5</c:v>
                </c:pt>
                <c:pt idx="36">
                  <c:v>16.600000000000001</c:v>
                </c:pt>
                <c:pt idx="37">
                  <c:v>74.900000000000006</c:v>
                </c:pt>
                <c:pt idx="38">
                  <c:v>#N/A</c:v>
                </c:pt>
                <c:pt idx="39">
                  <c:v>40.299999999999997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74.7</c:v>
                </c:pt>
                <c:pt idx="44">
                  <c:v>#N/A</c:v>
                </c:pt>
                <c:pt idx="45">
                  <c:v>21.5</c:v>
                </c:pt>
                <c:pt idx="46">
                  <c:v>65.599999999999994</c:v>
                </c:pt>
                <c:pt idx="47">
                  <c:v>#N/A</c:v>
                </c:pt>
                <c:pt idx="48">
                  <c:v>21.9</c:v>
                </c:pt>
                <c:pt idx="49">
                  <c:v>#N/A</c:v>
                </c:pt>
                <c:pt idx="50">
                  <c:v>99.2</c:v>
                </c:pt>
                <c:pt idx="51">
                  <c:v>76</c:v>
                </c:pt>
                <c:pt idx="52">
                  <c:v>75.3</c:v>
                </c:pt>
                <c:pt idx="53">
                  <c:v>95.3</c:v>
                </c:pt>
                <c:pt idx="54">
                  <c:v>#N/A</c:v>
                </c:pt>
                <c:pt idx="55">
                  <c:v>#N/A</c:v>
                </c:pt>
                <c:pt idx="56">
                  <c:v>98.1</c:v>
                </c:pt>
                <c:pt idx="57">
                  <c:v>20.7</c:v>
                </c:pt>
                <c:pt idx="58">
                  <c:v>#N/A</c:v>
                </c:pt>
                <c:pt idx="59">
                  <c:v>60.7</c:v>
                </c:pt>
                <c:pt idx="60">
                  <c:v>#N/A</c:v>
                </c:pt>
                <c:pt idx="61">
                  <c:v>71.3</c:v>
                </c:pt>
                <c:pt idx="62">
                  <c:v>#N/A</c:v>
                </c:pt>
                <c:pt idx="63">
                  <c:v>79.3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48.9</c:v>
                </c:pt>
                <c:pt idx="69">
                  <c:v>#N/A</c:v>
                </c:pt>
                <c:pt idx="70">
                  <c:v>46.3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91.4</c:v>
                </c:pt>
                <c:pt idx="77">
                  <c:v>79.099999999999994</c:v>
                </c:pt>
                <c:pt idx="78">
                  <c:v>#N/A</c:v>
                </c:pt>
                <c:pt idx="79">
                  <c:v>10.4</c:v>
                </c:pt>
                <c:pt idx="80">
                  <c:v>#N/A</c:v>
                </c:pt>
                <c:pt idx="81">
                  <c:v>#N/A</c:v>
                </c:pt>
                <c:pt idx="82">
                  <c:v>42.9</c:v>
                </c:pt>
                <c:pt idx="83">
                  <c:v>92.6</c:v>
                </c:pt>
                <c:pt idx="84">
                  <c:v>49.8</c:v>
                </c:pt>
                <c:pt idx="85">
                  <c:v>6.3</c:v>
                </c:pt>
                <c:pt idx="86">
                  <c:v>#N/A</c:v>
                </c:pt>
                <c:pt idx="87">
                  <c:v>9.1999999999999993</c:v>
                </c:pt>
                <c:pt idx="88">
                  <c:v>8.4</c:v>
                </c:pt>
                <c:pt idx="89">
                  <c:v>#N/A</c:v>
                </c:pt>
                <c:pt idx="90">
                  <c:v>31.2</c:v>
                </c:pt>
                <c:pt idx="91">
                  <c:v>#N/A</c:v>
                </c:pt>
                <c:pt idx="92">
                  <c:v>#N/A</c:v>
                </c:pt>
                <c:pt idx="93">
                  <c:v>40.299999999999997</c:v>
                </c:pt>
                <c:pt idx="94">
                  <c:v>45.7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9.4</c:v>
                </c:pt>
                <c:pt idx="100">
                  <c:v>63.9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13.2</c:v>
                </c:pt>
                <c:pt idx="106">
                  <c:v>27.5</c:v>
                </c:pt>
                <c:pt idx="107">
                  <c:v>74.599999999999994</c:v>
                </c:pt>
                <c:pt idx="108">
                  <c:v>#N/A</c:v>
                </c:pt>
                <c:pt idx="109">
                  <c:v>17.2</c:v>
                </c:pt>
                <c:pt idx="110">
                  <c:v>88.8</c:v>
                </c:pt>
                <c:pt idx="111">
                  <c:v>42.4</c:v>
                </c:pt>
                <c:pt idx="112">
                  <c:v>83.6</c:v>
                </c:pt>
                <c:pt idx="113">
                  <c:v>#N/A</c:v>
                </c:pt>
                <c:pt idx="114">
                  <c:v>64.3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73.900000000000006</c:v>
                </c:pt>
                <c:pt idx="119">
                  <c:v>23.2</c:v>
                </c:pt>
                <c:pt idx="120">
                  <c:v>37.1</c:v>
                </c:pt>
                <c:pt idx="121">
                  <c:v>#N/A</c:v>
                </c:pt>
                <c:pt idx="122">
                  <c:v>95</c:v>
                </c:pt>
                <c:pt idx="123">
                  <c:v>96.9</c:v>
                </c:pt>
                <c:pt idx="124">
                  <c:v>22.4</c:v>
                </c:pt>
                <c:pt idx="125">
                  <c:v>7.1</c:v>
                </c:pt>
                <c:pt idx="126">
                  <c:v>73.400000000000006</c:v>
                </c:pt>
                <c:pt idx="127">
                  <c:v>44.7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56.5</c:v>
                </c:pt>
                <c:pt idx="135">
                  <c:v>#N/A</c:v>
                </c:pt>
                <c:pt idx="136">
                  <c:v>#N/A</c:v>
                </c:pt>
                <c:pt idx="137">
                  <c:v>63.2</c:v>
                </c:pt>
                <c:pt idx="138">
                  <c:v>26.5</c:v>
                </c:pt>
                <c:pt idx="139">
                  <c:v>#N/A</c:v>
                </c:pt>
                <c:pt idx="140">
                  <c:v>45.7</c:v>
                </c:pt>
                <c:pt idx="141">
                  <c:v>18.399999999999999</c:v>
                </c:pt>
                <c:pt idx="142">
                  <c:v>#N/A</c:v>
                </c:pt>
                <c:pt idx="143">
                  <c:v>25.5</c:v>
                </c:pt>
                <c:pt idx="144">
                  <c:v>14.3</c:v>
                </c:pt>
                <c:pt idx="145">
                  <c:v>86.9</c:v>
                </c:pt>
                <c:pt idx="146">
                  <c:v>48.7</c:v>
                </c:pt>
                <c:pt idx="147">
                  <c:v>76.2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38.799999999999997</c:v>
                </c:pt>
                <c:pt idx="152">
                  <c:v>97.9</c:v>
                </c:pt>
                <c:pt idx="153">
                  <c:v>#N/A</c:v>
                </c:pt>
                <c:pt idx="154">
                  <c:v>52.2</c:v>
                </c:pt>
                <c:pt idx="155">
                  <c:v>37.299999999999997</c:v>
                </c:pt>
                <c:pt idx="156">
                  <c:v>#N/A</c:v>
                </c:pt>
                <c:pt idx="157">
                  <c:v>56.8</c:v>
                </c:pt>
                <c:pt idx="158">
                  <c:v>77.099999999999994</c:v>
                </c:pt>
                <c:pt idx="159">
                  <c:v>#N/A</c:v>
                </c:pt>
                <c:pt idx="160">
                  <c:v>6.7</c:v>
                </c:pt>
                <c:pt idx="161">
                  <c:v>17</c:v>
                </c:pt>
                <c:pt idx="162">
                  <c:v>#N/A</c:v>
                </c:pt>
                <c:pt idx="163">
                  <c:v>20.399999999999999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13.9</c:v>
                </c:pt>
                <c:pt idx="171">
                  <c:v>37.6</c:v>
                </c:pt>
                <c:pt idx="172">
                  <c:v>31.8</c:v>
                </c:pt>
                <c:pt idx="173">
                  <c:v>42.1</c:v>
                </c:pt>
                <c:pt idx="174">
                  <c:v>80.8</c:v>
                </c:pt>
                <c:pt idx="175">
                  <c:v>40.299999999999997</c:v>
                </c:pt>
                <c:pt idx="176">
                  <c:v>#N/A</c:v>
                </c:pt>
                <c:pt idx="177">
                  <c:v>42.8</c:v>
                </c:pt>
                <c:pt idx="178">
                  <c:v>13.9</c:v>
                </c:pt>
                <c:pt idx="179">
                  <c:v>46.9</c:v>
                </c:pt>
                <c:pt idx="180">
                  <c:v>23.6</c:v>
                </c:pt>
                <c:pt idx="181">
                  <c:v>22.7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34.700000000000003</c:v>
                </c:pt>
                <c:pt idx="187">
                  <c:v>66.099999999999994</c:v>
                </c:pt>
                <c:pt idx="188">
                  <c:v>#N/A</c:v>
                </c:pt>
                <c:pt idx="189">
                  <c:v>90.2</c:v>
                </c:pt>
                <c:pt idx="190">
                  <c:v>54.4</c:v>
                </c:pt>
                <c:pt idx="191">
                  <c:v>47.5</c:v>
                </c:pt>
                <c:pt idx="192">
                  <c:v>58</c:v>
                </c:pt>
                <c:pt idx="193">
                  <c:v>#N/A</c:v>
                </c:pt>
                <c:pt idx="194">
                  <c:v>63.3</c:v>
                </c:pt>
                <c:pt idx="195">
                  <c:v>39.5</c:v>
                </c:pt>
                <c:pt idx="196">
                  <c:v>#N/A</c:v>
                </c:pt>
                <c:pt idx="197">
                  <c:v>21</c:v>
                </c:pt>
                <c:pt idx="198">
                  <c:v>53.2</c:v>
                </c:pt>
                <c:pt idx="199">
                  <c:v>#N/A</c:v>
                </c:pt>
                <c:pt idx="200">
                  <c:v>8.1999999999999993</c:v>
                </c:pt>
                <c:pt idx="201">
                  <c:v>39.6</c:v>
                </c:pt>
                <c:pt idx="202">
                  <c:v>#N/A</c:v>
                </c:pt>
                <c:pt idx="203">
                  <c:v>82.9</c:v>
                </c:pt>
                <c:pt idx="204">
                  <c:v>34.799999999999997</c:v>
                </c:pt>
                <c:pt idx="205">
                  <c:v>80.900000000000006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75.3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73.900000000000006</c:v>
                </c:pt>
                <c:pt idx="215">
                  <c:v>35.700000000000003</c:v>
                </c:pt>
                <c:pt idx="216">
                  <c:v>#N/A</c:v>
                </c:pt>
                <c:pt idx="217">
                  <c:v>98.1</c:v>
                </c:pt>
                <c:pt idx="218">
                  <c:v>#N/A</c:v>
                </c:pt>
                <c:pt idx="219">
                  <c:v>17.3</c:v>
                </c:pt>
                <c:pt idx="220">
                  <c:v>70.3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24.9</c:v>
                </c:pt>
                <c:pt idx="225">
                  <c:v>41</c:v>
                </c:pt>
                <c:pt idx="226">
                  <c:v>#N/A</c:v>
                </c:pt>
                <c:pt idx="227">
                  <c:v>37</c:v>
                </c:pt>
                <c:pt idx="228">
                  <c:v>#N/A</c:v>
                </c:pt>
                <c:pt idx="229">
                  <c:v>#N/A</c:v>
                </c:pt>
                <c:pt idx="230">
                  <c:v>15.5</c:v>
                </c:pt>
                <c:pt idx="231">
                  <c:v>77.2</c:v>
                </c:pt>
                <c:pt idx="232">
                  <c:v>98.9</c:v>
                </c:pt>
                <c:pt idx="233">
                  <c:v>#N/A</c:v>
                </c:pt>
                <c:pt idx="234">
                  <c:v>#N/A</c:v>
                </c:pt>
                <c:pt idx="235">
                  <c:v>34.799999999999997</c:v>
                </c:pt>
                <c:pt idx="236">
                  <c:v>29.2</c:v>
                </c:pt>
                <c:pt idx="237">
                  <c:v>82.8</c:v>
                </c:pt>
                <c:pt idx="238">
                  <c:v>#N/A</c:v>
                </c:pt>
                <c:pt idx="239">
                  <c:v>54.9</c:v>
                </c:pt>
                <c:pt idx="240">
                  <c:v>#N/A</c:v>
                </c:pt>
                <c:pt idx="241">
                  <c:v>#N/A</c:v>
                </c:pt>
                <c:pt idx="242">
                  <c:v>13.3</c:v>
                </c:pt>
                <c:pt idx="243">
                  <c:v>#N/A</c:v>
                </c:pt>
                <c:pt idx="244">
                  <c:v>44.9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46.4</c:v>
                </c:pt>
              </c:numCache>
            </c:numRef>
          </c:xVal>
          <c:yVal>
            <c:numRef>
              <c:f>'2.11 Usage &lt;&gt; Sat'!$E$2:$E$251</c:f>
              <c:numCache>
                <c:formatCode>General</c:formatCode>
                <c:ptCount val="250"/>
                <c:pt idx="0">
                  <c:v>#N/A</c:v>
                </c:pt>
                <c:pt idx="1">
                  <c:v>#N/A</c:v>
                </c:pt>
                <c:pt idx="2">
                  <c:v>5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2</c:v>
                </c:pt>
                <c:pt idx="8">
                  <c:v>#N/A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6</c:v>
                </c:pt>
                <c:pt idx="13">
                  <c:v>#N/A</c:v>
                </c:pt>
                <c:pt idx="14">
                  <c:v>4</c:v>
                </c:pt>
                <c:pt idx="15">
                  <c:v>#N/A</c:v>
                </c:pt>
                <c:pt idx="16">
                  <c:v>8</c:v>
                </c:pt>
                <c:pt idx="17">
                  <c:v>7</c:v>
                </c:pt>
                <c:pt idx="18">
                  <c:v>#N/A</c:v>
                </c:pt>
                <c:pt idx="19">
                  <c:v>#N/A</c:v>
                </c:pt>
                <c:pt idx="20">
                  <c:v>4</c:v>
                </c:pt>
                <c:pt idx="21">
                  <c:v>#N/A</c:v>
                </c:pt>
                <c:pt idx="22">
                  <c:v>#N/A</c:v>
                </c:pt>
                <c:pt idx="23">
                  <c:v>6</c:v>
                </c:pt>
                <c:pt idx="24">
                  <c:v>5</c:v>
                </c:pt>
                <c:pt idx="25">
                  <c:v>3</c:v>
                </c:pt>
                <c:pt idx="26">
                  <c:v>9</c:v>
                </c:pt>
                <c:pt idx="27">
                  <c:v>5</c:v>
                </c:pt>
                <c:pt idx="28">
                  <c:v>5</c:v>
                </c:pt>
                <c:pt idx="29">
                  <c:v>#N/A</c:v>
                </c:pt>
                <c:pt idx="30">
                  <c:v>#N/A</c:v>
                </c:pt>
                <c:pt idx="31">
                  <c:v>1</c:v>
                </c:pt>
                <c:pt idx="32">
                  <c:v>7</c:v>
                </c:pt>
                <c:pt idx="33">
                  <c:v>#N/A</c:v>
                </c:pt>
                <c:pt idx="34">
                  <c:v>#N/A</c:v>
                </c:pt>
                <c:pt idx="35">
                  <c:v>2</c:v>
                </c:pt>
                <c:pt idx="36">
                  <c:v>3</c:v>
                </c:pt>
                <c:pt idx="37">
                  <c:v>1</c:v>
                </c:pt>
                <c:pt idx="38">
                  <c:v>#N/A</c:v>
                </c:pt>
                <c:pt idx="39">
                  <c:v>7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4</c:v>
                </c:pt>
                <c:pt idx="44">
                  <c:v>#N/A</c:v>
                </c:pt>
                <c:pt idx="45">
                  <c:v>8</c:v>
                </c:pt>
                <c:pt idx="46">
                  <c:v>3</c:v>
                </c:pt>
                <c:pt idx="47">
                  <c:v>#N/A</c:v>
                </c:pt>
                <c:pt idx="48">
                  <c:v>4</c:v>
                </c:pt>
                <c:pt idx="49">
                  <c:v>#N/A</c:v>
                </c:pt>
                <c:pt idx="50">
                  <c:v>9</c:v>
                </c:pt>
                <c:pt idx="51">
                  <c:v>8</c:v>
                </c:pt>
                <c:pt idx="52">
                  <c:v>8</c:v>
                </c:pt>
                <c:pt idx="53">
                  <c:v>10</c:v>
                </c:pt>
                <c:pt idx="54">
                  <c:v>#N/A</c:v>
                </c:pt>
                <c:pt idx="55">
                  <c:v>#N/A</c:v>
                </c:pt>
                <c:pt idx="56">
                  <c:v>6</c:v>
                </c:pt>
                <c:pt idx="57">
                  <c:v>9</c:v>
                </c:pt>
                <c:pt idx="58">
                  <c:v>#N/A</c:v>
                </c:pt>
                <c:pt idx="59">
                  <c:v>3</c:v>
                </c:pt>
                <c:pt idx="60">
                  <c:v>#N/A</c:v>
                </c:pt>
                <c:pt idx="61">
                  <c:v>10</c:v>
                </c:pt>
                <c:pt idx="62">
                  <c:v>#N/A</c:v>
                </c:pt>
                <c:pt idx="63">
                  <c:v>9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9</c:v>
                </c:pt>
                <c:pt idx="69">
                  <c:v>#N/A</c:v>
                </c:pt>
                <c:pt idx="70">
                  <c:v>4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1</c:v>
                </c:pt>
                <c:pt idx="77">
                  <c:v>9</c:v>
                </c:pt>
                <c:pt idx="78">
                  <c:v>#N/A</c:v>
                </c:pt>
                <c:pt idx="79">
                  <c:v>8</c:v>
                </c:pt>
                <c:pt idx="80">
                  <c:v>#N/A</c:v>
                </c:pt>
                <c:pt idx="81">
                  <c:v>#N/A</c:v>
                </c:pt>
                <c:pt idx="82">
                  <c:v>5</c:v>
                </c:pt>
                <c:pt idx="83">
                  <c:v>3</c:v>
                </c:pt>
                <c:pt idx="84">
                  <c:v>9</c:v>
                </c:pt>
                <c:pt idx="85">
                  <c:v>9</c:v>
                </c:pt>
                <c:pt idx="86">
                  <c:v>#N/A</c:v>
                </c:pt>
                <c:pt idx="87">
                  <c:v>4</c:v>
                </c:pt>
                <c:pt idx="88">
                  <c:v>8</c:v>
                </c:pt>
                <c:pt idx="89">
                  <c:v>#N/A</c:v>
                </c:pt>
                <c:pt idx="90">
                  <c:v>9</c:v>
                </c:pt>
                <c:pt idx="91">
                  <c:v>#N/A</c:v>
                </c:pt>
                <c:pt idx="92">
                  <c:v>#N/A</c:v>
                </c:pt>
                <c:pt idx="93">
                  <c:v>8</c:v>
                </c:pt>
                <c:pt idx="94">
                  <c:v>7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5</c:v>
                </c:pt>
                <c:pt idx="100">
                  <c:v>5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5</c:v>
                </c:pt>
                <c:pt idx="106">
                  <c:v>9</c:v>
                </c:pt>
                <c:pt idx="107">
                  <c:v>9</c:v>
                </c:pt>
                <c:pt idx="108">
                  <c:v>#N/A</c:v>
                </c:pt>
                <c:pt idx="109">
                  <c:v>3</c:v>
                </c:pt>
                <c:pt idx="110">
                  <c:v>1</c:v>
                </c:pt>
                <c:pt idx="111">
                  <c:v>2</c:v>
                </c:pt>
                <c:pt idx="112">
                  <c:v>8</c:v>
                </c:pt>
                <c:pt idx="113">
                  <c:v>#N/A</c:v>
                </c:pt>
                <c:pt idx="114">
                  <c:v>8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9</c:v>
                </c:pt>
                <c:pt idx="119">
                  <c:v>3</c:v>
                </c:pt>
                <c:pt idx="120">
                  <c:v>10</c:v>
                </c:pt>
                <c:pt idx="121">
                  <c:v>#N/A</c:v>
                </c:pt>
                <c:pt idx="122">
                  <c:v>6</c:v>
                </c:pt>
                <c:pt idx="123">
                  <c:v>8</c:v>
                </c:pt>
                <c:pt idx="124">
                  <c:v>5</c:v>
                </c:pt>
                <c:pt idx="125">
                  <c:v>3</c:v>
                </c:pt>
                <c:pt idx="126">
                  <c:v>6</c:v>
                </c:pt>
                <c:pt idx="127">
                  <c:v>4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6</c:v>
                </c:pt>
                <c:pt idx="135">
                  <c:v>#N/A</c:v>
                </c:pt>
                <c:pt idx="136">
                  <c:v>#N/A</c:v>
                </c:pt>
                <c:pt idx="137">
                  <c:v>2</c:v>
                </c:pt>
                <c:pt idx="138">
                  <c:v>8</c:v>
                </c:pt>
                <c:pt idx="139">
                  <c:v>#N/A</c:v>
                </c:pt>
                <c:pt idx="140">
                  <c:v>7</c:v>
                </c:pt>
                <c:pt idx="141">
                  <c:v>9</c:v>
                </c:pt>
                <c:pt idx="142">
                  <c:v>#N/A</c:v>
                </c:pt>
                <c:pt idx="143">
                  <c:v>8</c:v>
                </c:pt>
                <c:pt idx="144">
                  <c:v>7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6</c:v>
                </c:pt>
                <c:pt idx="152">
                  <c:v>10</c:v>
                </c:pt>
                <c:pt idx="153">
                  <c:v>#N/A</c:v>
                </c:pt>
                <c:pt idx="154">
                  <c:v>3</c:v>
                </c:pt>
                <c:pt idx="155">
                  <c:v>10</c:v>
                </c:pt>
                <c:pt idx="156">
                  <c:v>#N/A</c:v>
                </c:pt>
                <c:pt idx="157">
                  <c:v>9</c:v>
                </c:pt>
                <c:pt idx="158">
                  <c:v>1</c:v>
                </c:pt>
                <c:pt idx="159">
                  <c:v>#N/A</c:v>
                </c:pt>
                <c:pt idx="160">
                  <c:v>8</c:v>
                </c:pt>
                <c:pt idx="161">
                  <c:v>3</c:v>
                </c:pt>
                <c:pt idx="162">
                  <c:v>#N/A</c:v>
                </c:pt>
                <c:pt idx="163">
                  <c:v>8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1</c:v>
                </c:pt>
                <c:pt idx="171">
                  <c:v>10</c:v>
                </c:pt>
                <c:pt idx="172">
                  <c:v>7</c:v>
                </c:pt>
                <c:pt idx="173">
                  <c:v>5</c:v>
                </c:pt>
                <c:pt idx="174">
                  <c:v>5</c:v>
                </c:pt>
                <c:pt idx="175">
                  <c:v>1</c:v>
                </c:pt>
                <c:pt idx="176">
                  <c:v>#N/A</c:v>
                </c:pt>
                <c:pt idx="177">
                  <c:v>6</c:v>
                </c:pt>
                <c:pt idx="178">
                  <c:v>9</c:v>
                </c:pt>
                <c:pt idx="179">
                  <c:v>9</c:v>
                </c:pt>
                <c:pt idx="180">
                  <c:v>8</c:v>
                </c:pt>
                <c:pt idx="181">
                  <c:v>5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5</c:v>
                </c:pt>
                <c:pt idx="187">
                  <c:v>3</c:v>
                </c:pt>
                <c:pt idx="188">
                  <c:v>#N/A</c:v>
                </c:pt>
                <c:pt idx="189">
                  <c:v>7</c:v>
                </c:pt>
                <c:pt idx="190">
                  <c:v>9</c:v>
                </c:pt>
                <c:pt idx="191">
                  <c:v>7</c:v>
                </c:pt>
                <c:pt idx="192">
                  <c:v>3</c:v>
                </c:pt>
                <c:pt idx="193">
                  <c:v>#N/A</c:v>
                </c:pt>
                <c:pt idx="194">
                  <c:v>8</c:v>
                </c:pt>
                <c:pt idx="195">
                  <c:v>3</c:v>
                </c:pt>
                <c:pt idx="196">
                  <c:v>#N/A</c:v>
                </c:pt>
                <c:pt idx="197">
                  <c:v>8</c:v>
                </c:pt>
                <c:pt idx="198">
                  <c:v>5</c:v>
                </c:pt>
                <c:pt idx="199">
                  <c:v>#N/A</c:v>
                </c:pt>
                <c:pt idx="200">
                  <c:v>10</c:v>
                </c:pt>
                <c:pt idx="201">
                  <c:v>7</c:v>
                </c:pt>
                <c:pt idx="202">
                  <c:v>#N/A</c:v>
                </c:pt>
                <c:pt idx="203">
                  <c:v>5</c:v>
                </c:pt>
                <c:pt idx="204">
                  <c:v>8</c:v>
                </c:pt>
                <c:pt idx="205">
                  <c:v>9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4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1</c:v>
                </c:pt>
                <c:pt idx="215">
                  <c:v>4</c:v>
                </c:pt>
                <c:pt idx="216">
                  <c:v>#N/A</c:v>
                </c:pt>
                <c:pt idx="217">
                  <c:v>5</c:v>
                </c:pt>
                <c:pt idx="218">
                  <c:v>#N/A</c:v>
                </c:pt>
                <c:pt idx="219">
                  <c:v>8</c:v>
                </c:pt>
                <c:pt idx="220">
                  <c:v>4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3</c:v>
                </c:pt>
                <c:pt idx="225">
                  <c:v>9</c:v>
                </c:pt>
                <c:pt idx="226">
                  <c:v>#N/A</c:v>
                </c:pt>
                <c:pt idx="227">
                  <c:v>2</c:v>
                </c:pt>
                <c:pt idx="228">
                  <c:v>#N/A</c:v>
                </c:pt>
                <c:pt idx="229">
                  <c:v>#N/A</c:v>
                </c:pt>
                <c:pt idx="230">
                  <c:v>2</c:v>
                </c:pt>
                <c:pt idx="231">
                  <c:v>3</c:v>
                </c:pt>
                <c:pt idx="232">
                  <c:v>10</c:v>
                </c:pt>
                <c:pt idx="233">
                  <c:v>#N/A</c:v>
                </c:pt>
                <c:pt idx="234">
                  <c:v>#N/A</c:v>
                </c:pt>
                <c:pt idx="235">
                  <c:v>6</c:v>
                </c:pt>
                <c:pt idx="236">
                  <c:v>9</c:v>
                </c:pt>
                <c:pt idx="237">
                  <c:v>9</c:v>
                </c:pt>
                <c:pt idx="238">
                  <c:v>#N/A</c:v>
                </c:pt>
                <c:pt idx="239">
                  <c:v>3</c:v>
                </c:pt>
                <c:pt idx="240">
                  <c:v>#N/A</c:v>
                </c:pt>
                <c:pt idx="241">
                  <c:v>#N/A</c:v>
                </c:pt>
                <c:pt idx="242">
                  <c:v>5</c:v>
                </c:pt>
                <c:pt idx="243">
                  <c:v>#N/A</c:v>
                </c:pt>
                <c:pt idx="244">
                  <c:v>6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6B-164C-8E4B-8EBFE59AAD0E}"/>
            </c:ext>
          </c:extLst>
        </c:ser>
        <c:ser>
          <c:idx val="1"/>
          <c:order val="1"/>
          <c:tx>
            <c:strRef>
              <c:f>'2.11 Usage &lt;&gt; Sat'!$G$1</c:f>
              <c:strCache>
                <c:ptCount val="1"/>
                <c:pt idx="0">
                  <c:v>Churn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>
                  <a:alpha val="39852"/>
                </a:srgb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'2.11 Usage &lt;&gt; Sat'!$F$2:$F$251</c:f>
              <c:numCache>
                <c:formatCode>General</c:formatCode>
                <c:ptCount val="250"/>
                <c:pt idx="0">
                  <c:v>52.7</c:v>
                </c:pt>
                <c:pt idx="1">
                  <c:v>16.8</c:v>
                </c:pt>
                <c:pt idx="2">
                  <c:v>#N/A</c:v>
                </c:pt>
                <c:pt idx="3">
                  <c:v>66.099999999999994</c:v>
                </c:pt>
                <c:pt idx="4">
                  <c:v>79.099999999999994</c:v>
                </c:pt>
                <c:pt idx="5">
                  <c:v>25.6</c:v>
                </c:pt>
                <c:pt idx="6">
                  <c:v>18.100000000000001</c:v>
                </c:pt>
                <c:pt idx="7">
                  <c:v>#N/A</c:v>
                </c:pt>
                <c:pt idx="8">
                  <c:v>5.2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41.8</c:v>
                </c:pt>
                <c:pt idx="14">
                  <c:v>#N/A</c:v>
                </c:pt>
                <c:pt idx="15">
                  <c:v>88.1</c:v>
                </c:pt>
                <c:pt idx="16">
                  <c:v>#N/A</c:v>
                </c:pt>
                <c:pt idx="17">
                  <c:v>#N/A</c:v>
                </c:pt>
                <c:pt idx="18">
                  <c:v>14.9</c:v>
                </c:pt>
                <c:pt idx="19">
                  <c:v>26.4</c:v>
                </c:pt>
                <c:pt idx="20">
                  <c:v>#N/A</c:v>
                </c:pt>
                <c:pt idx="21">
                  <c:v>10</c:v>
                </c:pt>
                <c:pt idx="22">
                  <c:v>51.2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71.099999999999994</c:v>
                </c:pt>
                <c:pt idx="30">
                  <c:v>75.900000000000006</c:v>
                </c:pt>
                <c:pt idx="31">
                  <c:v>#N/A</c:v>
                </c:pt>
                <c:pt idx="32">
                  <c:v>#N/A</c:v>
                </c:pt>
                <c:pt idx="33">
                  <c:v>83.4</c:v>
                </c:pt>
                <c:pt idx="34">
                  <c:v>54.4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27.4</c:v>
                </c:pt>
                <c:pt idx="39">
                  <c:v>#N/A</c:v>
                </c:pt>
                <c:pt idx="40">
                  <c:v>10.9</c:v>
                </c:pt>
                <c:pt idx="41">
                  <c:v>81.099999999999994</c:v>
                </c:pt>
                <c:pt idx="42">
                  <c:v>77.8</c:v>
                </c:pt>
                <c:pt idx="43">
                  <c:v>#N/A</c:v>
                </c:pt>
                <c:pt idx="44">
                  <c:v>33.4</c:v>
                </c:pt>
                <c:pt idx="45">
                  <c:v>#N/A</c:v>
                </c:pt>
                <c:pt idx="46">
                  <c:v>#N/A</c:v>
                </c:pt>
                <c:pt idx="47">
                  <c:v>52.1</c:v>
                </c:pt>
                <c:pt idx="48">
                  <c:v>#N/A</c:v>
                </c:pt>
                <c:pt idx="49">
                  <c:v>70.2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24.3</c:v>
                </c:pt>
                <c:pt idx="55">
                  <c:v>58.7</c:v>
                </c:pt>
                <c:pt idx="56">
                  <c:v>#N/A</c:v>
                </c:pt>
                <c:pt idx="57">
                  <c:v>#N/A</c:v>
                </c:pt>
                <c:pt idx="58">
                  <c:v>71.5</c:v>
                </c:pt>
                <c:pt idx="59">
                  <c:v>#N/A</c:v>
                </c:pt>
                <c:pt idx="60">
                  <c:v>60.7</c:v>
                </c:pt>
                <c:pt idx="61">
                  <c:v>#N/A</c:v>
                </c:pt>
                <c:pt idx="62">
                  <c:v>93.3</c:v>
                </c:pt>
                <c:pt idx="63">
                  <c:v>#N/A</c:v>
                </c:pt>
                <c:pt idx="64">
                  <c:v>10.3</c:v>
                </c:pt>
                <c:pt idx="65">
                  <c:v>86</c:v>
                </c:pt>
                <c:pt idx="66">
                  <c:v>26.4</c:v>
                </c:pt>
                <c:pt idx="67">
                  <c:v>40.799999999999997</c:v>
                </c:pt>
                <c:pt idx="68">
                  <c:v>#N/A</c:v>
                </c:pt>
                <c:pt idx="69">
                  <c:v>50.7</c:v>
                </c:pt>
                <c:pt idx="70">
                  <c:v>#N/A</c:v>
                </c:pt>
                <c:pt idx="71">
                  <c:v>94</c:v>
                </c:pt>
                <c:pt idx="72">
                  <c:v>72.099999999999994</c:v>
                </c:pt>
                <c:pt idx="73">
                  <c:v>65</c:v>
                </c:pt>
                <c:pt idx="74">
                  <c:v>9.6999999999999993</c:v>
                </c:pt>
                <c:pt idx="75">
                  <c:v>90.9</c:v>
                </c:pt>
                <c:pt idx="76">
                  <c:v>#N/A</c:v>
                </c:pt>
                <c:pt idx="77">
                  <c:v>#N/A</c:v>
                </c:pt>
                <c:pt idx="78">
                  <c:v>5.7</c:v>
                </c:pt>
                <c:pt idx="79">
                  <c:v>#N/A</c:v>
                </c:pt>
                <c:pt idx="80">
                  <c:v>26.4</c:v>
                </c:pt>
                <c:pt idx="81">
                  <c:v>17.5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31.9</c:v>
                </c:pt>
                <c:pt idx="87">
                  <c:v>#N/A</c:v>
                </c:pt>
                <c:pt idx="88">
                  <c:v>#N/A</c:v>
                </c:pt>
                <c:pt idx="89">
                  <c:v>31.2</c:v>
                </c:pt>
                <c:pt idx="90">
                  <c:v>#N/A</c:v>
                </c:pt>
                <c:pt idx="91">
                  <c:v>79.8</c:v>
                </c:pt>
                <c:pt idx="92">
                  <c:v>97.6</c:v>
                </c:pt>
                <c:pt idx="93">
                  <c:v>#N/A</c:v>
                </c:pt>
                <c:pt idx="94">
                  <c:v>#N/A</c:v>
                </c:pt>
                <c:pt idx="95">
                  <c:v>85.3</c:v>
                </c:pt>
                <c:pt idx="96">
                  <c:v>30.5</c:v>
                </c:pt>
                <c:pt idx="97">
                  <c:v>19.899999999999999</c:v>
                </c:pt>
                <c:pt idx="98">
                  <c:v>86</c:v>
                </c:pt>
                <c:pt idx="99">
                  <c:v>#N/A</c:v>
                </c:pt>
                <c:pt idx="100">
                  <c:v>#N/A</c:v>
                </c:pt>
                <c:pt idx="101">
                  <c:v>58.4</c:v>
                </c:pt>
                <c:pt idx="102">
                  <c:v>37.9</c:v>
                </c:pt>
                <c:pt idx="103">
                  <c:v>34.9</c:v>
                </c:pt>
                <c:pt idx="104">
                  <c:v>78.3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57.1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79.8</c:v>
                </c:pt>
                <c:pt idx="114">
                  <c:v>#N/A</c:v>
                </c:pt>
                <c:pt idx="115">
                  <c:v>52</c:v>
                </c:pt>
                <c:pt idx="116">
                  <c:v>98.1</c:v>
                </c:pt>
                <c:pt idx="117">
                  <c:v>18.8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34.299999999999997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13.4</c:v>
                </c:pt>
                <c:pt idx="129">
                  <c:v>70</c:v>
                </c:pt>
                <c:pt idx="130">
                  <c:v>56.8</c:v>
                </c:pt>
                <c:pt idx="131">
                  <c:v>98.1</c:v>
                </c:pt>
                <c:pt idx="132">
                  <c:v>26.6</c:v>
                </c:pt>
                <c:pt idx="133">
                  <c:v>43.4</c:v>
                </c:pt>
                <c:pt idx="134">
                  <c:v>#N/A</c:v>
                </c:pt>
                <c:pt idx="135">
                  <c:v>80.2</c:v>
                </c:pt>
                <c:pt idx="136">
                  <c:v>57.1</c:v>
                </c:pt>
                <c:pt idx="137">
                  <c:v>#N/A</c:v>
                </c:pt>
                <c:pt idx="138">
                  <c:v>#N/A</c:v>
                </c:pt>
                <c:pt idx="139">
                  <c:v>85.5</c:v>
                </c:pt>
                <c:pt idx="140">
                  <c:v>#N/A</c:v>
                </c:pt>
                <c:pt idx="141">
                  <c:v>#N/A</c:v>
                </c:pt>
                <c:pt idx="142">
                  <c:v>68.099999999999994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32.6</c:v>
                </c:pt>
                <c:pt idx="149">
                  <c:v>79.8</c:v>
                </c:pt>
                <c:pt idx="150">
                  <c:v>15.6</c:v>
                </c:pt>
                <c:pt idx="151">
                  <c:v>#N/A</c:v>
                </c:pt>
                <c:pt idx="152">
                  <c:v>#N/A</c:v>
                </c:pt>
                <c:pt idx="153">
                  <c:v>80.400000000000006</c:v>
                </c:pt>
                <c:pt idx="154">
                  <c:v>#N/A</c:v>
                </c:pt>
                <c:pt idx="155">
                  <c:v>#N/A</c:v>
                </c:pt>
                <c:pt idx="156">
                  <c:v>87.9</c:v>
                </c:pt>
                <c:pt idx="157">
                  <c:v>#N/A</c:v>
                </c:pt>
                <c:pt idx="158">
                  <c:v>#N/A</c:v>
                </c:pt>
                <c:pt idx="159">
                  <c:v>76.599999999999994</c:v>
                </c:pt>
                <c:pt idx="160">
                  <c:v>#N/A</c:v>
                </c:pt>
                <c:pt idx="161">
                  <c:v>#N/A</c:v>
                </c:pt>
                <c:pt idx="162">
                  <c:v>67.7</c:v>
                </c:pt>
                <c:pt idx="163">
                  <c:v>#N/A</c:v>
                </c:pt>
                <c:pt idx="164">
                  <c:v>29.3</c:v>
                </c:pt>
                <c:pt idx="165">
                  <c:v>94.9</c:v>
                </c:pt>
                <c:pt idx="166">
                  <c:v>58.2</c:v>
                </c:pt>
                <c:pt idx="167">
                  <c:v>76.3</c:v>
                </c:pt>
                <c:pt idx="168">
                  <c:v>58</c:v>
                </c:pt>
                <c:pt idx="169">
                  <c:v>57.5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47.9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13.9</c:v>
                </c:pt>
                <c:pt idx="183">
                  <c:v>38.9</c:v>
                </c:pt>
                <c:pt idx="184">
                  <c:v>77</c:v>
                </c:pt>
                <c:pt idx="185">
                  <c:v>31.3</c:v>
                </c:pt>
                <c:pt idx="186">
                  <c:v>#N/A</c:v>
                </c:pt>
                <c:pt idx="187">
                  <c:v>#N/A</c:v>
                </c:pt>
                <c:pt idx="188">
                  <c:v>23.6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20.8</c:v>
                </c:pt>
                <c:pt idx="194">
                  <c:v>#N/A</c:v>
                </c:pt>
                <c:pt idx="195">
                  <c:v>#N/A</c:v>
                </c:pt>
                <c:pt idx="196">
                  <c:v>90.2</c:v>
                </c:pt>
                <c:pt idx="197">
                  <c:v>#N/A</c:v>
                </c:pt>
                <c:pt idx="198">
                  <c:v>#N/A</c:v>
                </c:pt>
                <c:pt idx="199">
                  <c:v>61.8</c:v>
                </c:pt>
                <c:pt idx="200">
                  <c:v>#N/A</c:v>
                </c:pt>
                <c:pt idx="201">
                  <c:v>#N/A</c:v>
                </c:pt>
                <c:pt idx="202">
                  <c:v>74.599999999999994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96.9</c:v>
                </c:pt>
                <c:pt idx="207">
                  <c:v>86.4</c:v>
                </c:pt>
                <c:pt idx="208">
                  <c:v>16.2</c:v>
                </c:pt>
                <c:pt idx="209">
                  <c:v>#N/A</c:v>
                </c:pt>
                <c:pt idx="210">
                  <c:v>35.4</c:v>
                </c:pt>
                <c:pt idx="211">
                  <c:v>98.9</c:v>
                </c:pt>
                <c:pt idx="212">
                  <c:v>51.1</c:v>
                </c:pt>
                <c:pt idx="213">
                  <c:v>16.600000000000001</c:v>
                </c:pt>
                <c:pt idx="214">
                  <c:v>#N/A</c:v>
                </c:pt>
                <c:pt idx="215">
                  <c:v>#N/A</c:v>
                </c:pt>
                <c:pt idx="216">
                  <c:v>99.7</c:v>
                </c:pt>
                <c:pt idx="217">
                  <c:v>#N/A</c:v>
                </c:pt>
                <c:pt idx="218">
                  <c:v>67.3</c:v>
                </c:pt>
                <c:pt idx="219">
                  <c:v>#N/A</c:v>
                </c:pt>
                <c:pt idx="220">
                  <c:v>#N/A</c:v>
                </c:pt>
                <c:pt idx="221">
                  <c:v>13.8</c:v>
                </c:pt>
                <c:pt idx="222">
                  <c:v>7.8</c:v>
                </c:pt>
                <c:pt idx="223">
                  <c:v>83.2</c:v>
                </c:pt>
                <c:pt idx="224">
                  <c:v>#N/A</c:v>
                </c:pt>
                <c:pt idx="225">
                  <c:v>#N/A</c:v>
                </c:pt>
                <c:pt idx="226">
                  <c:v>97.5</c:v>
                </c:pt>
                <c:pt idx="227">
                  <c:v>#N/A</c:v>
                </c:pt>
                <c:pt idx="228">
                  <c:v>33.200000000000003</c:v>
                </c:pt>
                <c:pt idx="229">
                  <c:v>92.2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90.6</c:v>
                </c:pt>
                <c:pt idx="234">
                  <c:v>66.900000000000006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88.6</c:v>
                </c:pt>
                <c:pt idx="239">
                  <c:v>#N/A</c:v>
                </c:pt>
                <c:pt idx="240">
                  <c:v>28.2</c:v>
                </c:pt>
                <c:pt idx="241">
                  <c:v>15.7</c:v>
                </c:pt>
                <c:pt idx="242">
                  <c:v>#N/A</c:v>
                </c:pt>
                <c:pt idx="243">
                  <c:v>73.3</c:v>
                </c:pt>
                <c:pt idx="244">
                  <c:v>#N/A</c:v>
                </c:pt>
                <c:pt idx="245">
                  <c:v>91</c:v>
                </c:pt>
                <c:pt idx="246">
                  <c:v>75.3</c:v>
                </c:pt>
                <c:pt idx="247">
                  <c:v>23.2</c:v>
                </c:pt>
                <c:pt idx="248">
                  <c:v>63.3</c:v>
                </c:pt>
                <c:pt idx="249">
                  <c:v>#N/A</c:v>
                </c:pt>
              </c:numCache>
            </c:numRef>
          </c:xVal>
          <c:yVal>
            <c:numRef>
              <c:f>'2.11 Usage &lt;&gt; Sat'!$G$2:$G$251</c:f>
              <c:numCache>
                <c:formatCode>General</c:formatCode>
                <c:ptCount val="250"/>
                <c:pt idx="0">
                  <c:v>6</c:v>
                </c:pt>
                <c:pt idx="1">
                  <c:v>1</c:v>
                </c:pt>
                <c:pt idx="2">
                  <c:v>#N/A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#N/A</c:v>
                </c:pt>
                <c:pt idx="8">
                  <c:v>3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9</c:v>
                </c:pt>
                <c:pt idx="14">
                  <c:v>#N/A</c:v>
                </c:pt>
                <c:pt idx="15">
                  <c:v>1</c:v>
                </c:pt>
                <c:pt idx="16">
                  <c:v>#N/A</c:v>
                </c:pt>
                <c:pt idx="17">
                  <c:v>#N/A</c:v>
                </c:pt>
                <c:pt idx="18">
                  <c:v>7</c:v>
                </c:pt>
                <c:pt idx="19">
                  <c:v>3</c:v>
                </c:pt>
                <c:pt idx="20">
                  <c:v>#N/A</c:v>
                </c:pt>
                <c:pt idx="21">
                  <c:v>10</c:v>
                </c:pt>
                <c:pt idx="22">
                  <c:v>9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4</c:v>
                </c:pt>
                <c:pt idx="30">
                  <c:v>4</c:v>
                </c:pt>
                <c:pt idx="31">
                  <c:v>#N/A</c:v>
                </c:pt>
                <c:pt idx="32">
                  <c:v>#N/A</c:v>
                </c:pt>
                <c:pt idx="33">
                  <c:v>9</c:v>
                </c:pt>
                <c:pt idx="34">
                  <c:v>3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6</c:v>
                </c:pt>
                <c:pt idx="39">
                  <c:v>#N/A</c:v>
                </c:pt>
                <c:pt idx="40">
                  <c:v>2</c:v>
                </c:pt>
                <c:pt idx="41">
                  <c:v>8</c:v>
                </c:pt>
                <c:pt idx="42">
                  <c:v>6</c:v>
                </c:pt>
                <c:pt idx="43">
                  <c:v>#N/A</c:v>
                </c:pt>
                <c:pt idx="44">
                  <c:v>5</c:v>
                </c:pt>
                <c:pt idx="45">
                  <c:v>#N/A</c:v>
                </c:pt>
                <c:pt idx="46">
                  <c:v>#N/A</c:v>
                </c:pt>
                <c:pt idx="47">
                  <c:v>3</c:v>
                </c:pt>
                <c:pt idx="48">
                  <c:v>#N/A</c:v>
                </c:pt>
                <c:pt idx="49">
                  <c:v>1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6</c:v>
                </c:pt>
                <c:pt idx="55">
                  <c:v>7</c:v>
                </c:pt>
                <c:pt idx="56">
                  <c:v>#N/A</c:v>
                </c:pt>
                <c:pt idx="57">
                  <c:v>#N/A</c:v>
                </c:pt>
                <c:pt idx="58">
                  <c:v>3</c:v>
                </c:pt>
                <c:pt idx="59">
                  <c:v>#N/A</c:v>
                </c:pt>
                <c:pt idx="60">
                  <c:v>3</c:v>
                </c:pt>
                <c:pt idx="61">
                  <c:v>#N/A</c:v>
                </c:pt>
                <c:pt idx="62">
                  <c:v>3</c:v>
                </c:pt>
                <c:pt idx="63">
                  <c:v>#N/A</c:v>
                </c:pt>
                <c:pt idx="64">
                  <c:v>4</c:v>
                </c:pt>
                <c:pt idx="65">
                  <c:v>7</c:v>
                </c:pt>
                <c:pt idx="66">
                  <c:v>9</c:v>
                </c:pt>
                <c:pt idx="67">
                  <c:v>7</c:v>
                </c:pt>
                <c:pt idx="68">
                  <c:v>#N/A</c:v>
                </c:pt>
                <c:pt idx="69">
                  <c:v>3</c:v>
                </c:pt>
                <c:pt idx="70">
                  <c:v>#N/A</c:v>
                </c:pt>
                <c:pt idx="71">
                  <c:v>8</c:v>
                </c:pt>
                <c:pt idx="72">
                  <c:v>6</c:v>
                </c:pt>
                <c:pt idx="73">
                  <c:v>5</c:v>
                </c:pt>
                <c:pt idx="74">
                  <c:v>4</c:v>
                </c:pt>
                <c:pt idx="75">
                  <c:v>8</c:v>
                </c:pt>
                <c:pt idx="76">
                  <c:v>#N/A</c:v>
                </c:pt>
                <c:pt idx="77">
                  <c:v>#N/A</c:v>
                </c:pt>
                <c:pt idx="78">
                  <c:v>1</c:v>
                </c:pt>
                <c:pt idx="79">
                  <c:v>#N/A</c:v>
                </c:pt>
                <c:pt idx="80">
                  <c:v>4</c:v>
                </c:pt>
                <c:pt idx="81">
                  <c:v>9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4</c:v>
                </c:pt>
                <c:pt idx="87">
                  <c:v>#N/A</c:v>
                </c:pt>
                <c:pt idx="88">
                  <c:v>#N/A</c:v>
                </c:pt>
                <c:pt idx="89">
                  <c:v>2</c:v>
                </c:pt>
                <c:pt idx="90">
                  <c:v>#N/A</c:v>
                </c:pt>
                <c:pt idx="91">
                  <c:v>6</c:v>
                </c:pt>
                <c:pt idx="92">
                  <c:v>9</c:v>
                </c:pt>
                <c:pt idx="93">
                  <c:v>#N/A</c:v>
                </c:pt>
                <c:pt idx="94">
                  <c:v>#N/A</c:v>
                </c:pt>
                <c:pt idx="95">
                  <c:v>1</c:v>
                </c:pt>
                <c:pt idx="96">
                  <c:v>3</c:v>
                </c:pt>
                <c:pt idx="97">
                  <c:v>2</c:v>
                </c:pt>
                <c:pt idx="98">
                  <c:v>5</c:v>
                </c:pt>
                <c:pt idx="99">
                  <c:v>#N/A</c:v>
                </c:pt>
                <c:pt idx="100">
                  <c:v>#N/A</c:v>
                </c:pt>
                <c:pt idx="101">
                  <c:v>4</c:v>
                </c:pt>
                <c:pt idx="102">
                  <c:v>5</c:v>
                </c:pt>
                <c:pt idx="103">
                  <c:v>3</c:v>
                </c:pt>
                <c:pt idx="104">
                  <c:v>1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4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1</c:v>
                </c:pt>
                <c:pt idx="114">
                  <c:v>#N/A</c:v>
                </c:pt>
                <c:pt idx="115">
                  <c:v>7</c:v>
                </c:pt>
                <c:pt idx="116">
                  <c:v>8</c:v>
                </c:pt>
                <c:pt idx="117">
                  <c:v>6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4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9</c:v>
                </c:pt>
                <c:pt idx="129">
                  <c:v>3</c:v>
                </c:pt>
                <c:pt idx="130">
                  <c:v>4</c:v>
                </c:pt>
                <c:pt idx="131">
                  <c:v>7</c:v>
                </c:pt>
                <c:pt idx="132">
                  <c:v>7</c:v>
                </c:pt>
                <c:pt idx="133">
                  <c:v>4</c:v>
                </c:pt>
                <c:pt idx="134">
                  <c:v>#N/A</c:v>
                </c:pt>
                <c:pt idx="135">
                  <c:v>3</c:v>
                </c:pt>
                <c:pt idx="136">
                  <c:v>6</c:v>
                </c:pt>
                <c:pt idx="137">
                  <c:v>#N/A</c:v>
                </c:pt>
                <c:pt idx="138">
                  <c:v>#N/A</c:v>
                </c:pt>
                <c:pt idx="139">
                  <c:v>2</c:v>
                </c:pt>
                <c:pt idx="140">
                  <c:v>#N/A</c:v>
                </c:pt>
                <c:pt idx="141">
                  <c:v>#N/A</c:v>
                </c:pt>
                <c:pt idx="142">
                  <c:v>1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9</c:v>
                </c:pt>
                <c:pt idx="149">
                  <c:v>2</c:v>
                </c:pt>
                <c:pt idx="150">
                  <c:v>1</c:v>
                </c:pt>
                <c:pt idx="151">
                  <c:v>#N/A</c:v>
                </c:pt>
                <c:pt idx="152">
                  <c:v>#N/A</c:v>
                </c:pt>
                <c:pt idx="153">
                  <c:v>8</c:v>
                </c:pt>
                <c:pt idx="154">
                  <c:v>#N/A</c:v>
                </c:pt>
                <c:pt idx="155">
                  <c:v>#N/A</c:v>
                </c:pt>
                <c:pt idx="156">
                  <c:v>1</c:v>
                </c:pt>
                <c:pt idx="157">
                  <c:v>#N/A</c:v>
                </c:pt>
                <c:pt idx="158">
                  <c:v>#N/A</c:v>
                </c:pt>
                <c:pt idx="159">
                  <c:v>3</c:v>
                </c:pt>
                <c:pt idx="160">
                  <c:v>#N/A</c:v>
                </c:pt>
                <c:pt idx="161">
                  <c:v>#N/A</c:v>
                </c:pt>
                <c:pt idx="162">
                  <c:v>4</c:v>
                </c:pt>
                <c:pt idx="163">
                  <c:v>#N/A</c:v>
                </c:pt>
                <c:pt idx="164">
                  <c:v>1</c:v>
                </c:pt>
                <c:pt idx="165">
                  <c:v>6</c:v>
                </c:pt>
                <c:pt idx="166">
                  <c:v>1</c:v>
                </c:pt>
                <c:pt idx="167">
                  <c:v>1</c:v>
                </c:pt>
                <c:pt idx="168">
                  <c:v>8</c:v>
                </c:pt>
                <c:pt idx="169">
                  <c:v>4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10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1</c:v>
                </c:pt>
                <c:pt idx="183">
                  <c:v>9</c:v>
                </c:pt>
                <c:pt idx="184">
                  <c:v>1</c:v>
                </c:pt>
                <c:pt idx="185">
                  <c:v>8</c:v>
                </c:pt>
                <c:pt idx="186">
                  <c:v>#N/A</c:v>
                </c:pt>
                <c:pt idx="187">
                  <c:v>#N/A</c:v>
                </c:pt>
                <c:pt idx="188">
                  <c:v>7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1</c:v>
                </c:pt>
                <c:pt idx="194">
                  <c:v>#N/A</c:v>
                </c:pt>
                <c:pt idx="195">
                  <c:v>#N/A</c:v>
                </c:pt>
                <c:pt idx="196">
                  <c:v>8</c:v>
                </c:pt>
                <c:pt idx="197">
                  <c:v>#N/A</c:v>
                </c:pt>
                <c:pt idx="198">
                  <c:v>#N/A</c:v>
                </c:pt>
                <c:pt idx="199">
                  <c:v>1</c:v>
                </c:pt>
                <c:pt idx="200">
                  <c:v>#N/A</c:v>
                </c:pt>
                <c:pt idx="201">
                  <c:v>#N/A</c:v>
                </c:pt>
                <c:pt idx="202">
                  <c:v>10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7</c:v>
                </c:pt>
                <c:pt idx="207">
                  <c:v>7</c:v>
                </c:pt>
                <c:pt idx="208">
                  <c:v>1</c:v>
                </c:pt>
                <c:pt idx="209">
                  <c:v>#N/A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4</c:v>
                </c:pt>
                <c:pt idx="214">
                  <c:v>#N/A</c:v>
                </c:pt>
                <c:pt idx="215">
                  <c:v>#N/A</c:v>
                </c:pt>
                <c:pt idx="216">
                  <c:v>2</c:v>
                </c:pt>
                <c:pt idx="217">
                  <c:v>#N/A</c:v>
                </c:pt>
                <c:pt idx="218">
                  <c:v>3</c:v>
                </c:pt>
                <c:pt idx="219">
                  <c:v>#N/A</c:v>
                </c:pt>
                <c:pt idx="220">
                  <c:v>#N/A</c:v>
                </c:pt>
                <c:pt idx="221">
                  <c:v>1</c:v>
                </c:pt>
                <c:pt idx="222">
                  <c:v>1</c:v>
                </c:pt>
                <c:pt idx="223">
                  <c:v>10</c:v>
                </c:pt>
                <c:pt idx="224">
                  <c:v>#N/A</c:v>
                </c:pt>
                <c:pt idx="225">
                  <c:v>#N/A</c:v>
                </c:pt>
                <c:pt idx="226">
                  <c:v>7</c:v>
                </c:pt>
                <c:pt idx="227">
                  <c:v>#N/A</c:v>
                </c:pt>
                <c:pt idx="228">
                  <c:v>9</c:v>
                </c:pt>
                <c:pt idx="229">
                  <c:v>10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2</c:v>
                </c:pt>
                <c:pt idx="234">
                  <c:v>3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7</c:v>
                </c:pt>
                <c:pt idx="239">
                  <c:v>#N/A</c:v>
                </c:pt>
                <c:pt idx="240">
                  <c:v>4</c:v>
                </c:pt>
                <c:pt idx="241">
                  <c:v>6</c:v>
                </c:pt>
                <c:pt idx="242">
                  <c:v>#N/A</c:v>
                </c:pt>
                <c:pt idx="243">
                  <c:v>2</c:v>
                </c:pt>
                <c:pt idx="244">
                  <c:v>#N/A</c:v>
                </c:pt>
                <c:pt idx="245">
                  <c:v>3</c:v>
                </c:pt>
                <c:pt idx="246">
                  <c:v>8</c:v>
                </c:pt>
                <c:pt idx="247">
                  <c:v>2</c:v>
                </c:pt>
                <c:pt idx="248">
                  <c:v>1</c:v>
                </c:pt>
                <c:pt idx="24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6B-164C-8E4B-8EBFE59AA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063872"/>
        <c:axId val="1183541920"/>
      </c:scatterChart>
      <c:valAx>
        <c:axId val="80706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Usage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541920"/>
        <c:crosses val="autoZero"/>
        <c:crossBetween val="midCat"/>
      </c:valAx>
      <c:valAx>
        <c:axId val="118354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SatScores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063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Support Ticket vs Sat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'2.12 Support Ticket &lt;&gt; Sat'!$E$1</c:f>
              <c:strCache>
                <c:ptCount val="1"/>
                <c:pt idx="0">
                  <c:v>No churn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'2.12 Support Ticket &lt;&gt; Sat'!$D$2:$D$251</c:f>
              <c:numCache>
                <c:formatCode>General</c:formatCode>
                <c:ptCount val="250"/>
                <c:pt idx="0">
                  <c:v>#N/A</c:v>
                </c:pt>
                <c:pt idx="1">
                  <c:v>#N/A</c:v>
                </c:pt>
                <c:pt idx="2">
                  <c:v>1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3</c:v>
                </c:pt>
                <c:pt idx="8">
                  <c:v>#N/A</c:v>
                </c:pt>
                <c:pt idx="9">
                  <c:v>5</c:v>
                </c:pt>
                <c:pt idx="10">
                  <c:v>1</c:v>
                </c:pt>
                <c:pt idx="11">
                  <c:v>3</c:v>
                </c:pt>
                <c:pt idx="12">
                  <c:v>0</c:v>
                </c:pt>
                <c:pt idx="13">
                  <c:v>#N/A</c:v>
                </c:pt>
                <c:pt idx="14">
                  <c:v>1</c:v>
                </c:pt>
                <c:pt idx="15">
                  <c:v>#N/A</c:v>
                </c:pt>
                <c:pt idx="16">
                  <c:v>3</c:v>
                </c:pt>
                <c:pt idx="17">
                  <c:v>2</c:v>
                </c:pt>
                <c:pt idx="18">
                  <c:v>#N/A</c:v>
                </c:pt>
                <c:pt idx="19">
                  <c:v>#N/A</c:v>
                </c:pt>
                <c:pt idx="20">
                  <c:v>4</c:v>
                </c:pt>
                <c:pt idx="21">
                  <c:v>#N/A</c:v>
                </c:pt>
                <c:pt idx="22">
                  <c:v>#N/A</c:v>
                </c:pt>
                <c:pt idx="23">
                  <c:v>1</c:v>
                </c:pt>
                <c:pt idx="24">
                  <c:v>1</c:v>
                </c:pt>
                <c:pt idx="25">
                  <c:v>4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#N/A</c:v>
                </c:pt>
                <c:pt idx="30">
                  <c:v>#N/A</c:v>
                </c:pt>
                <c:pt idx="31">
                  <c:v>2</c:v>
                </c:pt>
                <c:pt idx="32">
                  <c:v>4</c:v>
                </c:pt>
                <c:pt idx="33">
                  <c:v>#N/A</c:v>
                </c:pt>
                <c:pt idx="34">
                  <c:v>#N/A</c:v>
                </c:pt>
                <c:pt idx="35">
                  <c:v>1</c:v>
                </c:pt>
                <c:pt idx="36">
                  <c:v>1</c:v>
                </c:pt>
                <c:pt idx="37">
                  <c:v>3</c:v>
                </c:pt>
                <c:pt idx="38">
                  <c:v>#N/A</c:v>
                </c:pt>
                <c:pt idx="39">
                  <c:v>2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4</c:v>
                </c:pt>
                <c:pt idx="44">
                  <c:v>#N/A</c:v>
                </c:pt>
                <c:pt idx="45">
                  <c:v>4</c:v>
                </c:pt>
                <c:pt idx="46">
                  <c:v>0</c:v>
                </c:pt>
                <c:pt idx="47">
                  <c:v>#N/A</c:v>
                </c:pt>
                <c:pt idx="48">
                  <c:v>3</c:v>
                </c:pt>
                <c:pt idx="49">
                  <c:v>#N/A</c:v>
                </c:pt>
                <c:pt idx="50">
                  <c:v>3</c:v>
                </c:pt>
                <c:pt idx="51">
                  <c:v>1</c:v>
                </c:pt>
                <c:pt idx="52">
                  <c:v>2</c:v>
                </c:pt>
                <c:pt idx="53">
                  <c:v>1</c:v>
                </c:pt>
                <c:pt idx="54">
                  <c:v>#N/A</c:v>
                </c:pt>
                <c:pt idx="55">
                  <c:v>#N/A</c:v>
                </c:pt>
                <c:pt idx="56">
                  <c:v>3</c:v>
                </c:pt>
                <c:pt idx="57">
                  <c:v>5</c:v>
                </c:pt>
                <c:pt idx="58">
                  <c:v>#N/A</c:v>
                </c:pt>
                <c:pt idx="59">
                  <c:v>3</c:v>
                </c:pt>
                <c:pt idx="60">
                  <c:v>#N/A</c:v>
                </c:pt>
                <c:pt idx="61">
                  <c:v>3</c:v>
                </c:pt>
                <c:pt idx="62">
                  <c:v>#N/A</c:v>
                </c:pt>
                <c:pt idx="63">
                  <c:v>2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2</c:v>
                </c:pt>
                <c:pt idx="69">
                  <c:v>#N/A</c:v>
                </c:pt>
                <c:pt idx="70">
                  <c:v>3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3</c:v>
                </c:pt>
                <c:pt idx="77">
                  <c:v>3</c:v>
                </c:pt>
                <c:pt idx="78">
                  <c:v>#N/A</c:v>
                </c:pt>
                <c:pt idx="79">
                  <c:v>1</c:v>
                </c:pt>
                <c:pt idx="80">
                  <c:v>#N/A</c:v>
                </c:pt>
                <c:pt idx="81">
                  <c:v>#N/A</c:v>
                </c:pt>
                <c:pt idx="82">
                  <c:v>0</c:v>
                </c:pt>
                <c:pt idx="83">
                  <c:v>3</c:v>
                </c:pt>
                <c:pt idx="84">
                  <c:v>1</c:v>
                </c:pt>
                <c:pt idx="85">
                  <c:v>3</c:v>
                </c:pt>
                <c:pt idx="86">
                  <c:v>#N/A</c:v>
                </c:pt>
                <c:pt idx="87">
                  <c:v>0</c:v>
                </c:pt>
                <c:pt idx="88">
                  <c:v>0</c:v>
                </c:pt>
                <c:pt idx="89">
                  <c:v>#N/A</c:v>
                </c:pt>
                <c:pt idx="90">
                  <c:v>1</c:v>
                </c:pt>
                <c:pt idx="91">
                  <c:v>#N/A</c:v>
                </c:pt>
                <c:pt idx="92">
                  <c:v>#N/A</c:v>
                </c:pt>
                <c:pt idx="93">
                  <c:v>3</c:v>
                </c:pt>
                <c:pt idx="94">
                  <c:v>3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0</c:v>
                </c:pt>
                <c:pt idx="100">
                  <c:v>1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3</c:v>
                </c:pt>
                <c:pt idx="106">
                  <c:v>0</c:v>
                </c:pt>
                <c:pt idx="107">
                  <c:v>1</c:v>
                </c:pt>
                <c:pt idx="108">
                  <c:v>#N/A</c:v>
                </c:pt>
                <c:pt idx="109">
                  <c:v>4</c:v>
                </c:pt>
                <c:pt idx="110">
                  <c:v>1</c:v>
                </c:pt>
                <c:pt idx="111">
                  <c:v>1</c:v>
                </c:pt>
                <c:pt idx="112">
                  <c:v>3</c:v>
                </c:pt>
                <c:pt idx="113">
                  <c:v>#N/A</c:v>
                </c:pt>
                <c:pt idx="114">
                  <c:v>3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0</c:v>
                </c:pt>
                <c:pt idx="119">
                  <c:v>4</c:v>
                </c:pt>
                <c:pt idx="120">
                  <c:v>0</c:v>
                </c:pt>
                <c:pt idx="121">
                  <c:v>#N/A</c:v>
                </c:pt>
                <c:pt idx="122">
                  <c:v>2</c:v>
                </c:pt>
                <c:pt idx="123">
                  <c:v>2</c:v>
                </c:pt>
                <c:pt idx="124">
                  <c:v>3</c:v>
                </c:pt>
                <c:pt idx="125">
                  <c:v>0</c:v>
                </c:pt>
                <c:pt idx="126">
                  <c:v>4</c:v>
                </c:pt>
                <c:pt idx="127">
                  <c:v>1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1</c:v>
                </c:pt>
                <c:pt idx="135">
                  <c:v>#N/A</c:v>
                </c:pt>
                <c:pt idx="136">
                  <c:v>#N/A</c:v>
                </c:pt>
                <c:pt idx="137">
                  <c:v>1</c:v>
                </c:pt>
                <c:pt idx="138">
                  <c:v>3</c:v>
                </c:pt>
                <c:pt idx="139">
                  <c:v>#N/A</c:v>
                </c:pt>
                <c:pt idx="140">
                  <c:v>3</c:v>
                </c:pt>
                <c:pt idx="141">
                  <c:v>3</c:v>
                </c:pt>
                <c:pt idx="142">
                  <c:v>#N/A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1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3</c:v>
                </c:pt>
                <c:pt idx="152">
                  <c:v>3</c:v>
                </c:pt>
                <c:pt idx="153">
                  <c:v>#N/A</c:v>
                </c:pt>
                <c:pt idx="154">
                  <c:v>1</c:v>
                </c:pt>
                <c:pt idx="155">
                  <c:v>3</c:v>
                </c:pt>
                <c:pt idx="156">
                  <c:v>#N/A</c:v>
                </c:pt>
                <c:pt idx="157">
                  <c:v>3</c:v>
                </c:pt>
                <c:pt idx="158">
                  <c:v>1</c:v>
                </c:pt>
                <c:pt idx="159">
                  <c:v>#N/A</c:v>
                </c:pt>
                <c:pt idx="160">
                  <c:v>0</c:v>
                </c:pt>
                <c:pt idx="161">
                  <c:v>1</c:v>
                </c:pt>
                <c:pt idx="162">
                  <c:v>#N/A</c:v>
                </c:pt>
                <c:pt idx="163">
                  <c:v>1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1</c:v>
                </c:pt>
                <c:pt idx="171">
                  <c:v>5</c:v>
                </c:pt>
                <c:pt idx="172">
                  <c:v>1</c:v>
                </c:pt>
                <c:pt idx="173">
                  <c:v>5</c:v>
                </c:pt>
                <c:pt idx="174">
                  <c:v>0</c:v>
                </c:pt>
                <c:pt idx="175">
                  <c:v>2</c:v>
                </c:pt>
                <c:pt idx="176">
                  <c:v>#N/A</c:v>
                </c:pt>
                <c:pt idx="177">
                  <c:v>1</c:v>
                </c:pt>
                <c:pt idx="178">
                  <c:v>4</c:v>
                </c:pt>
                <c:pt idx="179">
                  <c:v>0</c:v>
                </c:pt>
                <c:pt idx="180">
                  <c:v>0</c:v>
                </c:pt>
                <c:pt idx="181">
                  <c:v>2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2</c:v>
                </c:pt>
                <c:pt idx="187">
                  <c:v>3</c:v>
                </c:pt>
                <c:pt idx="188">
                  <c:v>#N/A</c:v>
                </c:pt>
                <c:pt idx="189">
                  <c:v>1</c:v>
                </c:pt>
                <c:pt idx="190">
                  <c:v>4</c:v>
                </c:pt>
                <c:pt idx="191">
                  <c:v>2</c:v>
                </c:pt>
                <c:pt idx="192">
                  <c:v>1</c:v>
                </c:pt>
                <c:pt idx="193">
                  <c:v>#N/A</c:v>
                </c:pt>
                <c:pt idx="194">
                  <c:v>3</c:v>
                </c:pt>
                <c:pt idx="195">
                  <c:v>1</c:v>
                </c:pt>
                <c:pt idx="196">
                  <c:v>#N/A</c:v>
                </c:pt>
                <c:pt idx="197">
                  <c:v>0</c:v>
                </c:pt>
                <c:pt idx="198">
                  <c:v>0</c:v>
                </c:pt>
                <c:pt idx="199">
                  <c:v>#N/A</c:v>
                </c:pt>
                <c:pt idx="200">
                  <c:v>2</c:v>
                </c:pt>
                <c:pt idx="201">
                  <c:v>1</c:v>
                </c:pt>
                <c:pt idx="202">
                  <c:v>#N/A</c:v>
                </c:pt>
                <c:pt idx="203">
                  <c:v>4</c:v>
                </c:pt>
                <c:pt idx="204">
                  <c:v>0</c:v>
                </c:pt>
                <c:pt idx="205">
                  <c:v>3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3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2</c:v>
                </c:pt>
                <c:pt idx="215">
                  <c:v>5</c:v>
                </c:pt>
                <c:pt idx="216">
                  <c:v>#N/A</c:v>
                </c:pt>
                <c:pt idx="217">
                  <c:v>1</c:v>
                </c:pt>
                <c:pt idx="218">
                  <c:v>#N/A</c:v>
                </c:pt>
                <c:pt idx="219">
                  <c:v>2</c:v>
                </c:pt>
                <c:pt idx="220">
                  <c:v>1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1</c:v>
                </c:pt>
                <c:pt idx="225">
                  <c:v>4</c:v>
                </c:pt>
                <c:pt idx="226">
                  <c:v>#N/A</c:v>
                </c:pt>
                <c:pt idx="227">
                  <c:v>0</c:v>
                </c:pt>
                <c:pt idx="228">
                  <c:v>#N/A</c:v>
                </c:pt>
                <c:pt idx="229">
                  <c:v>#N/A</c:v>
                </c:pt>
                <c:pt idx="230">
                  <c:v>1</c:v>
                </c:pt>
                <c:pt idx="231">
                  <c:v>3</c:v>
                </c:pt>
                <c:pt idx="232">
                  <c:v>4</c:v>
                </c:pt>
                <c:pt idx="233">
                  <c:v>#N/A</c:v>
                </c:pt>
                <c:pt idx="234">
                  <c:v>#N/A</c:v>
                </c:pt>
                <c:pt idx="235">
                  <c:v>0</c:v>
                </c:pt>
                <c:pt idx="236">
                  <c:v>2</c:v>
                </c:pt>
                <c:pt idx="237">
                  <c:v>2</c:v>
                </c:pt>
                <c:pt idx="238">
                  <c:v>#N/A</c:v>
                </c:pt>
                <c:pt idx="239">
                  <c:v>2</c:v>
                </c:pt>
                <c:pt idx="240">
                  <c:v>#N/A</c:v>
                </c:pt>
                <c:pt idx="241">
                  <c:v>#N/A</c:v>
                </c:pt>
                <c:pt idx="242">
                  <c:v>1</c:v>
                </c:pt>
                <c:pt idx="243">
                  <c:v>#N/A</c:v>
                </c:pt>
                <c:pt idx="244">
                  <c:v>4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5</c:v>
                </c:pt>
              </c:numCache>
            </c:numRef>
          </c:xVal>
          <c:yVal>
            <c:numRef>
              <c:f>'2.12 Support Ticket &lt;&gt; Sat'!$E$2:$E$251</c:f>
              <c:numCache>
                <c:formatCode>General</c:formatCode>
                <c:ptCount val="250"/>
                <c:pt idx="0">
                  <c:v>#N/A</c:v>
                </c:pt>
                <c:pt idx="1">
                  <c:v>#N/A</c:v>
                </c:pt>
                <c:pt idx="2">
                  <c:v>5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2</c:v>
                </c:pt>
                <c:pt idx="8">
                  <c:v>#N/A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6</c:v>
                </c:pt>
                <c:pt idx="13">
                  <c:v>#N/A</c:v>
                </c:pt>
                <c:pt idx="14">
                  <c:v>4</c:v>
                </c:pt>
                <c:pt idx="15">
                  <c:v>#N/A</c:v>
                </c:pt>
                <c:pt idx="16">
                  <c:v>8</c:v>
                </c:pt>
                <c:pt idx="17">
                  <c:v>7</c:v>
                </c:pt>
                <c:pt idx="18">
                  <c:v>#N/A</c:v>
                </c:pt>
                <c:pt idx="19">
                  <c:v>#N/A</c:v>
                </c:pt>
                <c:pt idx="20">
                  <c:v>4</c:v>
                </c:pt>
                <c:pt idx="21">
                  <c:v>#N/A</c:v>
                </c:pt>
                <c:pt idx="22">
                  <c:v>#N/A</c:v>
                </c:pt>
                <c:pt idx="23">
                  <c:v>6</c:v>
                </c:pt>
                <c:pt idx="24">
                  <c:v>5</c:v>
                </c:pt>
                <c:pt idx="25">
                  <c:v>3</c:v>
                </c:pt>
                <c:pt idx="26">
                  <c:v>9</c:v>
                </c:pt>
                <c:pt idx="27">
                  <c:v>5</c:v>
                </c:pt>
                <c:pt idx="28">
                  <c:v>5</c:v>
                </c:pt>
                <c:pt idx="29">
                  <c:v>#N/A</c:v>
                </c:pt>
                <c:pt idx="30">
                  <c:v>#N/A</c:v>
                </c:pt>
                <c:pt idx="31">
                  <c:v>1</c:v>
                </c:pt>
                <c:pt idx="32">
                  <c:v>7</c:v>
                </c:pt>
                <c:pt idx="33">
                  <c:v>#N/A</c:v>
                </c:pt>
                <c:pt idx="34">
                  <c:v>#N/A</c:v>
                </c:pt>
                <c:pt idx="35">
                  <c:v>2</c:v>
                </c:pt>
                <c:pt idx="36">
                  <c:v>3</c:v>
                </c:pt>
                <c:pt idx="37">
                  <c:v>1</c:v>
                </c:pt>
                <c:pt idx="38">
                  <c:v>#N/A</c:v>
                </c:pt>
                <c:pt idx="39">
                  <c:v>7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4</c:v>
                </c:pt>
                <c:pt idx="44">
                  <c:v>#N/A</c:v>
                </c:pt>
                <c:pt idx="45">
                  <c:v>8</c:v>
                </c:pt>
                <c:pt idx="46">
                  <c:v>3</c:v>
                </c:pt>
                <c:pt idx="47">
                  <c:v>#N/A</c:v>
                </c:pt>
                <c:pt idx="48">
                  <c:v>4</c:v>
                </c:pt>
                <c:pt idx="49">
                  <c:v>#N/A</c:v>
                </c:pt>
                <c:pt idx="50">
                  <c:v>9</c:v>
                </c:pt>
                <c:pt idx="51">
                  <c:v>8</c:v>
                </c:pt>
                <c:pt idx="52">
                  <c:v>8</c:v>
                </c:pt>
                <c:pt idx="53">
                  <c:v>10</c:v>
                </c:pt>
                <c:pt idx="54">
                  <c:v>#N/A</c:v>
                </c:pt>
                <c:pt idx="55">
                  <c:v>#N/A</c:v>
                </c:pt>
                <c:pt idx="56">
                  <c:v>6</c:v>
                </c:pt>
                <c:pt idx="57">
                  <c:v>9</c:v>
                </c:pt>
                <c:pt idx="58">
                  <c:v>#N/A</c:v>
                </c:pt>
                <c:pt idx="59">
                  <c:v>3</c:v>
                </c:pt>
                <c:pt idx="60">
                  <c:v>#N/A</c:v>
                </c:pt>
                <c:pt idx="61">
                  <c:v>10</c:v>
                </c:pt>
                <c:pt idx="62">
                  <c:v>#N/A</c:v>
                </c:pt>
                <c:pt idx="63">
                  <c:v>9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9</c:v>
                </c:pt>
                <c:pt idx="69">
                  <c:v>#N/A</c:v>
                </c:pt>
                <c:pt idx="70">
                  <c:v>4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1</c:v>
                </c:pt>
                <c:pt idx="77">
                  <c:v>9</c:v>
                </c:pt>
                <c:pt idx="78">
                  <c:v>#N/A</c:v>
                </c:pt>
                <c:pt idx="79">
                  <c:v>8</c:v>
                </c:pt>
                <c:pt idx="80">
                  <c:v>#N/A</c:v>
                </c:pt>
                <c:pt idx="81">
                  <c:v>#N/A</c:v>
                </c:pt>
                <c:pt idx="82">
                  <c:v>5</c:v>
                </c:pt>
                <c:pt idx="83">
                  <c:v>3</c:v>
                </c:pt>
                <c:pt idx="84">
                  <c:v>9</c:v>
                </c:pt>
                <c:pt idx="85">
                  <c:v>9</c:v>
                </c:pt>
                <c:pt idx="86">
                  <c:v>#N/A</c:v>
                </c:pt>
                <c:pt idx="87">
                  <c:v>4</c:v>
                </c:pt>
                <c:pt idx="88">
                  <c:v>8</c:v>
                </c:pt>
                <c:pt idx="89">
                  <c:v>#N/A</c:v>
                </c:pt>
                <c:pt idx="90">
                  <c:v>9</c:v>
                </c:pt>
                <c:pt idx="91">
                  <c:v>#N/A</c:v>
                </c:pt>
                <c:pt idx="92">
                  <c:v>#N/A</c:v>
                </c:pt>
                <c:pt idx="93">
                  <c:v>8</c:v>
                </c:pt>
                <c:pt idx="94">
                  <c:v>7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5</c:v>
                </c:pt>
                <c:pt idx="100">
                  <c:v>5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5</c:v>
                </c:pt>
                <c:pt idx="106">
                  <c:v>9</c:v>
                </c:pt>
                <c:pt idx="107">
                  <c:v>9</c:v>
                </c:pt>
                <c:pt idx="108">
                  <c:v>#N/A</c:v>
                </c:pt>
                <c:pt idx="109">
                  <c:v>3</c:v>
                </c:pt>
                <c:pt idx="110">
                  <c:v>1</c:v>
                </c:pt>
                <c:pt idx="111">
                  <c:v>2</c:v>
                </c:pt>
                <c:pt idx="112">
                  <c:v>8</c:v>
                </c:pt>
                <c:pt idx="113">
                  <c:v>#N/A</c:v>
                </c:pt>
                <c:pt idx="114">
                  <c:v>8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9</c:v>
                </c:pt>
                <c:pt idx="119">
                  <c:v>3</c:v>
                </c:pt>
                <c:pt idx="120">
                  <c:v>10</c:v>
                </c:pt>
                <c:pt idx="121">
                  <c:v>#N/A</c:v>
                </c:pt>
                <c:pt idx="122">
                  <c:v>6</c:v>
                </c:pt>
                <c:pt idx="123">
                  <c:v>8</c:v>
                </c:pt>
                <c:pt idx="124">
                  <c:v>5</c:v>
                </c:pt>
                <c:pt idx="125">
                  <c:v>3</c:v>
                </c:pt>
                <c:pt idx="126">
                  <c:v>6</c:v>
                </c:pt>
                <c:pt idx="127">
                  <c:v>4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6</c:v>
                </c:pt>
                <c:pt idx="135">
                  <c:v>#N/A</c:v>
                </c:pt>
                <c:pt idx="136">
                  <c:v>#N/A</c:v>
                </c:pt>
                <c:pt idx="137">
                  <c:v>2</c:v>
                </c:pt>
                <c:pt idx="138">
                  <c:v>8</c:v>
                </c:pt>
                <c:pt idx="139">
                  <c:v>#N/A</c:v>
                </c:pt>
                <c:pt idx="140">
                  <c:v>7</c:v>
                </c:pt>
                <c:pt idx="141">
                  <c:v>9</c:v>
                </c:pt>
                <c:pt idx="142">
                  <c:v>#N/A</c:v>
                </c:pt>
                <c:pt idx="143">
                  <c:v>8</c:v>
                </c:pt>
                <c:pt idx="144">
                  <c:v>7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6</c:v>
                </c:pt>
                <c:pt idx="152">
                  <c:v>10</c:v>
                </c:pt>
                <c:pt idx="153">
                  <c:v>#N/A</c:v>
                </c:pt>
                <c:pt idx="154">
                  <c:v>3</c:v>
                </c:pt>
                <c:pt idx="155">
                  <c:v>10</c:v>
                </c:pt>
                <c:pt idx="156">
                  <c:v>#N/A</c:v>
                </c:pt>
                <c:pt idx="157">
                  <c:v>9</c:v>
                </c:pt>
                <c:pt idx="158">
                  <c:v>1</c:v>
                </c:pt>
                <c:pt idx="159">
                  <c:v>#N/A</c:v>
                </c:pt>
                <c:pt idx="160">
                  <c:v>8</c:v>
                </c:pt>
                <c:pt idx="161">
                  <c:v>3</c:v>
                </c:pt>
                <c:pt idx="162">
                  <c:v>#N/A</c:v>
                </c:pt>
                <c:pt idx="163">
                  <c:v>8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1</c:v>
                </c:pt>
                <c:pt idx="171">
                  <c:v>10</c:v>
                </c:pt>
                <c:pt idx="172">
                  <c:v>7</c:v>
                </c:pt>
                <c:pt idx="173">
                  <c:v>5</c:v>
                </c:pt>
                <c:pt idx="174">
                  <c:v>5</c:v>
                </c:pt>
                <c:pt idx="175">
                  <c:v>1</c:v>
                </c:pt>
                <c:pt idx="176">
                  <c:v>#N/A</c:v>
                </c:pt>
                <c:pt idx="177">
                  <c:v>6</c:v>
                </c:pt>
                <c:pt idx="178">
                  <c:v>9</c:v>
                </c:pt>
                <c:pt idx="179">
                  <c:v>9</c:v>
                </c:pt>
                <c:pt idx="180">
                  <c:v>8</c:v>
                </c:pt>
                <c:pt idx="181">
                  <c:v>5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5</c:v>
                </c:pt>
                <c:pt idx="187">
                  <c:v>3</c:v>
                </c:pt>
                <c:pt idx="188">
                  <c:v>#N/A</c:v>
                </c:pt>
                <c:pt idx="189">
                  <c:v>7</c:v>
                </c:pt>
                <c:pt idx="190">
                  <c:v>9</c:v>
                </c:pt>
                <c:pt idx="191">
                  <c:v>7</c:v>
                </c:pt>
                <c:pt idx="192">
                  <c:v>3</c:v>
                </c:pt>
                <c:pt idx="193">
                  <c:v>#N/A</c:v>
                </c:pt>
                <c:pt idx="194">
                  <c:v>8</c:v>
                </c:pt>
                <c:pt idx="195">
                  <c:v>3</c:v>
                </c:pt>
                <c:pt idx="196">
                  <c:v>#N/A</c:v>
                </c:pt>
                <c:pt idx="197">
                  <c:v>8</c:v>
                </c:pt>
                <c:pt idx="198">
                  <c:v>5</c:v>
                </c:pt>
                <c:pt idx="199">
                  <c:v>#N/A</c:v>
                </c:pt>
                <c:pt idx="200">
                  <c:v>10</c:v>
                </c:pt>
                <c:pt idx="201">
                  <c:v>7</c:v>
                </c:pt>
                <c:pt idx="202">
                  <c:v>#N/A</c:v>
                </c:pt>
                <c:pt idx="203">
                  <c:v>5</c:v>
                </c:pt>
                <c:pt idx="204">
                  <c:v>8</c:v>
                </c:pt>
                <c:pt idx="205">
                  <c:v>9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4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1</c:v>
                </c:pt>
                <c:pt idx="215">
                  <c:v>4</c:v>
                </c:pt>
                <c:pt idx="216">
                  <c:v>#N/A</c:v>
                </c:pt>
                <c:pt idx="217">
                  <c:v>5</c:v>
                </c:pt>
                <c:pt idx="218">
                  <c:v>#N/A</c:v>
                </c:pt>
                <c:pt idx="219">
                  <c:v>8</c:v>
                </c:pt>
                <c:pt idx="220">
                  <c:v>4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3</c:v>
                </c:pt>
                <c:pt idx="225">
                  <c:v>9</c:v>
                </c:pt>
                <c:pt idx="226">
                  <c:v>#N/A</c:v>
                </c:pt>
                <c:pt idx="227">
                  <c:v>2</c:v>
                </c:pt>
                <c:pt idx="228">
                  <c:v>#N/A</c:v>
                </c:pt>
                <c:pt idx="229">
                  <c:v>#N/A</c:v>
                </c:pt>
                <c:pt idx="230">
                  <c:v>2</c:v>
                </c:pt>
                <c:pt idx="231">
                  <c:v>3</c:v>
                </c:pt>
                <c:pt idx="232">
                  <c:v>10</c:v>
                </c:pt>
                <c:pt idx="233">
                  <c:v>#N/A</c:v>
                </c:pt>
                <c:pt idx="234">
                  <c:v>#N/A</c:v>
                </c:pt>
                <c:pt idx="235">
                  <c:v>6</c:v>
                </c:pt>
                <c:pt idx="236">
                  <c:v>9</c:v>
                </c:pt>
                <c:pt idx="237">
                  <c:v>9</c:v>
                </c:pt>
                <c:pt idx="238">
                  <c:v>#N/A</c:v>
                </c:pt>
                <c:pt idx="239">
                  <c:v>3</c:v>
                </c:pt>
                <c:pt idx="240">
                  <c:v>#N/A</c:v>
                </c:pt>
                <c:pt idx="241">
                  <c:v>#N/A</c:v>
                </c:pt>
                <c:pt idx="242">
                  <c:v>5</c:v>
                </c:pt>
                <c:pt idx="243">
                  <c:v>#N/A</c:v>
                </c:pt>
                <c:pt idx="244">
                  <c:v>6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EC-DA4C-BA56-675852F05C82}"/>
            </c:ext>
          </c:extLst>
        </c:ser>
        <c:ser>
          <c:idx val="1"/>
          <c:order val="1"/>
          <c:tx>
            <c:strRef>
              <c:f>'2.12 Support Ticket &lt;&gt; Sat'!$G$1</c:f>
              <c:strCache>
                <c:ptCount val="1"/>
                <c:pt idx="0">
                  <c:v>Churn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>
                  <a:alpha val="39557"/>
                </a:srgb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'2.12 Support Ticket &lt;&gt; Sat'!$F$2:$F$251</c:f>
              <c:numCache>
                <c:formatCode>General</c:formatCode>
                <c:ptCount val="250"/>
                <c:pt idx="0">
                  <c:v>2</c:v>
                </c:pt>
                <c:pt idx="1">
                  <c:v>1</c:v>
                </c:pt>
                <c:pt idx="2">
                  <c:v>#N/A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#N/A</c:v>
                </c:pt>
                <c:pt idx="8">
                  <c:v>0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1</c:v>
                </c:pt>
                <c:pt idx="14">
                  <c:v>#N/A</c:v>
                </c:pt>
                <c:pt idx="15">
                  <c:v>3</c:v>
                </c:pt>
                <c:pt idx="16">
                  <c:v>#N/A</c:v>
                </c:pt>
                <c:pt idx="17">
                  <c:v>#N/A</c:v>
                </c:pt>
                <c:pt idx="18">
                  <c:v>6</c:v>
                </c:pt>
                <c:pt idx="19">
                  <c:v>3</c:v>
                </c:pt>
                <c:pt idx="20">
                  <c:v>#N/A</c:v>
                </c:pt>
                <c:pt idx="21">
                  <c:v>1</c:v>
                </c:pt>
                <c:pt idx="22">
                  <c:v>0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1</c:v>
                </c:pt>
                <c:pt idx="30">
                  <c:v>2</c:v>
                </c:pt>
                <c:pt idx="31">
                  <c:v>#N/A</c:v>
                </c:pt>
                <c:pt idx="32">
                  <c:v>#N/A</c:v>
                </c:pt>
                <c:pt idx="33">
                  <c:v>5</c:v>
                </c:pt>
                <c:pt idx="34">
                  <c:v>0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2</c:v>
                </c:pt>
                <c:pt idx="39">
                  <c:v>#N/A</c:v>
                </c:pt>
                <c:pt idx="40">
                  <c:v>3</c:v>
                </c:pt>
                <c:pt idx="41">
                  <c:v>0</c:v>
                </c:pt>
                <c:pt idx="42">
                  <c:v>2</c:v>
                </c:pt>
                <c:pt idx="43">
                  <c:v>#N/A</c:v>
                </c:pt>
                <c:pt idx="44">
                  <c:v>5</c:v>
                </c:pt>
                <c:pt idx="45">
                  <c:v>#N/A</c:v>
                </c:pt>
                <c:pt idx="46">
                  <c:v>#N/A</c:v>
                </c:pt>
                <c:pt idx="47">
                  <c:v>1</c:v>
                </c:pt>
                <c:pt idx="48">
                  <c:v>#N/A</c:v>
                </c:pt>
                <c:pt idx="49">
                  <c:v>2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1</c:v>
                </c:pt>
                <c:pt idx="55">
                  <c:v>1</c:v>
                </c:pt>
                <c:pt idx="56">
                  <c:v>#N/A</c:v>
                </c:pt>
                <c:pt idx="57">
                  <c:v>#N/A</c:v>
                </c:pt>
                <c:pt idx="58">
                  <c:v>2</c:v>
                </c:pt>
                <c:pt idx="59">
                  <c:v>#N/A</c:v>
                </c:pt>
                <c:pt idx="60">
                  <c:v>3</c:v>
                </c:pt>
                <c:pt idx="61">
                  <c:v>#N/A</c:v>
                </c:pt>
                <c:pt idx="62">
                  <c:v>3</c:v>
                </c:pt>
                <c:pt idx="63">
                  <c:v>#N/A</c:v>
                </c:pt>
                <c:pt idx="64">
                  <c:v>0</c:v>
                </c:pt>
                <c:pt idx="65">
                  <c:v>1</c:v>
                </c:pt>
                <c:pt idx="66">
                  <c:v>3</c:v>
                </c:pt>
                <c:pt idx="67">
                  <c:v>0</c:v>
                </c:pt>
                <c:pt idx="68">
                  <c:v>#N/A</c:v>
                </c:pt>
                <c:pt idx="69">
                  <c:v>1</c:v>
                </c:pt>
                <c:pt idx="70">
                  <c:v>#N/A</c:v>
                </c:pt>
                <c:pt idx="71">
                  <c:v>2</c:v>
                </c:pt>
                <c:pt idx="72">
                  <c:v>2</c:v>
                </c:pt>
                <c:pt idx="73">
                  <c:v>1</c:v>
                </c:pt>
                <c:pt idx="74">
                  <c:v>3</c:v>
                </c:pt>
                <c:pt idx="75">
                  <c:v>2</c:v>
                </c:pt>
                <c:pt idx="76">
                  <c:v>#N/A</c:v>
                </c:pt>
                <c:pt idx="77">
                  <c:v>#N/A</c:v>
                </c:pt>
                <c:pt idx="78">
                  <c:v>1</c:v>
                </c:pt>
                <c:pt idx="79">
                  <c:v>#N/A</c:v>
                </c:pt>
                <c:pt idx="80">
                  <c:v>2</c:v>
                </c:pt>
                <c:pt idx="81">
                  <c:v>0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2</c:v>
                </c:pt>
                <c:pt idx="87">
                  <c:v>#N/A</c:v>
                </c:pt>
                <c:pt idx="88">
                  <c:v>#N/A</c:v>
                </c:pt>
                <c:pt idx="89">
                  <c:v>1</c:v>
                </c:pt>
                <c:pt idx="90">
                  <c:v>#N/A</c:v>
                </c:pt>
                <c:pt idx="91">
                  <c:v>2</c:v>
                </c:pt>
                <c:pt idx="92">
                  <c:v>2</c:v>
                </c:pt>
                <c:pt idx="93">
                  <c:v>#N/A</c:v>
                </c:pt>
                <c:pt idx="94">
                  <c:v>#N/A</c:v>
                </c:pt>
                <c:pt idx="95">
                  <c:v>0</c:v>
                </c:pt>
                <c:pt idx="96">
                  <c:v>6</c:v>
                </c:pt>
                <c:pt idx="97">
                  <c:v>1</c:v>
                </c:pt>
                <c:pt idx="98">
                  <c:v>4</c:v>
                </c:pt>
                <c:pt idx="99">
                  <c:v>#N/A</c:v>
                </c:pt>
                <c:pt idx="100">
                  <c:v>#N/A</c:v>
                </c:pt>
                <c:pt idx="101">
                  <c:v>6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3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4</c:v>
                </c:pt>
                <c:pt idx="114">
                  <c:v>#N/A</c:v>
                </c:pt>
                <c:pt idx="115">
                  <c:v>1</c:v>
                </c:pt>
                <c:pt idx="116">
                  <c:v>1</c:v>
                </c:pt>
                <c:pt idx="117">
                  <c:v>4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2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3</c:v>
                </c:pt>
                <c:pt idx="129">
                  <c:v>3</c:v>
                </c:pt>
                <c:pt idx="130">
                  <c:v>2</c:v>
                </c:pt>
                <c:pt idx="131">
                  <c:v>1</c:v>
                </c:pt>
                <c:pt idx="132">
                  <c:v>2</c:v>
                </c:pt>
                <c:pt idx="133">
                  <c:v>1</c:v>
                </c:pt>
                <c:pt idx="134">
                  <c:v>#N/A</c:v>
                </c:pt>
                <c:pt idx="135">
                  <c:v>1</c:v>
                </c:pt>
                <c:pt idx="136">
                  <c:v>2</c:v>
                </c:pt>
                <c:pt idx="137">
                  <c:v>#N/A</c:v>
                </c:pt>
                <c:pt idx="138">
                  <c:v>#N/A</c:v>
                </c:pt>
                <c:pt idx="139">
                  <c:v>1</c:v>
                </c:pt>
                <c:pt idx="140">
                  <c:v>#N/A</c:v>
                </c:pt>
                <c:pt idx="141">
                  <c:v>#N/A</c:v>
                </c:pt>
                <c:pt idx="142">
                  <c:v>2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3</c:v>
                </c:pt>
                <c:pt idx="149">
                  <c:v>2</c:v>
                </c:pt>
                <c:pt idx="150">
                  <c:v>3</c:v>
                </c:pt>
                <c:pt idx="151">
                  <c:v>#N/A</c:v>
                </c:pt>
                <c:pt idx="152">
                  <c:v>#N/A</c:v>
                </c:pt>
                <c:pt idx="153">
                  <c:v>0</c:v>
                </c:pt>
                <c:pt idx="154">
                  <c:v>#N/A</c:v>
                </c:pt>
                <c:pt idx="155">
                  <c:v>#N/A</c:v>
                </c:pt>
                <c:pt idx="156">
                  <c:v>0</c:v>
                </c:pt>
                <c:pt idx="157">
                  <c:v>#N/A</c:v>
                </c:pt>
                <c:pt idx="158">
                  <c:v>#N/A</c:v>
                </c:pt>
                <c:pt idx="159">
                  <c:v>0</c:v>
                </c:pt>
                <c:pt idx="160">
                  <c:v>#N/A</c:v>
                </c:pt>
                <c:pt idx="161">
                  <c:v>#N/A</c:v>
                </c:pt>
                <c:pt idx="162">
                  <c:v>1</c:v>
                </c:pt>
                <c:pt idx="163">
                  <c:v>#N/A</c:v>
                </c:pt>
                <c:pt idx="164">
                  <c:v>4</c:v>
                </c:pt>
                <c:pt idx="165">
                  <c:v>3</c:v>
                </c:pt>
                <c:pt idx="166">
                  <c:v>2</c:v>
                </c:pt>
                <c:pt idx="167">
                  <c:v>4</c:v>
                </c:pt>
                <c:pt idx="168">
                  <c:v>2</c:v>
                </c:pt>
                <c:pt idx="169">
                  <c:v>0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0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1</c:v>
                </c:pt>
                <c:pt idx="183">
                  <c:v>1</c:v>
                </c:pt>
                <c:pt idx="184">
                  <c:v>3</c:v>
                </c:pt>
                <c:pt idx="185">
                  <c:v>1</c:v>
                </c:pt>
                <c:pt idx="186">
                  <c:v>#N/A</c:v>
                </c:pt>
                <c:pt idx="187">
                  <c:v>#N/A</c:v>
                </c:pt>
                <c:pt idx="188">
                  <c:v>1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2</c:v>
                </c:pt>
                <c:pt idx="194">
                  <c:v>#N/A</c:v>
                </c:pt>
                <c:pt idx="195">
                  <c:v>#N/A</c:v>
                </c:pt>
                <c:pt idx="196">
                  <c:v>3</c:v>
                </c:pt>
                <c:pt idx="197">
                  <c:v>#N/A</c:v>
                </c:pt>
                <c:pt idx="198">
                  <c:v>#N/A</c:v>
                </c:pt>
                <c:pt idx="199">
                  <c:v>1</c:v>
                </c:pt>
                <c:pt idx="200">
                  <c:v>#N/A</c:v>
                </c:pt>
                <c:pt idx="201">
                  <c:v>#N/A</c:v>
                </c:pt>
                <c:pt idx="202">
                  <c:v>3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2</c:v>
                </c:pt>
                <c:pt idx="207">
                  <c:v>3</c:v>
                </c:pt>
                <c:pt idx="208">
                  <c:v>1</c:v>
                </c:pt>
                <c:pt idx="209">
                  <c:v>#N/A</c:v>
                </c:pt>
                <c:pt idx="210">
                  <c:v>2</c:v>
                </c:pt>
                <c:pt idx="211">
                  <c:v>0</c:v>
                </c:pt>
                <c:pt idx="212">
                  <c:v>3</c:v>
                </c:pt>
                <c:pt idx="213">
                  <c:v>0</c:v>
                </c:pt>
                <c:pt idx="214">
                  <c:v>#N/A</c:v>
                </c:pt>
                <c:pt idx="215">
                  <c:v>#N/A</c:v>
                </c:pt>
                <c:pt idx="216">
                  <c:v>2</c:v>
                </c:pt>
                <c:pt idx="217">
                  <c:v>#N/A</c:v>
                </c:pt>
                <c:pt idx="218">
                  <c:v>3</c:v>
                </c:pt>
                <c:pt idx="219">
                  <c:v>#N/A</c:v>
                </c:pt>
                <c:pt idx="220">
                  <c:v>#N/A</c:v>
                </c:pt>
                <c:pt idx="221">
                  <c:v>0</c:v>
                </c:pt>
                <c:pt idx="222">
                  <c:v>3</c:v>
                </c:pt>
                <c:pt idx="223">
                  <c:v>0</c:v>
                </c:pt>
                <c:pt idx="224">
                  <c:v>#N/A</c:v>
                </c:pt>
                <c:pt idx="225">
                  <c:v>#N/A</c:v>
                </c:pt>
                <c:pt idx="226">
                  <c:v>0</c:v>
                </c:pt>
                <c:pt idx="227">
                  <c:v>#N/A</c:v>
                </c:pt>
                <c:pt idx="228">
                  <c:v>1</c:v>
                </c:pt>
                <c:pt idx="229">
                  <c:v>2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2</c:v>
                </c:pt>
                <c:pt idx="234">
                  <c:v>3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1</c:v>
                </c:pt>
                <c:pt idx="239">
                  <c:v>#N/A</c:v>
                </c:pt>
                <c:pt idx="240">
                  <c:v>2</c:v>
                </c:pt>
                <c:pt idx="241">
                  <c:v>2</c:v>
                </c:pt>
                <c:pt idx="242">
                  <c:v>#N/A</c:v>
                </c:pt>
                <c:pt idx="243">
                  <c:v>3</c:v>
                </c:pt>
                <c:pt idx="244">
                  <c:v>#N/A</c:v>
                </c:pt>
                <c:pt idx="245">
                  <c:v>2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#N/A</c:v>
                </c:pt>
              </c:numCache>
            </c:numRef>
          </c:xVal>
          <c:yVal>
            <c:numRef>
              <c:f>'2.12 Support Ticket &lt;&gt; Sat'!$G$2:$G$251</c:f>
              <c:numCache>
                <c:formatCode>General</c:formatCode>
                <c:ptCount val="250"/>
                <c:pt idx="0">
                  <c:v>6</c:v>
                </c:pt>
                <c:pt idx="1">
                  <c:v>1</c:v>
                </c:pt>
                <c:pt idx="2">
                  <c:v>#N/A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#N/A</c:v>
                </c:pt>
                <c:pt idx="8">
                  <c:v>3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9</c:v>
                </c:pt>
                <c:pt idx="14">
                  <c:v>#N/A</c:v>
                </c:pt>
                <c:pt idx="15">
                  <c:v>1</c:v>
                </c:pt>
                <c:pt idx="16">
                  <c:v>#N/A</c:v>
                </c:pt>
                <c:pt idx="17">
                  <c:v>#N/A</c:v>
                </c:pt>
                <c:pt idx="18">
                  <c:v>7</c:v>
                </c:pt>
                <c:pt idx="19">
                  <c:v>3</c:v>
                </c:pt>
                <c:pt idx="20">
                  <c:v>#N/A</c:v>
                </c:pt>
                <c:pt idx="21">
                  <c:v>10</c:v>
                </c:pt>
                <c:pt idx="22">
                  <c:v>9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4</c:v>
                </c:pt>
                <c:pt idx="30">
                  <c:v>4</c:v>
                </c:pt>
                <c:pt idx="31">
                  <c:v>#N/A</c:v>
                </c:pt>
                <c:pt idx="32">
                  <c:v>#N/A</c:v>
                </c:pt>
                <c:pt idx="33">
                  <c:v>9</c:v>
                </c:pt>
                <c:pt idx="34">
                  <c:v>3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6</c:v>
                </c:pt>
                <c:pt idx="39">
                  <c:v>#N/A</c:v>
                </c:pt>
                <c:pt idx="40">
                  <c:v>2</c:v>
                </c:pt>
                <c:pt idx="41">
                  <c:v>8</c:v>
                </c:pt>
                <c:pt idx="42">
                  <c:v>6</c:v>
                </c:pt>
                <c:pt idx="43">
                  <c:v>#N/A</c:v>
                </c:pt>
                <c:pt idx="44">
                  <c:v>5</c:v>
                </c:pt>
                <c:pt idx="45">
                  <c:v>#N/A</c:v>
                </c:pt>
                <c:pt idx="46">
                  <c:v>#N/A</c:v>
                </c:pt>
                <c:pt idx="47">
                  <c:v>3</c:v>
                </c:pt>
                <c:pt idx="48">
                  <c:v>#N/A</c:v>
                </c:pt>
                <c:pt idx="49">
                  <c:v>1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6</c:v>
                </c:pt>
                <c:pt idx="55">
                  <c:v>7</c:v>
                </c:pt>
                <c:pt idx="56">
                  <c:v>#N/A</c:v>
                </c:pt>
                <c:pt idx="57">
                  <c:v>#N/A</c:v>
                </c:pt>
                <c:pt idx="58">
                  <c:v>3</c:v>
                </c:pt>
                <c:pt idx="59">
                  <c:v>#N/A</c:v>
                </c:pt>
                <c:pt idx="60">
                  <c:v>3</c:v>
                </c:pt>
                <c:pt idx="61">
                  <c:v>#N/A</c:v>
                </c:pt>
                <c:pt idx="62">
                  <c:v>3</c:v>
                </c:pt>
                <c:pt idx="63">
                  <c:v>#N/A</c:v>
                </c:pt>
                <c:pt idx="64">
                  <c:v>4</c:v>
                </c:pt>
                <c:pt idx="65">
                  <c:v>7</c:v>
                </c:pt>
                <c:pt idx="66">
                  <c:v>9</c:v>
                </c:pt>
                <c:pt idx="67">
                  <c:v>7</c:v>
                </c:pt>
                <c:pt idx="68">
                  <c:v>#N/A</c:v>
                </c:pt>
                <c:pt idx="69">
                  <c:v>3</c:v>
                </c:pt>
                <c:pt idx="70">
                  <c:v>#N/A</c:v>
                </c:pt>
                <c:pt idx="71">
                  <c:v>8</c:v>
                </c:pt>
                <c:pt idx="72">
                  <c:v>6</c:v>
                </c:pt>
                <c:pt idx="73">
                  <c:v>5</c:v>
                </c:pt>
                <c:pt idx="74">
                  <c:v>4</c:v>
                </c:pt>
                <c:pt idx="75">
                  <c:v>8</c:v>
                </c:pt>
                <c:pt idx="76">
                  <c:v>#N/A</c:v>
                </c:pt>
                <c:pt idx="77">
                  <c:v>#N/A</c:v>
                </c:pt>
                <c:pt idx="78">
                  <c:v>1</c:v>
                </c:pt>
                <c:pt idx="79">
                  <c:v>#N/A</c:v>
                </c:pt>
                <c:pt idx="80">
                  <c:v>4</c:v>
                </c:pt>
                <c:pt idx="81">
                  <c:v>9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4</c:v>
                </c:pt>
                <c:pt idx="87">
                  <c:v>#N/A</c:v>
                </c:pt>
                <c:pt idx="88">
                  <c:v>#N/A</c:v>
                </c:pt>
                <c:pt idx="89">
                  <c:v>2</c:v>
                </c:pt>
                <c:pt idx="90">
                  <c:v>#N/A</c:v>
                </c:pt>
                <c:pt idx="91">
                  <c:v>6</c:v>
                </c:pt>
                <c:pt idx="92">
                  <c:v>9</c:v>
                </c:pt>
                <c:pt idx="93">
                  <c:v>#N/A</c:v>
                </c:pt>
                <c:pt idx="94">
                  <c:v>#N/A</c:v>
                </c:pt>
                <c:pt idx="95">
                  <c:v>1</c:v>
                </c:pt>
                <c:pt idx="96">
                  <c:v>3</c:v>
                </c:pt>
                <c:pt idx="97">
                  <c:v>2</c:v>
                </c:pt>
                <c:pt idx="98">
                  <c:v>5</c:v>
                </c:pt>
                <c:pt idx="99">
                  <c:v>#N/A</c:v>
                </c:pt>
                <c:pt idx="100">
                  <c:v>#N/A</c:v>
                </c:pt>
                <c:pt idx="101">
                  <c:v>4</c:v>
                </c:pt>
                <c:pt idx="102">
                  <c:v>5</c:v>
                </c:pt>
                <c:pt idx="103">
                  <c:v>3</c:v>
                </c:pt>
                <c:pt idx="104">
                  <c:v>1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4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1</c:v>
                </c:pt>
                <c:pt idx="114">
                  <c:v>#N/A</c:v>
                </c:pt>
                <c:pt idx="115">
                  <c:v>7</c:v>
                </c:pt>
                <c:pt idx="116">
                  <c:v>8</c:v>
                </c:pt>
                <c:pt idx="117">
                  <c:v>6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4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9</c:v>
                </c:pt>
                <c:pt idx="129">
                  <c:v>3</c:v>
                </c:pt>
                <c:pt idx="130">
                  <c:v>4</c:v>
                </c:pt>
                <c:pt idx="131">
                  <c:v>7</c:v>
                </c:pt>
                <c:pt idx="132">
                  <c:v>7</c:v>
                </c:pt>
                <c:pt idx="133">
                  <c:v>4</c:v>
                </c:pt>
                <c:pt idx="134">
                  <c:v>#N/A</c:v>
                </c:pt>
                <c:pt idx="135">
                  <c:v>3</c:v>
                </c:pt>
                <c:pt idx="136">
                  <c:v>6</c:v>
                </c:pt>
                <c:pt idx="137">
                  <c:v>#N/A</c:v>
                </c:pt>
                <c:pt idx="138">
                  <c:v>#N/A</c:v>
                </c:pt>
                <c:pt idx="139">
                  <c:v>2</c:v>
                </c:pt>
                <c:pt idx="140">
                  <c:v>#N/A</c:v>
                </c:pt>
                <c:pt idx="141">
                  <c:v>#N/A</c:v>
                </c:pt>
                <c:pt idx="142">
                  <c:v>1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9</c:v>
                </c:pt>
                <c:pt idx="149">
                  <c:v>2</c:v>
                </c:pt>
                <c:pt idx="150">
                  <c:v>1</c:v>
                </c:pt>
                <c:pt idx="151">
                  <c:v>#N/A</c:v>
                </c:pt>
                <c:pt idx="152">
                  <c:v>#N/A</c:v>
                </c:pt>
                <c:pt idx="153">
                  <c:v>8</c:v>
                </c:pt>
                <c:pt idx="154">
                  <c:v>#N/A</c:v>
                </c:pt>
                <c:pt idx="155">
                  <c:v>#N/A</c:v>
                </c:pt>
                <c:pt idx="156">
                  <c:v>1</c:v>
                </c:pt>
                <c:pt idx="157">
                  <c:v>#N/A</c:v>
                </c:pt>
                <c:pt idx="158">
                  <c:v>#N/A</c:v>
                </c:pt>
                <c:pt idx="159">
                  <c:v>3</c:v>
                </c:pt>
                <c:pt idx="160">
                  <c:v>#N/A</c:v>
                </c:pt>
                <c:pt idx="161">
                  <c:v>#N/A</c:v>
                </c:pt>
                <c:pt idx="162">
                  <c:v>4</c:v>
                </c:pt>
                <c:pt idx="163">
                  <c:v>#N/A</c:v>
                </c:pt>
                <c:pt idx="164">
                  <c:v>1</c:v>
                </c:pt>
                <c:pt idx="165">
                  <c:v>6</c:v>
                </c:pt>
                <c:pt idx="166">
                  <c:v>1</c:v>
                </c:pt>
                <c:pt idx="167">
                  <c:v>1</c:v>
                </c:pt>
                <c:pt idx="168">
                  <c:v>8</c:v>
                </c:pt>
                <c:pt idx="169">
                  <c:v>4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10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1</c:v>
                </c:pt>
                <c:pt idx="183">
                  <c:v>9</c:v>
                </c:pt>
                <c:pt idx="184">
                  <c:v>1</c:v>
                </c:pt>
                <c:pt idx="185">
                  <c:v>8</c:v>
                </c:pt>
                <c:pt idx="186">
                  <c:v>#N/A</c:v>
                </c:pt>
                <c:pt idx="187">
                  <c:v>#N/A</c:v>
                </c:pt>
                <c:pt idx="188">
                  <c:v>7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1</c:v>
                </c:pt>
                <c:pt idx="194">
                  <c:v>#N/A</c:v>
                </c:pt>
                <c:pt idx="195">
                  <c:v>#N/A</c:v>
                </c:pt>
                <c:pt idx="196">
                  <c:v>8</c:v>
                </c:pt>
                <c:pt idx="197">
                  <c:v>#N/A</c:v>
                </c:pt>
                <c:pt idx="198">
                  <c:v>#N/A</c:v>
                </c:pt>
                <c:pt idx="199">
                  <c:v>1</c:v>
                </c:pt>
                <c:pt idx="200">
                  <c:v>#N/A</c:v>
                </c:pt>
                <c:pt idx="201">
                  <c:v>#N/A</c:v>
                </c:pt>
                <c:pt idx="202">
                  <c:v>10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7</c:v>
                </c:pt>
                <c:pt idx="207">
                  <c:v>7</c:v>
                </c:pt>
                <c:pt idx="208">
                  <c:v>1</c:v>
                </c:pt>
                <c:pt idx="209">
                  <c:v>#N/A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4</c:v>
                </c:pt>
                <c:pt idx="214">
                  <c:v>#N/A</c:v>
                </c:pt>
                <c:pt idx="215">
                  <c:v>#N/A</c:v>
                </c:pt>
                <c:pt idx="216">
                  <c:v>2</c:v>
                </c:pt>
                <c:pt idx="217">
                  <c:v>#N/A</c:v>
                </c:pt>
                <c:pt idx="218">
                  <c:v>3</c:v>
                </c:pt>
                <c:pt idx="219">
                  <c:v>#N/A</c:v>
                </c:pt>
                <c:pt idx="220">
                  <c:v>#N/A</c:v>
                </c:pt>
                <c:pt idx="221">
                  <c:v>1</c:v>
                </c:pt>
                <c:pt idx="222">
                  <c:v>1</c:v>
                </c:pt>
                <c:pt idx="223">
                  <c:v>10</c:v>
                </c:pt>
                <c:pt idx="224">
                  <c:v>#N/A</c:v>
                </c:pt>
                <c:pt idx="225">
                  <c:v>#N/A</c:v>
                </c:pt>
                <c:pt idx="226">
                  <c:v>7</c:v>
                </c:pt>
                <c:pt idx="227">
                  <c:v>#N/A</c:v>
                </c:pt>
                <c:pt idx="228">
                  <c:v>9</c:v>
                </c:pt>
                <c:pt idx="229">
                  <c:v>10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2</c:v>
                </c:pt>
                <c:pt idx="234">
                  <c:v>3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7</c:v>
                </c:pt>
                <c:pt idx="239">
                  <c:v>#N/A</c:v>
                </c:pt>
                <c:pt idx="240">
                  <c:v>4</c:v>
                </c:pt>
                <c:pt idx="241">
                  <c:v>6</c:v>
                </c:pt>
                <c:pt idx="242">
                  <c:v>#N/A</c:v>
                </c:pt>
                <c:pt idx="243">
                  <c:v>2</c:v>
                </c:pt>
                <c:pt idx="244">
                  <c:v>#N/A</c:v>
                </c:pt>
                <c:pt idx="245">
                  <c:v>3</c:v>
                </c:pt>
                <c:pt idx="246">
                  <c:v>8</c:v>
                </c:pt>
                <c:pt idx="247">
                  <c:v>2</c:v>
                </c:pt>
                <c:pt idx="248">
                  <c:v>1</c:v>
                </c:pt>
                <c:pt idx="24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EC-DA4C-BA56-675852F05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355103"/>
        <c:axId val="462081439"/>
      </c:scatterChart>
      <c:valAx>
        <c:axId val="145435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81439"/>
        <c:crosses val="autoZero"/>
        <c:crossBetween val="midCat"/>
      </c:valAx>
      <c:valAx>
        <c:axId val="46208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355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'2.13 Tenure &lt;&gt; MonthlyCharges'!$E$1</c:f>
              <c:strCache>
                <c:ptCount val="1"/>
                <c:pt idx="0">
                  <c:v>No churn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'2.13 Tenure &lt;&gt; MonthlyCharges'!$D$2:$D$251</c:f>
              <c:numCache>
                <c:formatCode>General</c:formatCode>
                <c:ptCount val="250"/>
                <c:pt idx="0">
                  <c:v>#N/A</c:v>
                </c:pt>
                <c:pt idx="1">
                  <c:v>#N/A</c:v>
                </c:pt>
                <c:pt idx="2">
                  <c:v>62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52</c:v>
                </c:pt>
                <c:pt idx="8">
                  <c:v>#N/A</c:v>
                </c:pt>
                <c:pt idx="9">
                  <c:v>70</c:v>
                </c:pt>
                <c:pt idx="10">
                  <c:v>15</c:v>
                </c:pt>
                <c:pt idx="11">
                  <c:v>54</c:v>
                </c:pt>
                <c:pt idx="12">
                  <c:v>60</c:v>
                </c:pt>
                <c:pt idx="13">
                  <c:v>#N/A</c:v>
                </c:pt>
                <c:pt idx="14">
                  <c:v>53</c:v>
                </c:pt>
                <c:pt idx="15">
                  <c:v>#N/A</c:v>
                </c:pt>
                <c:pt idx="16">
                  <c:v>5</c:v>
                </c:pt>
                <c:pt idx="17">
                  <c:v>68</c:v>
                </c:pt>
                <c:pt idx="18">
                  <c:v>#N/A</c:v>
                </c:pt>
                <c:pt idx="19">
                  <c:v>#N/A</c:v>
                </c:pt>
                <c:pt idx="20">
                  <c:v>55</c:v>
                </c:pt>
                <c:pt idx="21">
                  <c:v>#N/A</c:v>
                </c:pt>
                <c:pt idx="22">
                  <c:v>#N/A</c:v>
                </c:pt>
                <c:pt idx="23">
                  <c:v>16</c:v>
                </c:pt>
                <c:pt idx="24">
                  <c:v>13</c:v>
                </c:pt>
                <c:pt idx="25">
                  <c:v>30</c:v>
                </c:pt>
                <c:pt idx="26">
                  <c:v>19</c:v>
                </c:pt>
                <c:pt idx="27">
                  <c:v>17</c:v>
                </c:pt>
                <c:pt idx="28">
                  <c:v>63</c:v>
                </c:pt>
                <c:pt idx="29">
                  <c:v>#N/A</c:v>
                </c:pt>
                <c:pt idx="30">
                  <c:v>#N/A</c:v>
                </c:pt>
                <c:pt idx="31">
                  <c:v>55</c:v>
                </c:pt>
                <c:pt idx="32">
                  <c:v>62</c:v>
                </c:pt>
                <c:pt idx="33">
                  <c:v>#N/A</c:v>
                </c:pt>
                <c:pt idx="34">
                  <c:v>#N/A</c:v>
                </c:pt>
                <c:pt idx="35">
                  <c:v>12</c:v>
                </c:pt>
                <c:pt idx="36">
                  <c:v>1</c:v>
                </c:pt>
                <c:pt idx="37">
                  <c:v>58</c:v>
                </c:pt>
                <c:pt idx="38">
                  <c:v>#N/A</c:v>
                </c:pt>
                <c:pt idx="39">
                  <c:v>34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61</c:v>
                </c:pt>
                <c:pt idx="44">
                  <c:v>#N/A</c:v>
                </c:pt>
                <c:pt idx="45">
                  <c:v>63</c:v>
                </c:pt>
                <c:pt idx="46">
                  <c:v>69</c:v>
                </c:pt>
                <c:pt idx="47">
                  <c:v>#N/A</c:v>
                </c:pt>
                <c:pt idx="48">
                  <c:v>67</c:v>
                </c:pt>
                <c:pt idx="49">
                  <c:v>#N/A</c:v>
                </c:pt>
                <c:pt idx="50">
                  <c:v>16</c:v>
                </c:pt>
                <c:pt idx="51">
                  <c:v>51</c:v>
                </c:pt>
                <c:pt idx="52">
                  <c:v>57</c:v>
                </c:pt>
                <c:pt idx="53">
                  <c:v>29</c:v>
                </c:pt>
                <c:pt idx="54">
                  <c:v>#N/A</c:v>
                </c:pt>
                <c:pt idx="55">
                  <c:v>#N/A</c:v>
                </c:pt>
                <c:pt idx="56">
                  <c:v>62</c:v>
                </c:pt>
                <c:pt idx="57">
                  <c:v>69</c:v>
                </c:pt>
                <c:pt idx="58">
                  <c:v>#N/A</c:v>
                </c:pt>
                <c:pt idx="59">
                  <c:v>48</c:v>
                </c:pt>
                <c:pt idx="60">
                  <c:v>#N/A</c:v>
                </c:pt>
                <c:pt idx="61">
                  <c:v>33</c:v>
                </c:pt>
                <c:pt idx="62">
                  <c:v>#N/A</c:v>
                </c:pt>
                <c:pt idx="63">
                  <c:v>10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19</c:v>
                </c:pt>
                <c:pt idx="69">
                  <c:v>#N/A</c:v>
                </c:pt>
                <c:pt idx="70">
                  <c:v>1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32</c:v>
                </c:pt>
                <c:pt idx="77">
                  <c:v>24</c:v>
                </c:pt>
                <c:pt idx="78">
                  <c:v>#N/A</c:v>
                </c:pt>
                <c:pt idx="79">
                  <c:v>50</c:v>
                </c:pt>
                <c:pt idx="80">
                  <c:v>#N/A</c:v>
                </c:pt>
                <c:pt idx="81">
                  <c:v>#N/A</c:v>
                </c:pt>
                <c:pt idx="82">
                  <c:v>33</c:v>
                </c:pt>
                <c:pt idx="83">
                  <c:v>61</c:v>
                </c:pt>
                <c:pt idx="84">
                  <c:v>51</c:v>
                </c:pt>
                <c:pt idx="85">
                  <c:v>43</c:v>
                </c:pt>
                <c:pt idx="86">
                  <c:v>#N/A</c:v>
                </c:pt>
                <c:pt idx="87">
                  <c:v>67</c:v>
                </c:pt>
                <c:pt idx="88">
                  <c:v>65</c:v>
                </c:pt>
                <c:pt idx="89">
                  <c:v>#N/A</c:v>
                </c:pt>
                <c:pt idx="90">
                  <c:v>40</c:v>
                </c:pt>
                <c:pt idx="91">
                  <c:v>#N/A</c:v>
                </c:pt>
                <c:pt idx="92">
                  <c:v>#N/A</c:v>
                </c:pt>
                <c:pt idx="93">
                  <c:v>29</c:v>
                </c:pt>
                <c:pt idx="94">
                  <c:v>13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8</c:v>
                </c:pt>
                <c:pt idx="100">
                  <c:v>26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29</c:v>
                </c:pt>
                <c:pt idx="106">
                  <c:v>36</c:v>
                </c:pt>
                <c:pt idx="107">
                  <c:v>21</c:v>
                </c:pt>
                <c:pt idx="108">
                  <c:v>#N/A</c:v>
                </c:pt>
                <c:pt idx="109">
                  <c:v>10</c:v>
                </c:pt>
                <c:pt idx="110">
                  <c:v>24</c:v>
                </c:pt>
                <c:pt idx="111">
                  <c:v>64</c:v>
                </c:pt>
                <c:pt idx="112">
                  <c:v>49</c:v>
                </c:pt>
                <c:pt idx="113">
                  <c:v>#N/A</c:v>
                </c:pt>
                <c:pt idx="114">
                  <c:v>24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12</c:v>
                </c:pt>
                <c:pt idx="119">
                  <c:v>55</c:v>
                </c:pt>
                <c:pt idx="120">
                  <c:v>13</c:v>
                </c:pt>
                <c:pt idx="121">
                  <c:v>#N/A</c:v>
                </c:pt>
                <c:pt idx="122">
                  <c:v>30</c:v>
                </c:pt>
                <c:pt idx="123">
                  <c:v>17</c:v>
                </c:pt>
                <c:pt idx="124">
                  <c:v>62</c:v>
                </c:pt>
                <c:pt idx="125">
                  <c:v>13</c:v>
                </c:pt>
                <c:pt idx="126">
                  <c:v>59</c:v>
                </c:pt>
                <c:pt idx="127">
                  <c:v>19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28</c:v>
                </c:pt>
                <c:pt idx="135">
                  <c:v>#N/A</c:v>
                </c:pt>
                <c:pt idx="136">
                  <c:v>#N/A</c:v>
                </c:pt>
                <c:pt idx="137">
                  <c:v>69</c:v>
                </c:pt>
                <c:pt idx="138">
                  <c:v>12</c:v>
                </c:pt>
                <c:pt idx="139">
                  <c:v>#N/A</c:v>
                </c:pt>
                <c:pt idx="140">
                  <c:v>52</c:v>
                </c:pt>
                <c:pt idx="141">
                  <c:v>53</c:v>
                </c:pt>
                <c:pt idx="142">
                  <c:v>#N/A</c:v>
                </c:pt>
                <c:pt idx="143">
                  <c:v>16</c:v>
                </c:pt>
                <c:pt idx="144">
                  <c:v>57</c:v>
                </c:pt>
                <c:pt idx="145">
                  <c:v>39</c:v>
                </c:pt>
                <c:pt idx="146">
                  <c:v>53</c:v>
                </c:pt>
                <c:pt idx="147">
                  <c:v>42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5</c:v>
                </c:pt>
                <c:pt idx="152">
                  <c:v>35</c:v>
                </c:pt>
                <c:pt idx="153">
                  <c:v>#N/A</c:v>
                </c:pt>
                <c:pt idx="154">
                  <c:v>9</c:v>
                </c:pt>
                <c:pt idx="155">
                  <c:v>58</c:v>
                </c:pt>
                <c:pt idx="156">
                  <c:v>#N/A</c:v>
                </c:pt>
                <c:pt idx="157">
                  <c:v>7</c:v>
                </c:pt>
                <c:pt idx="158">
                  <c:v>46</c:v>
                </c:pt>
                <c:pt idx="159">
                  <c:v>#N/A</c:v>
                </c:pt>
                <c:pt idx="160">
                  <c:v>40</c:v>
                </c:pt>
                <c:pt idx="161">
                  <c:v>42</c:v>
                </c:pt>
                <c:pt idx="162">
                  <c:v>#N/A</c:v>
                </c:pt>
                <c:pt idx="163">
                  <c:v>50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8</c:v>
                </c:pt>
                <c:pt idx="171">
                  <c:v>65</c:v>
                </c:pt>
                <c:pt idx="172">
                  <c:v>17</c:v>
                </c:pt>
                <c:pt idx="173">
                  <c:v>71</c:v>
                </c:pt>
                <c:pt idx="174">
                  <c:v>45</c:v>
                </c:pt>
                <c:pt idx="175">
                  <c:v>4</c:v>
                </c:pt>
                <c:pt idx="176">
                  <c:v>#N/A</c:v>
                </c:pt>
                <c:pt idx="177">
                  <c:v>70</c:v>
                </c:pt>
                <c:pt idx="178">
                  <c:v>31</c:v>
                </c:pt>
                <c:pt idx="179">
                  <c:v>19</c:v>
                </c:pt>
                <c:pt idx="180">
                  <c:v>61</c:v>
                </c:pt>
                <c:pt idx="181">
                  <c:v>54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45</c:v>
                </c:pt>
                <c:pt idx="187">
                  <c:v>13</c:v>
                </c:pt>
                <c:pt idx="188">
                  <c:v>#N/A</c:v>
                </c:pt>
                <c:pt idx="189">
                  <c:v>20</c:v>
                </c:pt>
                <c:pt idx="190">
                  <c:v>61</c:v>
                </c:pt>
                <c:pt idx="191">
                  <c:v>39</c:v>
                </c:pt>
                <c:pt idx="192">
                  <c:v>1</c:v>
                </c:pt>
                <c:pt idx="193">
                  <c:v>#N/A</c:v>
                </c:pt>
                <c:pt idx="194">
                  <c:v>62</c:v>
                </c:pt>
                <c:pt idx="195">
                  <c:v>63</c:v>
                </c:pt>
                <c:pt idx="196">
                  <c:v>#N/A</c:v>
                </c:pt>
                <c:pt idx="197">
                  <c:v>56</c:v>
                </c:pt>
                <c:pt idx="198">
                  <c:v>33</c:v>
                </c:pt>
                <c:pt idx="199">
                  <c:v>#N/A</c:v>
                </c:pt>
                <c:pt idx="200">
                  <c:v>6</c:v>
                </c:pt>
                <c:pt idx="201">
                  <c:v>58</c:v>
                </c:pt>
                <c:pt idx="202">
                  <c:v>#N/A</c:v>
                </c:pt>
                <c:pt idx="203">
                  <c:v>45</c:v>
                </c:pt>
                <c:pt idx="204">
                  <c:v>32</c:v>
                </c:pt>
                <c:pt idx="205">
                  <c:v>45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36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47</c:v>
                </c:pt>
                <c:pt idx="215">
                  <c:v>49</c:v>
                </c:pt>
                <c:pt idx="216">
                  <c:v>#N/A</c:v>
                </c:pt>
                <c:pt idx="217">
                  <c:v>15</c:v>
                </c:pt>
                <c:pt idx="218">
                  <c:v>#N/A</c:v>
                </c:pt>
                <c:pt idx="219">
                  <c:v>1</c:v>
                </c:pt>
                <c:pt idx="220">
                  <c:v>54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12</c:v>
                </c:pt>
                <c:pt idx="225">
                  <c:v>16</c:v>
                </c:pt>
                <c:pt idx="226">
                  <c:v>#N/A</c:v>
                </c:pt>
                <c:pt idx="227">
                  <c:v>28</c:v>
                </c:pt>
                <c:pt idx="228">
                  <c:v>#N/A</c:v>
                </c:pt>
                <c:pt idx="229">
                  <c:v>#N/A</c:v>
                </c:pt>
                <c:pt idx="230">
                  <c:v>8</c:v>
                </c:pt>
                <c:pt idx="231">
                  <c:v>58</c:v>
                </c:pt>
                <c:pt idx="232">
                  <c:v>60</c:v>
                </c:pt>
                <c:pt idx="233">
                  <c:v>#N/A</c:v>
                </c:pt>
                <c:pt idx="234">
                  <c:v>#N/A</c:v>
                </c:pt>
                <c:pt idx="235">
                  <c:v>41</c:v>
                </c:pt>
                <c:pt idx="236">
                  <c:v>64</c:v>
                </c:pt>
                <c:pt idx="237">
                  <c:v>27</c:v>
                </c:pt>
                <c:pt idx="238">
                  <c:v>#N/A</c:v>
                </c:pt>
                <c:pt idx="239">
                  <c:v>17</c:v>
                </c:pt>
                <c:pt idx="240">
                  <c:v>#N/A</c:v>
                </c:pt>
                <c:pt idx="241">
                  <c:v>#N/A</c:v>
                </c:pt>
                <c:pt idx="242">
                  <c:v>13</c:v>
                </c:pt>
                <c:pt idx="243">
                  <c:v>#N/A</c:v>
                </c:pt>
                <c:pt idx="244">
                  <c:v>35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66</c:v>
                </c:pt>
              </c:numCache>
            </c:numRef>
          </c:xVal>
          <c:yVal>
            <c:numRef>
              <c:f>'2.13 Tenure &lt;&gt; MonthlyCharges'!$E$2:$E$251</c:f>
              <c:numCache>
                <c:formatCode>General</c:formatCode>
                <c:ptCount val="250"/>
                <c:pt idx="0">
                  <c:v>#N/A</c:v>
                </c:pt>
                <c:pt idx="1">
                  <c:v>#N/A</c:v>
                </c:pt>
                <c:pt idx="2">
                  <c:v>75.16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118.53</c:v>
                </c:pt>
                <c:pt idx="8">
                  <c:v>#N/A</c:v>
                </c:pt>
                <c:pt idx="9">
                  <c:v>94.96</c:v>
                </c:pt>
                <c:pt idx="10">
                  <c:v>59.3</c:v>
                </c:pt>
                <c:pt idx="11">
                  <c:v>102.92</c:v>
                </c:pt>
                <c:pt idx="12">
                  <c:v>76.91</c:v>
                </c:pt>
                <c:pt idx="13">
                  <c:v>#N/A</c:v>
                </c:pt>
                <c:pt idx="14">
                  <c:v>23.68</c:v>
                </c:pt>
                <c:pt idx="15">
                  <c:v>#N/A</c:v>
                </c:pt>
                <c:pt idx="16">
                  <c:v>21.37</c:v>
                </c:pt>
                <c:pt idx="17">
                  <c:v>27.54</c:v>
                </c:pt>
                <c:pt idx="18">
                  <c:v>#N/A</c:v>
                </c:pt>
                <c:pt idx="19">
                  <c:v>#N/A</c:v>
                </c:pt>
                <c:pt idx="20">
                  <c:v>94.99</c:v>
                </c:pt>
                <c:pt idx="21">
                  <c:v>#N/A</c:v>
                </c:pt>
                <c:pt idx="22">
                  <c:v>#N/A</c:v>
                </c:pt>
                <c:pt idx="23">
                  <c:v>92.61</c:v>
                </c:pt>
                <c:pt idx="24">
                  <c:v>95.71</c:v>
                </c:pt>
                <c:pt idx="25">
                  <c:v>57.79</c:v>
                </c:pt>
                <c:pt idx="26">
                  <c:v>44.11</c:v>
                </c:pt>
                <c:pt idx="27">
                  <c:v>40.5</c:v>
                </c:pt>
                <c:pt idx="28">
                  <c:v>45.14</c:v>
                </c:pt>
                <c:pt idx="29">
                  <c:v>#N/A</c:v>
                </c:pt>
                <c:pt idx="30">
                  <c:v>#N/A</c:v>
                </c:pt>
                <c:pt idx="31">
                  <c:v>107.82</c:v>
                </c:pt>
                <c:pt idx="32">
                  <c:v>95.7</c:v>
                </c:pt>
                <c:pt idx="33">
                  <c:v>#N/A</c:v>
                </c:pt>
                <c:pt idx="34">
                  <c:v>#N/A</c:v>
                </c:pt>
                <c:pt idx="35">
                  <c:v>22.22</c:v>
                </c:pt>
                <c:pt idx="36">
                  <c:v>69.819999999999993</c:v>
                </c:pt>
                <c:pt idx="37">
                  <c:v>67.62</c:v>
                </c:pt>
                <c:pt idx="38">
                  <c:v>#N/A</c:v>
                </c:pt>
                <c:pt idx="39">
                  <c:v>50.78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99.18</c:v>
                </c:pt>
                <c:pt idx="44">
                  <c:v>#N/A</c:v>
                </c:pt>
                <c:pt idx="45">
                  <c:v>68</c:v>
                </c:pt>
                <c:pt idx="46">
                  <c:v>62.05</c:v>
                </c:pt>
                <c:pt idx="47">
                  <c:v>#N/A</c:v>
                </c:pt>
                <c:pt idx="48">
                  <c:v>83.94</c:v>
                </c:pt>
                <c:pt idx="49">
                  <c:v>#N/A</c:v>
                </c:pt>
                <c:pt idx="50">
                  <c:v>110.32</c:v>
                </c:pt>
                <c:pt idx="51">
                  <c:v>81.73</c:v>
                </c:pt>
                <c:pt idx="52">
                  <c:v>118.05</c:v>
                </c:pt>
                <c:pt idx="53">
                  <c:v>80.81</c:v>
                </c:pt>
                <c:pt idx="54">
                  <c:v>#N/A</c:v>
                </c:pt>
                <c:pt idx="55">
                  <c:v>#N/A</c:v>
                </c:pt>
                <c:pt idx="56">
                  <c:v>29.1</c:v>
                </c:pt>
                <c:pt idx="57">
                  <c:v>92.64</c:v>
                </c:pt>
                <c:pt idx="58">
                  <c:v>#N/A</c:v>
                </c:pt>
                <c:pt idx="59">
                  <c:v>65.09</c:v>
                </c:pt>
                <c:pt idx="60">
                  <c:v>#N/A</c:v>
                </c:pt>
                <c:pt idx="61">
                  <c:v>49.8</c:v>
                </c:pt>
                <c:pt idx="62">
                  <c:v>#N/A</c:v>
                </c:pt>
                <c:pt idx="63">
                  <c:v>89.76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26.62</c:v>
                </c:pt>
                <c:pt idx="69">
                  <c:v>#N/A</c:v>
                </c:pt>
                <c:pt idx="70">
                  <c:v>82.08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66.010000000000005</c:v>
                </c:pt>
                <c:pt idx="77">
                  <c:v>78.48</c:v>
                </c:pt>
                <c:pt idx="78">
                  <c:v>#N/A</c:v>
                </c:pt>
                <c:pt idx="79">
                  <c:v>89.77</c:v>
                </c:pt>
                <c:pt idx="80">
                  <c:v>#N/A</c:v>
                </c:pt>
                <c:pt idx="81">
                  <c:v>#N/A</c:v>
                </c:pt>
                <c:pt idx="82">
                  <c:v>61.17</c:v>
                </c:pt>
                <c:pt idx="83">
                  <c:v>107.43</c:v>
                </c:pt>
                <c:pt idx="84">
                  <c:v>71.52</c:v>
                </c:pt>
                <c:pt idx="85">
                  <c:v>117.31</c:v>
                </c:pt>
                <c:pt idx="86">
                  <c:v>#N/A</c:v>
                </c:pt>
                <c:pt idx="87">
                  <c:v>42.38</c:v>
                </c:pt>
                <c:pt idx="88">
                  <c:v>102.18</c:v>
                </c:pt>
                <c:pt idx="89">
                  <c:v>#N/A</c:v>
                </c:pt>
                <c:pt idx="90">
                  <c:v>54.76</c:v>
                </c:pt>
                <c:pt idx="91">
                  <c:v>#N/A</c:v>
                </c:pt>
                <c:pt idx="92">
                  <c:v>#N/A</c:v>
                </c:pt>
                <c:pt idx="93">
                  <c:v>73.44</c:v>
                </c:pt>
                <c:pt idx="94">
                  <c:v>55.6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29.23</c:v>
                </c:pt>
                <c:pt idx="100">
                  <c:v>68.11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20.260000000000002</c:v>
                </c:pt>
                <c:pt idx="106">
                  <c:v>106.83</c:v>
                </c:pt>
                <c:pt idx="107">
                  <c:v>28.45</c:v>
                </c:pt>
                <c:pt idx="108">
                  <c:v>#N/A</c:v>
                </c:pt>
                <c:pt idx="109">
                  <c:v>118.63</c:v>
                </c:pt>
                <c:pt idx="110">
                  <c:v>73.66</c:v>
                </c:pt>
                <c:pt idx="111">
                  <c:v>112.4</c:v>
                </c:pt>
                <c:pt idx="112">
                  <c:v>43.61</c:v>
                </c:pt>
                <c:pt idx="113">
                  <c:v>#N/A</c:v>
                </c:pt>
                <c:pt idx="114">
                  <c:v>73.13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33.31</c:v>
                </c:pt>
                <c:pt idx="119">
                  <c:v>88.72</c:v>
                </c:pt>
                <c:pt idx="120">
                  <c:v>104.44</c:v>
                </c:pt>
                <c:pt idx="121">
                  <c:v>#N/A</c:v>
                </c:pt>
                <c:pt idx="122">
                  <c:v>23.05</c:v>
                </c:pt>
                <c:pt idx="123">
                  <c:v>106.72</c:v>
                </c:pt>
                <c:pt idx="124">
                  <c:v>55.41</c:v>
                </c:pt>
                <c:pt idx="125">
                  <c:v>59.72</c:v>
                </c:pt>
                <c:pt idx="126">
                  <c:v>30.49</c:v>
                </c:pt>
                <c:pt idx="127">
                  <c:v>93.74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54.29</c:v>
                </c:pt>
                <c:pt idx="135">
                  <c:v>#N/A</c:v>
                </c:pt>
                <c:pt idx="136">
                  <c:v>#N/A</c:v>
                </c:pt>
                <c:pt idx="137">
                  <c:v>84.88</c:v>
                </c:pt>
                <c:pt idx="138">
                  <c:v>67.959999999999994</c:v>
                </c:pt>
                <c:pt idx="139">
                  <c:v>#N/A</c:v>
                </c:pt>
                <c:pt idx="140">
                  <c:v>93.68</c:v>
                </c:pt>
                <c:pt idx="141">
                  <c:v>75.77</c:v>
                </c:pt>
                <c:pt idx="142">
                  <c:v>#N/A</c:v>
                </c:pt>
                <c:pt idx="143">
                  <c:v>76.45</c:v>
                </c:pt>
                <c:pt idx="144">
                  <c:v>57.88</c:v>
                </c:pt>
                <c:pt idx="145">
                  <c:v>53.74</c:v>
                </c:pt>
                <c:pt idx="146">
                  <c:v>109.96</c:v>
                </c:pt>
                <c:pt idx="147">
                  <c:v>80.760000000000005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113.37</c:v>
                </c:pt>
                <c:pt idx="152">
                  <c:v>20.75</c:v>
                </c:pt>
                <c:pt idx="153">
                  <c:v>#N/A</c:v>
                </c:pt>
                <c:pt idx="154">
                  <c:v>56.54</c:v>
                </c:pt>
                <c:pt idx="155">
                  <c:v>68.78</c:v>
                </c:pt>
                <c:pt idx="156">
                  <c:v>#N/A</c:v>
                </c:pt>
                <c:pt idx="157">
                  <c:v>28.79</c:v>
                </c:pt>
                <c:pt idx="158">
                  <c:v>100.59</c:v>
                </c:pt>
                <c:pt idx="159">
                  <c:v>#N/A</c:v>
                </c:pt>
                <c:pt idx="160">
                  <c:v>104.23</c:v>
                </c:pt>
                <c:pt idx="161">
                  <c:v>25.16</c:v>
                </c:pt>
                <c:pt idx="162">
                  <c:v>#N/A</c:v>
                </c:pt>
                <c:pt idx="163">
                  <c:v>89.7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69.069999999999993</c:v>
                </c:pt>
                <c:pt idx="171">
                  <c:v>92.29</c:v>
                </c:pt>
                <c:pt idx="172">
                  <c:v>102.09</c:v>
                </c:pt>
                <c:pt idx="173">
                  <c:v>91.85</c:v>
                </c:pt>
                <c:pt idx="174">
                  <c:v>73.5</c:v>
                </c:pt>
                <c:pt idx="175">
                  <c:v>67.66</c:v>
                </c:pt>
                <c:pt idx="176">
                  <c:v>#N/A</c:v>
                </c:pt>
                <c:pt idx="177">
                  <c:v>40.51</c:v>
                </c:pt>
                <c:pt idx="178">
                  <c:v>116.8</c:v>
                </c:pt>
                <c:pt idx="179">
                  <c:v>91.1</c:v>
                </c:pt>
                <c:pt idx="180">
                  <c:v>39.950000000000003</c:v>
                </c:pt>
                <c:pt idx="181">
                  <c:v>93.62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70.61</c:v>
                </c:pt>
                <c:pt idx="187">
                  <c:v>113.2</c:v>
                </c:pt>
                <c:pt idx="188">
                  <c:v>#N/A</c:v>
                </c:pt>
                <c:pt idx="189">
                  <c:v>79.39</c:v>
                </c:pt>
                <c:pt idx="190">
                  <c:v>56.92</c:v>
                </c:pt>
                <c:pt idx="191">
                  <c:v>65.430000000000007</c:v>
                </c:pt>
                <c:pt idx="192">
                  <c:v>74.86</c:v>
                </c:pt>
                <c:pt idx="193">
                  <c:v>#N/A</c:v>
                </c:pt>
                <c:pt idx="194">
                  <c:v>40.17</c:v>
                </c:pt>
                <c:pt idx="195">
                  <c:v>88.46</c:v>
                </c:pt>
                <c:pt idx="196">
                  <c:v>#N/A</c:v>
                </c:pt>
                <c:pt idx="197">
                  <c:v>33.880000000000003</c:v>
                </c:pt>
                <c:pt idx="198">
                  <c:v>20.27</c:v>
                </c:pt>
                <c:pt idx="199">
                  <c:v>#N/A</c:v>
                </c:pt>
                <c:pt idx="200">
                  <c:v>67.319999999999993</c:v>
                </c:pt>
                <c:pt idx="201">
                  <c:v>80.61</c:v>
                </c:pt>
                <c:pt idx="202">
                  <c:v>#N/A</c:v>
                </c:pt>
                <c:pt idx="203">
                  <c:v>30.67</c:v>
                </c:pt>
                <c:pt idx="204">
                  <c:v>105.07</c:v>
                </c:pt>
                <c:pt idx="205">
                  <c:v>94.6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40.5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98.15</c:v>
                </c:pt>
                <c:pt idx="215">
                  <c:v>102.79</c:v>
                </c:pt>
                <c:pt idx="216">
                  <c:v>#N/A</c:v>
                </c:pt>
                <c:pt idx="217">
                  <c:v>99.95</c:v>
                </c:pt>
                <c:pt idx="218">
                  <c:v>#N/A</c:v>
                </c:pt>
                <c:pt idx="219">
                  <c:v>38.64</c:v>
                </c:pt>
                <c:pt idx="220">
                  <c:v>43.57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78.83</c:v>
                </c:pt>
                <c:pt idx="225">
                  <c:v>88.3</c:v>
                </c:pt>
                <c:pt idx="226">
                  <c:v>#N/A</c:v>
                </c:pt>
                <c:pt idx="227">
                  <c:v>91.38</c:v>
                </c:pt>
                <c:pt idx="228">
                  <c:v>#N/A</c:v>
                </c:pt>
                <c:pt idx="229">
                  <c:v>#N/A</c:v>
                </c:pt>
                <c:pt idx="230">
                  <c:v>73.98</c:v>
                </c:pt>
                <c:pt idx="231">
                  <c:v>63.87</c:v>
                </c:pt>
                <c:pt idx="232">
                  <c:v>77.75</c:v>
                </c:pt>
                <c:pt idx="233">
                  <c:v>#N/A</c:v>
                </c:pt>
                <c:pt idx="234">
                  <c:v>#N/A</c:v>
                </c:pt>
                <c:pt idx="235">
                  <c:v>73.19</c:v>
                </c:pt>
                <c:pt idx="236">
                  <c:v>26.66</c:v>
                </c:pt>
                <c:pt idx="237">
                  <c:v>42.9</c:v>
                </c:pt>
                <c:pt idx="238">
                  <c:v>#N/A</c:v>
                </c:pt>
                <c:pt idx="239">
                  <c:v>63.15</c:v>
                </c:pt>
                <c:pt idx="240">
                  <c:v>#N/A</c:v>
                </c:pt>
                <c:pt idx="241">
                  <c:v>#N/A</c:v>
                </c:pt>
                <c:pt idx="242">
                  <c:v>89.37</c:v>
                </c:pt>
                <c:pt idx="243">
                  <c:v>#N/A</c:v>
                </c:pt>
                <c:pt idx="244">
                  <c:v>107.86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95.24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00-F045-B286-0C10496C3DD6}"/>
            </c:ext>
          </c:extLst>
        </c:ser>
        <c:ser>
          <c:idx val="1"/>
          <c:order val="1"/>
          <c:tx>
            <c:strRef>
              <c:f>'2.13 Tenure &lt;&gt; MonthlyCharges'!$G$1</c:f>
              <c:strCache>
                <c:ptCount val="1"/>
                <c:pt idx="0">
                  <c:v>Churn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'2.13 Tenure &lt;&gt; MonthlyCharges'!$F$2:$F$251</c:f>
              <c:numCache>
                <c:formatCode>General</c:formatCode>
                <c:ptCount val="250"/>
                <c:pt idx="0">
                  <c:v>58</c:v>
                </c:pt>
                <c:pt idx="1">
                  <c:v>63</c:v>
                </c:pt>
                <c:pt idx="2">
                  <c:v>#N/A</c:v>
                </c:pt>
                <c:pt idx="3">
                  <c:v>22</c:v>
                </c:pt>
                <c:pt idx="4">
                  <c:v>58</c:v>
                </c:pt>
                <c:pt idx="5">
                  <c:v>58</c:v>
                </c:pt>
                <c:pt idx="6">
                  <c:v>49</c:v>
                </c:pt>
                <c:pt idx="7">
                  <c:v>#N/A</c:v>
                </c:pt>
                <c:pt idx="8">
                  <c:v>42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8</c:v>
                </c:pt>
                <c:pt idx="14">
                  <c:v>#N/A</c:v>
                </c:pt>
                <c:pt idx="15">
                  <c:v>60</c:v>
                </c:pt>
                <c:pt idx="16">
                  <c:v>#N/A</c:v>
                </c:pt>
                <c:pt idx="17">
                  <c:v>#N/A</c:v>
                </c:pt>
                <c:pt idx="18">
                  <c:v>6</c:v>
                </c:pt>
                <c:pt idx="19">
                  <c:v>47</c:v>
                </c:pt>
                <c:pt idx="20">
                  <c:v>#N/A</c:v>
                </c:pt>
                <c:pt idx="21">
                  <c:v>40</c:v>
                </c:pt>
                <c:pt idx="22">
                  <c:v>52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19</c:v>
                </c:pt>
                <c:pt idx="30">
                  <c:v>58</c:v>
                </c:pt>
                <c:pt idx="31">
                  <c:v>#N/A</c:v>
                </c:pt>
                <c:pt idx="32">
                  <c:v>#N/A</c:v>
                </c:pt>
                <c:pt idx="33">
                  <c:v>23</c:v>
                </c:pt>
                <c:pt idx="34">
                  <c:v>9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</c:v>
                </c:pt>
                <c:pt idx="39">
                  <c:v>#N/A</c:v>
                </c:pt>
                <c:pt idx="40">
                  <c:v>48</c:v>
                </c:pt>
                <c:pt idx="41">
                  <c:v>1</c:v>
                </c:pt>
                <c:pt idx="42">
                  <c:v>16</c:v>
                </c:pt>
                <c:pt idx="43">
                  <c:v>#N/A</c:v>
                </c:pt>
                <c:pt idx="44">
                  <c:v>64</c:v>
                </c:pt>
                <c:pt idx="45">
                  <c:v>#N/A</c:v>
                </c:pt>
                <c:pt idx="46">
                  <c:v>#N/A</c:v>
                </c:pt>
                <c:pt idx="47">
                  <c:v>22</c:v>
                </c:pt>
                <c:pt idx="48">
                  <c:v>#N/A</c:v>
                </c:pt>
                <c:pt idx="49">
                  <c:v>26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69</c:v>
                </c:pt>
                <c:pt idx="55">
                  <c:v>47</c:v>
                </c:pt>
                <c:pt idx="56">
                  <c:v>#N/A</c:v>
                </c:pt>
                <c:pt idx="57">
                  <c:v>#N/A</c:v>
                </c:pt>
                <c:pt idx="58">
                  <c:v>16</c:v>
                </c:pt>
                <c:pt idx="59">
                  <c:v>#N/A</c:v>
                </c:pt>
                <c:pt idx="60">
                  <c:v>39</c:v>
                </c:pt>
                <c:pt idx="61">
                  <c:v>#N/A</c:v>
                </c:pt>
                <c:pt idx="62">
                  <c:v>23</c:v>
                </c:pt>
                <c:pt idx="63">
                  <c:v>#N/A</c:v>
                </c:pt>
                <c:pt idx="64">
                  <c:v>69</c:v>
                </c:pt>
                <c:pt idx="65">
                  <c:v>34</c:v>
                </c:pt>
                <c:pt idx="66">
                  <c:v>52</c:v>
                </c:pt>
                <c:pt idx="67">
                  <c:v>10</c:v>
                </c:pt>
                <c:pt idx="68">
                  <c:v>#N/A</c:v>
                </c:pt>
                <c:pt idx="69">
                  <c:v>58</c:v>
                </c:pt>
                <c:pt idx="70">
                  <c:v>#N/A</c:v>
                </c:pt>
                <c:pt idx="71">
                  <c:v>69</c:v>
                </c:pt>
                <c:pt idx="72">
                  <c:v>4</c:v>
                </c:pt>
                <c:pt idx="73">
                  <c:v>16</c:v>
                </c:pt>
                <c:pt idx="74">
                  <c:v>24</c:v>
                </c:pt>
                <c:pt idx="75">
                  <c:v>2</c:v>
                </c:pt>
                <c:pt idx="76">
                  <c:v>#N/A</c:v>
                </c:pt>
                <c:pt idx="77">
                  <c:v>#N/A</c:v>
                </c:pt>
                <c:pt idx="78">
                  <c:v>12</c:v>
                </c:pt>
                <c:pt idx="79">
                  <c:v>#N/A</c:v>
                </c:pt>
                <c:pt idx="80">
                  <c:v>35</c:v>
                </c:pt>
                <c:pt idx="81">
                  <c:v>33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12</c:v>
                </c:pt>
                <c:pt idx="87">
                  <c:v>#N/A</c:v>
                </c:pt>
                <c:pt idx="88">
                  <c:v>#N/A</c:v>
                </c:pt>
                <c:pt idx="89">
                  <c:v>33</c:v>
                </c:pt>
                <c:pt idx="90">
                  <c:v>#N/A</c:v>
                </c:pt>
                <c:pt idx="91">
                  <c:v>43</c:v>
                </c:pt>
                <c:pt idx="92">
                  <c:v>44</c:v>
                </c:pt>
                <c:pt idx="93">
                  <c:v>#N/A</c:v>
                </c:pt>
                <c:pt idx="94">
                  <c:v>#N/A</c:v>
                </c:pt>
                <c:pt idx="95">
                  <c:v>12</c:v>
                </c:pt>
                <c:pt idx="96">
                  <c:v>46</c:v>
                </c:pt>
                <c:pt idx="97">
                  <c:v>2</c:v>
                </c:pt>
                <c:pt idx="98">
                  <c:v>35</c:v>
                </c:pt>
                <c:pt idx="99">
                  <c:v>#N/A</c:v>
                </c:pt>
                <c:pt idx="100">
                  <c:v>#N/A</c:v>
                </c:pt>
                <c:pt idx="101">
                  <c:v>34</c:v>
                </c:pt>
                <c:pt idx="102">
                  <c:v>7</c:v>
                </c:pt>
                <c:pt idx="103">
                  <c:v>68</c:v>
                </c:pt>
                <c:pt idx="104">
                  <c:v>58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36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36</c:v>
                </c:pt>
                <c:pt idx="114">
                  <c:v>#N/A</c:v>
                </c:pt>
                <c:pt idx="115">
                  <c:v>23</c:v>
                </c:pt>
                <c:pt idx="116">
                  <c:v>62</c:v>
                </c:pt>
                <c:pt idx="117">
                  <c:v>37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23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49</c:v>
                </c:pt>
                <c:pt idx="129">
                  <c:v>12</c:v>
                </c:pt>
                <c:pt idx="130">
                  <c:v>61</c:v>
                </c:pt>
                <c:pt idx="131">
                  <c:v>19</c:v>
                </c:pt>
                <c:pt idx="132">
                  <c:v>9</c:v>
                </c:pt>
                <c:pt idx="133">
                  <c:v>71</c:v>
                </c:pt>
                <c:pt idx="134">
                  <c:v>#N/A</c:v>
                </c:pt>
                <c:pt idx="135">
                  <c:v>52</c:v>
                </c:pt>
                <c:pt idx="136">
                  <c:v>16</c:v>
                </c:pt>
                <c:pt idx="137">
                  <c:v>#N/A</c:v>
                </c:pt>
                <c:pt idx="138">
                  <c:v>#N/A</c:v>
                </c:pt>
                <c:pt idx="139">
                  <c:v>25</c:v>
                </c:pt>
                <c:pt idx="140">
                  <c:v>#N/A</c:v>
                </c:pt>
                <c:pt idx="141">
                  <c:v>#N/A</c:v>
                </c:pt>
                <c:pt idx="142">
                  <c:v>23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58</c:v>
                </c:pt>
                <c:pt idx="149">
                  <c:v>39</c:v>
                </c:pt>
                <c:pt idx="150">
                  <c:v>14</c:v>
                </c:pt>
                <c:pt idx="151">
                  <c:v>#N/A</c:v>
                </c:pt>
                <c:pt idx="152">
                  <c:v>#N/A</c:v>
                </c:pt>
                <c:pt idx="153">
                  <c:v>18</c:v>
                </c:pt>
                <c:pt idx="154">
                  <c:v>#N/A</c:v>
                </c:pt>
                <c:pt idx="155">
                  <c:v>#N/A</c:v>
                </c:pt>
                <c:pt idx="156">
                  <c:v>17</c:v>
                </c:pt>
                <c:pt idx="157">
                  <c:v>#N/A</c:v>
                </c:pt>
                <c:pt idx="158">
                  <c:v>#N/A</c:v>
                </c:pt>
                <c:pt idx="159">
                  <c:v>13</c:v>
                </c:pt>
                <c:pt idx="160">
                  <c:v>#N/A</c:v>
                </c:pt>
                <c:pt idx="161">
                  <c:v>#N/A</c:v>
                </c:pt>
                <c:pt idx="162">
                  <c:v>9</c:v>
                </c:pt>
                <c:pt idx="163">
                  <c:v>#N/A</c:v>
                </c:pt>
                <c:pt idx="164">
                  <c:v>27</c:v>
                </c:pt>
                <c:pt idx="165">
                  <c:v>66</c:v>
                </c:pt>
                <c:pt idx="166">
                  <c:v>5</c:v>
                </c:pt>
                <c:pt idx="167">
                  <c:v>29</c:v>
                </c:pt>
                <c:pt idx="168">
                  <c:v>37</c:v>
                </c:pt>
                <c:pt idx="169">
                  <c:v>38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36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39</c:v>
                </c:pt>
                <c:pt idx="183">
                  <c:v>19</c:v>
                </c:pt>
                <c:pt idx="184">
                  <c:v>39</c:v>
                </c:pt>
                <c:pt idx="185">
                  <c:v>67</c:v>
                </c:pt>
                <c:pt idx="186">
                  <c:v>#N/A</c:v>
                </c:pt>
                <c:pt idx="187">
                  <c:v>#N/A</c:v>
                </c:pt>
                <c:pt idx="188">
                  <c:v>58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3</c:v>
                </c:pt>
                <c:pt idx="194">
                  <c:v>#N/A</c:v>
                </c:pt>
                <c:pt idx="195">
                  <c:v>#N/A</c:v>
                </c:pt>
                <c:pt idx="196">
                  <c:v>25</c:v>
                </c:pt>
                <c:pt idx="197">
                  <c:v>#N/A</c:v>
                </c:pt>
                <c:pt idx="198">
                  <c:v>#N/A</c:v>
                </c:pt>
                <c:pt idx="199">
                  <c:v>38</c:v>
                </c:pt>
                <c:pt idx="200">
                  <c:v>#N/A</c:v>
                </c:pt>
                <c:pt idx="201">
                  <c:v>#N/A</c:v>
                </c:pt>
                <c:pt idx="202">
                  <c:v>44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61</c:v>
                </c:pt>
                <c:pt idx="207">
                  <c:v>47</c:v>
                </c:pt>
                <c:pt idx="208">
                  <c:v>21</c:v>
                </c:pt>
                <c:pt idx="209">
                  <c:v>#N/A</c:v>
                </c:pt>
                <c:pt idx="210">
                  <c:v>19</c:v>
                </c:pt>
                <c:pt idx="211">
                  <c:v>20</c:v>
                </c:pt>
                <c:pt idx="212">
                  <c:v>57</c:v>
                </c:pt>
                <c:pt idx="213">
                  <c:v>18</c:v>
                </c:pt>
                <c:pt idx="214">
                  <c:v>#N/A</c:v>
                </c:pt>
                <c:pt idx="215">
                  <c:v>#N/A</c:v>
                </c:pt>
                <c:pt idx="216">
                  <c:v>14</c:v>
                </c:pt>
                <c:pt idx="217">
                  <c:v>#N/A</c:v>
                </c:pt>
                <c:pt idx="218">
                  <c:v>31</c:v>
                </c:pt>
                <c:pt idx="219">
                  <c:v>#N/A</c:v>
                </c:pt>
                <c:pt idx="220">
                  <c:v>#N/A</c:v>
                </c:pt>
                <c:pt idx="221">
                  <c:v>3</c:v>
                </c:pt>
                <c:pt idx="222">
                  <c:v>16</c:v>
                </c:pt>
                <c:pt idx="223">
                  <c:v>57</c:v>
                </c:pt>
                <c:pt idx="224">
                  <c:v>#N/A</c:v>
                </c:pt>
                <c:pt idx="225">
                  <c:v>#N/A</c:v>
                </c:pt>
                <c:pt idx="226">
                  <c:v>24</c:v>
                </c:pt>
                <c:pt idx="227">
                  <c:v>#N/A</c:v>
                </c:pt>
                <c:pt idx="228">
                  <c:v>8</c:v>
                </c:pt>
                <c:pt idx="229">
                  <c:v>36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50</c:v>
                </c:pt>
                <c:pt idx="234">
                  <c:v>28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63</c:v>
                </c:pt>
                <c:pt idx="239">
                  <c:v>#N/A</c:v>
                </c:pt>
                <c:pt idx="240">
                  <c:v>33</c:v>
                </c:pt>
                <c:pt idx="241">
                  <c:v>29</c:v>
                </c:pt>
                <c:pt idx="242">
                  <c:v>#N/A</c:v>
                </c:pt>
                <c:pt idx="243">
                  <c:v>46</c:v>
                </c:pt>
                <c:pt idx="244">
                  <c:v>#N/A</c:v>
                </c:pt>
                <c:pt idx="245">
                  <c:v>6</c:v>
                </c:pt>
                <c:pt idx="246">
                  <c:v>69</c:v>
                </c:pt>
                <c:pt idx="247">
                  <c:v>47</c:v>
                </c:pt>
                <c:pt idx="248">
                  <c:v>25</c:v>
                </c:pt>
                <c:pt idx="249">
                  <c:v>#N/A</c:v>
                </c:pt>
              </c:numCache>
            </c:numRef>
          </c:xVal>
          <c:yVal>
            <c:numRef>
              <c:f>'2.13 Tenure &lt;&gt; MonthlyCharges'!$G$2:$G$251</c:f>
              <c:numCache>
                <c:formatCode>General</c:formatCode>
                <c:ptCount val="250"/>
                <c:pt idx="0">
                  <c:v>28.27</c:v>
                </c:pt>
                <c:pt idx="1">
                  <c:v>107.67</c:v>
                </c:pt>
                <c:pt idx="2">
                  <c:v>#N/A</c:v>
                </c:pt>
                <c:pt idx="3">
                  <c:v>36.479999999999997</c:v>
                </c:pt>
                <c:pt idx="4">
                  <c:v>61.13</c:v>
                </c:pt>
                <c:pt idx="5">
                  <c:v>97.76</c:v>
                </c:pt>
                <c:pt idx="6">
                  <c:v>68.040000000000006</c:v>
                </c:pt>
                <c:pt idx="7">
                  <c:v>#N/A</c:v>
                </c:pt>
                <c:pt idx="8">
                  <c:v>57.67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26.35</c:v>
                </c:pt>
                <c:pt idx="14">
                  <c:v>#N/A</c:v>
                </c:pt>
                <c:pt idx="15">
                  <c:v>33.39</c:v>
                </c:pt>
                <c:pt idx="16">
                  <c:v>#N/A</c:v>
                </c:pt>
                <c:pt idx="17">
                  <c:v>#N/A</c:v>
                </c:pt>
                <c:pt idx="18">
                  <c:v>89.17</c:v>
                </c:pt>
                <c:pt idx="19">
                  <c:v>73.430000000000007</c:v>
                </c:pt>
                <c:pt idx="20">
                  <c:v>#N/A</c:v>
                </c:pt>
                <c:pt idx="21">
                  <c:v>111.32</c:v>
                </c:pt>
                <c:pt idx="22">
                  <c:v>78.510000000000005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47.47</c:v>
                </c:pt>
                <c:pt idx="30">
                  <c:v>40.72</c:v>
                </c:pt>
                <c:pt idx="31">
                  <c:v>#N/A</c:v>
                </c:pt>
                <c:pt idx="32">
                  <c:v>#N/A</c:v>
                </c:pt>
                <c:pt idx="33">
                  <c:v>24.69</c:v>
                </c:pt>
                <c:pt idx="34">
                  <c:v>46.87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103.14</c:v>
                </c:pt>
                <c:pt idx="39">
                  <c:v>#N/A</c:v>
                </c:pt>
                <c:pt idx="40">
                  <c:v>101.64</c:v>
                </c:pt>
                <c:pt idx="41">
                  <c:v>116.8</c:v>
                </c:pt>
                <c:pt idx="42">
                  <c:v>28.84</c:v>
                </c:pt>
                <c:pt idx="43">
                  <c:v>#N/A</c:v>
                </c:pt>
                <c:pt idx="44">
                  <c:v>79</c:v>
                </c:pt>
                <c:pt idx="45">
                  <c:v>#N/A</c:v>
                </c:pt>
                <c:pt idx="46">
                  <c:v>#N/A</c:v>
                </c:pt>
                <c:pt idx="47">
                  <c:v>98.47</c:v>
                </c:pt>
                <c:pt idx="48">
                  <c:v>#N/A</c:v>
                </c:pt>
                <c:pt idx="49">
                  <c:v>100.5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83.66</c:v>
                </c:pt>
                <c:pt idx="55">
                  <c:v>75.48</c:v>
                </c:pt>
                <c:pt idx="56">
                  <c:v>#N/A</c:v>
                </c:pt>
                <c:pt idx="57">
                  <c:v>#N/A</c:v>
                </c:pt>
                <c:pt idx="58">
                  <c:v>74.739999999999995</c:v>
                </c:pt>
                <c:pt idx="59">
                  <c:v>#N/A</c:v>
                </c:pt>
                <c:pt idx="60">
                  <c:v>111.05</c:v>
                </c:pt>
                <c:pt idx="61">
                  <c:v>#N/A</c:v>
                </c:pt>
                <c:pt idx="62">
                  <c:v>72.36</c:v>
                </c:pt>
                <c:pt idx="63">
                  <c:v>#N/A</c:v>
                </c:pt>
                <c:pt idx="64">
                  <c:v>99.65</c:v>
                </c:pt>
                <c:pt idx="65">
                  <c:v>65.930000000000007</c:v>
                </c:pt>
                <c:pt idx="66">
                  <c:v>104.21</c:v>
                </c:pt>
                <c:pt idx="67">
                  <c:v>96.89</c:v>
                </c:pt>
                <c:pt idx="68">
                  <c:v>#N/A</c:v>
                </c:pt>
                <c:pt idx="69">
                  <c:v>24.59</c:v>
                </c:pt>
                <c:pt idx="70">
                  <c:v>#N/A</c:v>
                </c:pt>
                <c:pt idx="71">
                  <c:v>54.74</c:v>
                </c:pt>
                <c:pt idx="72">
                  <c:v>40.909999999999997</c:v>
                </c:pt>
                <c:pt idx="73">
                  <c:v>77.959999999999994</c:v>
                </c:pt>
                <c:pt idx="74">
                  <c:v>54.16</c:v>
                </c:pt>
                <c:pt idx="75">
                  <c:v>73.73</c:v>
                </c:pt>
                <c:pt idx="76">
                  <c:v>#N/A</c:v>
                </c:pt>
                <c:pt idx="77">
                  <c:v>#N/A</c:v>
                </c:pt>
                <c:pt idx="78">
                  <c:v>60.03</c:v>
                </c:pt>
                <c:pt idx="79">
                  <c:v>#N/A</c:v>
                </c:pt>
                <c:pt idx="80">
                  <c:v>38.01</c:v>
                </c:pt>
                <c:pt idx="81">
                  <c:v>89.65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80.19</c:v>
                </c:pt>
                <c:pt idx="87">
                  <c:v>#N/A</c:v>
                </c:pt>
                <c:pt idx="88">
                  <c:v>#N/A</c:v>
                </c:pt>
                <c:pt idx="89">
                  <c:v>54.51</c:v>
                </c:pt>
                <c:pt idx="90">
                  <c:v>#N/A</c:v>
                </c:pt>
                <c:pt idx="91">
                  <c:v>23.18</c:v>
                </c:pt>
                <c:pt idx="92">
                  <c:v>74.87</c:v>
                </c:pt>
                <c:pt idx="93">
                  <c:v>#N/A</c:v>
                </c:pt>
                <c:pt idx="94">
                  <c:v>#N/A</c:v>
                </c:pt>
                <c:pt idx="95">
                  <c:v>109.42</c:v>
                </c:pt>
                <c:pt idx="96">
                  <c:v>32.869999999999997</c:v>
                </c:pt>
                <c:pt idx="97">
                  <c:v>53.01</c:v>
                </c:pt>
                <c:pt idx="98">
                  <c:v>52.16</c:v>
                </c:pt>
                <c:pt idx="99">
                  <c:v>#N/A</c:v>
                </c:pt>
                <c:pt idx="100">
                  <c:v>#N/A</c:v>
                </c:pt>
                <c:pt idx="101">
                  <c:v>88.78</c:v>
                </c:pt>
                <c:pt idx="102">
                  <c:v>71.17</c:v>
                </c:pt>
                <c:pt idx="103">
                  <c:v>35.700000000000003</c:v>
                </c:pt>
                <c:pt idx="104">
                  <c:v>57.73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79.73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96</c:v>
                </c:pt>
                <c:pt idx="114">
                  <c:v>#N/A</c:v>
                </c:pt>
                <c:pt idx="115">
                  <c:v>92.05</c:v>
                </c:pt>
                <c:pt idx="116">
                  <c:v>26.23</c:v>
                </c:pt>
                <c:pt idx="117">
                  <c:v>34.770000000000003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94.96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38.229999999999997</c:v>
                </c:pt>
                <c:pt idx="129">
                  <c:v>76.400000000000006</c:v>
                </c:pt>
                <c:pt idx="130">
                  <c:v>104.07</c:v>
                </c:pt>
                <c:pt idx="131">
                  <c:v>28.92</c:v>
                </c:pt>
                <c:pt idx="132">
                  <c:v>73.53</c:v>
                </c:pt>
                <c:pt idx="133">
                  <c:v>43.32</c:v>
                </c:pt>
                <c:pt idx="134">
                  <c:v>#N/A</c:v>
                </c:pt>
                <c:pt idx="135">
                  <c:v>67.400000000000006</c:v>
                </c:pt>
                <c:pt idx="136">
                  <c:v>55.51</c:v>
                </c:pt>
                <c:pt idx="137">
                  <c:v>#N/A</c:v>
                </c:pt>
                <c:pt idx="138">
                  <c:v>#N/A</c:v>
                </c:pt>
                <c:pt idx="139">
                  <c:v>78.42</c:v>
                </c:pt>
                <c:pt idx="140">
                  <c:v>#N/A</c:v>
                </c:pt>
                <c:pt idx="141">
                  <c:v>#N/A</c:v>
                </c:pt>
                <c:pt idx="142">
                  <c:v>78.650000000000006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44.44</c:v>
                </c:pt>
                <c:pt idx="149">
                  <c:v>69.819999999999993</c:v>
                </c:pt>
                <c:pt idx="150">
                  <c:v>53.03</c:v>
                </c:pt>
                <c:pt idx="151">
                  <c:v>#N/A</c:v>
                </c:pt>
                <c:pt idx="152">
                  <c:v>#N/A</c:v>
                </c:pt>
                <c:pt idx="153">
                  <c:v>42.53</c:v>
                </c:pt>
                <c:pt idx="154">
                  <c:v>#N/A</c:v>
                </c:pt>
                <c:pt idx="155">
                  <c:v>#N/A</c:v>
                </c:pt>
                <c:pt idx="156">
                  <c:v>105.08</c:v>
                </c:pt>
                <c:pt idx="157">
                  <c:v>#N/A</c:v>
                </c:pt>
                <c:pt idx="158">
                  <c:v>#N/A</c:v>
                </c:pt>
                <c:pt idx="159">
                  <c:v>25.57</c:v>
                </c:pt>
                <c:pt idx="160">
                  <c:v>#N/A</c:v>
                </c:pt>
                <c:pt idx="161">
                  <c:v>#N/A</c:v>
                </c:pt>
                <c:pt idx="162">
                  <c:v>21.82</c:v>
                </c:pt>
                <c:pt idx="163">
                  <c:v>#N/A</c:v>
                </c:pt>
                <c:pt idx="164">
                  <c:v>119.73</c:v>
                </c:pt>
                <c:pt idx="165">
                  <c:v>109.66</c:v>
                </c:pt>
                <c:pt idx="166">
                  <c:v>77.599999999999994</c:v>
                </c:pt>
                <c:pt idx="167">
                  <c:v>111.74</c:v>
                </c:pt>
                <c:pt idx="168">
                  <c:v>20.53</c:v>
                </c:pt>
                <c:pt idx="169">
                  <c:v>117.51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103.86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72.98</c:v>
                </c:pt>
                <c:pt idx="183">
                  <c:v>90.72</c:v>
                </c:pt>
                <c:pt idx="184">
                  <c:v>96.78</c:v>
                </c:pt>
                <c:pt idx="185">
                  <c:v>28.73</c:v>
                </c:pt>
                <c:pt idx="186">
                  <c:v>#N/A</c:v>
                </c:pt>
                <c:pt idx="187">
                  <c:v>#N/A</c:v>
                </c:pt>
                <c:pt idx="188">
                  <c:v>52.06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74.89</c:v>
                </c:pt>
                <c:pt idx="194">
                  <c:v>#N/A</c:v>
                </c:pt>
                <c:pt idx="195">
                  <c:v>#N/A</c:v>
                </c:pt>
                <c:pt idx="196">
                  <c:v>28.79</c:v>
                </c:pt>
                <c:pt idx="197">
                  <c:v>#N/A</c:v>
                </c:pt>
                <c:pt idx="198">
                  <c:v>#N/A</c:v>
                </c:pt>
                <c:pt idx="199">
                  <c:v>31.67</c:v>
                </c:pt>
                <c:pt idx="200">
                  <c:v>#N/A</c:v>
                </c:pt>
                <c:pt idx="201">
                  <c:v>#N/A</c:v>
                </c:pt>
                <c:pt idx="202">
                  <c:v>99.43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60.85</c:v>
                </c:pt>
                <c:pt idx="207">
                  <c:v>113.29</c:v>
                </c:pt>
                <c:pt idx="208">
                  <c:v>119.09</c:v>
                </c:pt>
                <c:pt idx="209">
                  <c:v>#N/A</c:v>
                </c:pt>
                <c:pt idx="210">
                  <c:v>57.92</c:v>
                </c:pt>
                <c:pt idx="211">
                  <c:v>112.64</c:v>
                </c:pt>
                <c:pt idx="212">
                  <c:v>92.16</c:v>
                </c:pt>
                <c:pt idx="213">
                  <c:v>24.81</c:v>
                </c:pt>
                <c:pt idx="214">
                  <c:v>#N/A</c:v>
                </c:pt>
                <c:pt idx="215">
                  <c:v>#N/A</c:v>
                </c:pt>
                <c:pt idx="216">
                  <c:v>95.05</c:v>
                </c:pt>
                <c:pt idx="217">
                  <c:v>#N/A</c:v>
                </c:pt>
                <c:pt idx="218">
                  <c:v>102.51</c:v>
                </c:pt>
                <c:pt idx="219">
                  <c:v>#N/A</c:v>
                </c:pt>
                <c:pt idx="220">
                  <c:v>#N/A</c:v>
                </c:pt>
                <c:pt idx="221">
                  <c:v>83.38</c:v>
                </c:pt>
                <c:pt idx="222">
                  <c:v>110.79</c:v>
                </c:pt>
                <c:pt idx="223">
                  <c:v>51.62</c:v>
                </c:pt>
                <c:pt idx="224">
                  <c:v>#N/A</c:v>
                </c:pt>
                <c:pt idx="225">
                  <c:v>#N/A</c:v>
                </c:pt>
                <c:pt idx="226">
                  <c:v>65.19</c:v>
                </c:pt>
                <c:pt idx="227">
                  <c:v>#N/A</c:v>
                </c:pt>
                <c:pt idx="228">
                  <c:v>109.97</c:v>
                </c:pt>
                <c:pt idx="229">
                  <c:v>82.41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55.54</c:v>
                </c:pt>
                <c:pt idx="234">
                  <c:v>59.15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74.28</c:v>
                </c:pt>
                <c:pt idx="239">
                  <c:v>#N/A</c:v>
                </c:pt>
                <c:pt idx="240">
                  <c:v>53.28</c:v>
                </c:pt>
                <c:pt idx="241">
                  <c:v>93.05</c:v>
                </c:pt>
                <c:pt idx="242">
                  <c:v>#N/A</c:v>
                </c:pt>
                <c:pt idx="243">
                  <c:v>36.67</c:v>
                </c:pt>
                <c:pt idx="244">
                  <c:v>#N/A</c:v>
                </c:pt>
                <c:pt idx="245">
                  <c:v>69.540000000000006</c:v>
                </c:pt>
                <c:pt idx="246">
                  <c:v>94.15</c:v>
                </c:pt>
                <c:pt idx="247">
                  <c:v>77.319999999999993</c:v>
                </c:pt>
                <c:pt idx="248">
                  <c:v>119.77</c:v>
                </c:pt>
                <c:pt idx="24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00-F045-B286-0C10496C3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081247"/>
        <c:axId val="375124927"/>
      </c:scatterChart>
      <c:valAx>
        <c:axId val="39508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Tenure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124927"/>
        <c:crosses val="autoZero"/>
        <c:crossBetween val="midCat"/>
      </c:valAx>
      <c:valAx>
        <c:axId val="37512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081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Sat vs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'2.14 Age &lt;&gt; SatisfactionScore'!$E$1</c:f>
              <c:strCache>
                <c:ptCount val="1"/>
                <c:pt idx="0">
                  <c:v>No churn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'2.14 Age &lt;&gt; SatisfactionScore'!$D$2:$D$251</c:f>
              <c:numCache>
                <c:formatCode>General</c:formatCode>
                <c:ptCount val="250"/>
                <c:pt idx="0">
                  <c:v>#N/A</c:v>
                </c:pt>
                <c:pt idx="1">
                  <c:v>#N/A</c:v>
                </c:pt>
                <c:pt idx="2">
                  <c:v>46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56</c:v>
                </c:pt>
                <c:pt idx="8">
                  <c:v>#N/A</c:v>
                </c:pt>
                <c:pt idx="9">
                  <c:v>40</c:v>
                </c:pt>
                <c:pt idx="10">
                  <c:v>28</c:v>
                </c:pt>
                <c:pt idx="11">
                  <c:v>28</c:v>
                </c:pt>
                <c:pt idx="12">
                  <c:v>41</c:v>
                </c:pt>
                <c:pt idx="13">
                  <c:v>#N/A</c:v>
                </c:pt>
                <c:pt idx="14">
                  <c:v>57</c:v>
                </c:pt>
                <c:pt idx="15">
                  <c:v>#N/A</c:v>
                </c:pt>
                <c:pt idx="16">
                  <c:v>20</c:v>
                </c:pt>
                <c:pt idx="17">
                  <c:v>39</c:v>
                </c:pt>
                <c:pt idx="18">
                  <c:v>#N/A</c:v>
                </c:pt>
                <c:pt idx="19">
                  <c:v>#N/A</c:v>
                </c:pt>
                <c:pt idx="20">
                  <c:v>61</c:v>
                </c:pt>
                <c:pt idx="21">
                  <c:v>#N/A</c:v>
                </c:pt>
                <c:pt idx="22">
                  <c:v>#N/A</c:v>
                </c:pt>
                <c:pt idx="23">
                  <c:v>19</c:v>
                </c:pt>
                <c:pt idx="24">
                  <c:v>38</c:v>
                </c:pt>
                <c:pt idx="25">
                  <c:v>50</c:v>
                </c:pt>
                <c:pt idx="26">
                  <c:v>29</c:v>
                </c:pt>
                <c:pt idx="27">
                  <c:v>39</c:v>
                </c:pt>
                <c:pt idx="28">
                  <c:v>61</c:v>
                </c:pt>
                <c:pt idx="29">
                  <c:v>#N/A</c:v>
                </c:pt>
                <c:pt idx="30">
                  <c:v>#N/A</c:v>
                </c:pt>
                <c:pt idx="31">
                  <c:v>44</c:v>
                </c:pt>
                <c:pt idx="32">
                  <c:v>59</c:v>
                </c:pt>
                <c:pt idx="33">
                  <c:v>#N/A</c:v>
                </c:pt>
                <c:pt idx="34">
                  <c:v>#N/A</c:v>
                </c:pt>
                <c:pt idx="35">
                  <c:v>32</c:v>
                </c:pt>
                <c:pt idx="36">
                  <c:v>64</c:v>
                </c:pt>
                <c:pt idx="37">
                  <c:v>68</c:v>
                </c:pt>
                <c:pt idx="38">
                  <c:v>#N/A</c:v>
                </c:pt>
                <c:pt idx="39">
                  <c:v>69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24</c:v>
                </c:pt>
                <c:pt idx="44">
                  <c:v>#N/A</c:v>
                </c:pt>
                <c:pt idx="45">
                  <c:v>26</c:v>
                </c:pt>
                <c:pt idx="46">
                  <c:v>56</c:v>
                </c:pt>
                <c:pt idx="47">
                  <c:v>#N/A</c:v>
                </c:pt>
                <c:pt idx="48">
                  <c:v>21</c:v>
                </c:pt>
                <c:pt idx="49">
                  <c:v>#N/A</c:v>
                </c:pt>
                <c:pt idx="50">
                  <c:v>31</c:v>
                </c:pt>
                <c:pt idx="51">
                  <c:v>67</c:v>
                </c:pt>
                <c:pt idx="52">
                  <c:v>26</c:v>
                </c:pt>
                <c:pt idx="53">
                  <c:v>43</c:v>
                </c:pt>
                <c:pt idx="54">
                  <c:v>#N/A</c:v>
                </c:pt>
                <c:pt idx="55">
                  <c:v>#N/A</c:v>
                </c:pt>
                <c:pt idx="56">
                  <c:v>45</c:v>
                </c:pt>
                <c:pt idx="57">
                  <c:v>64</c:v>
                </c:pt>
                <c:pt idx="58">
                  <c:v>#N/A</c:v>
                </c:pt>
                <c:pt idx="59">
                  <c:v>61</c:v>
                </c:pt>
                <c:pt idx="60">
                  <c:v>#N/A</c:v>
                </c:pt>
                <c:pt idx="61">
                  <c:v>64</c:v>
                </c:pt>
                <c:pt idx="62">
                  <c:v>#N/A</c:v>
                </c:pt>
                <c:pt idx="63">
                  <c:v>31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21</c:v>
                </c:pt>
                <c:pt idx="69">
                  <c:v>#N/A</c:v>
                </c:pt>
                <c:pt idx="70">
                  <c:v>23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61</c:v>
                </c:pt>
                <c:pt idx="77">
                  <c:v>51</c:v>
                </c:pt>
                <c:pt idx="78">
                  <c:v>#N/A</c:v>
                </c:pt>
                <c:pt idx="79">
                  <c:v>53</c:v>
                </c:pt>
                <c:pt idx="80">
                  <c:v>#N/A</c:v>
                </c:pt>
                <c:pt idx="81">
                  <c:v>#N/A</c:v>
                </c:pt>
                <c:pt idx="82">
                  <c:v>65</c:v>
                </c:pt>
                <c:pt idx="83">
                  <c:v>32</c:v>
                </c:pt>
                <c:pt idx="84">
                  <c:v>25</c:v>
                </c:pt>
                <c:pt idx="85">
                  <c:v>31</c:v>
                </c:pt>
                <c:pt idx="86">
                  <c:v>#N/A</c:v>
                </c:pt>
                <c:pt idx="87">
                  <c:v>57</c:v>
                </c:pt>
                <c:pt idx="88">
                  <c:v>38</c:v>
                </c:pt>
                <c:pt idx="89">
                  <c:v>#N/A</c:v>
                </c:pt>
                <c:pt idx="90">
                  <c:v>62</c:v>
                </c:pt>
                <c:pt idx="91">
                  <c:v>#N/A</c:v>
                </c:pt>
                <c:pt idx="92">
                  <c:v>#N/A</c:v>
                </c:pt>
                <c:pt idx="93">
                  <c:v>41</c:v>
                </c:pt>
                <c:pt idx="94">
                  <c:v>43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32</c:v>
                </c:pt>
                <c:pt idx="100">
                  <c:v>62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41</c:v>
                </c:pt>
                <c:pt idx="106">
                  <c:v>18</c:v>
                </c:pt>
                <c:pt idx="107">
                  <c:v>61</c:v>
                </c:pt>
                <c:pt idx="108">
                  <c:v>#N/A</c:v>
                </c:pt>
                <c:pt idx="109">
                  <c:v>41</c:v>
                </c:pt>
                <c:pt idx="110">
                  <c:v>28</c:v>
                </c:pt>
                <c:pt idx="111">
                  <c:v>68</c:v>
                </c:pt>
                <c:pt idx="112">
                  <c:v>34</c:v>
                </c:pt>
                <c:pt idx="113">
                  <c:v>#N/A</c:v>
                </c:pt>
                <c:pt idx="114">
                  <c:v>52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59</c:v>
                </c:pt>
                <c:pt idx="119">
                  <c:v>56</c:v>
                </c:pt>
                <c:pt idx="120">
                  <c:v>58</c:v>
                </c:pt>
                <c:pt idx="121">
                  <c:v>#N/A</c:v>
                </c:pt>
                <c:pt idx="122">
                  <c:v>24</c:v>
                </c:pt>
                <c:pt idx="123">
                  <c:v>26</c:v>
                </c:pt>
                <c:pt idx="124">
                  <c:v>25</c:v>
                </c:pt>
                <c:pt idx="125">
                  <c:v>29</c:v>
                </c:pt>
                <c:pt idx="126">
                  <c:v>51</c:v>
                </c:pt>
                <c:pt idx="127">
                  <c:v>50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57</c:v>
                </c:pt>
                <c:pt idx="135">
                  <c:v>#N/A</c:v>
                </c:pt>
                <c:pt idx="136">
                  <c:v>#N/A</c:v>
                </c:pt>
                <c:pt idx="137">
                  <c:v>52</c:v>
                </c:pt>
                <c:pt idx="138">
                  <c:v>18</c:v>
                </c:pt>
                <c:pt idx="139">
                  <c:v>#N/A</c:v>
                </c:pt>
                <c:pt idx="140">
                  <c:v>54</c:v>
                </c:pt>
                <c:pt idx="141">
                  <c:v>64</c:v>
                </c:pt>
                <c:pt idx="142">
                  <c:v>#N/A</c:v>
                </c:pt>
                <c:pt idx="143">
                  <c:v>20</c:v>
                </c:pt>
                <c:pt idx="144">
                  <c:v>18</c:v>
                </c:pt>
                <c:pt idx="145">
                  <c:v>22</c:v>
                </c:pt>
                <c:pt idx="146">
                  <c:v>43</c:v>
                </c:pt>
                <c:pt idx="147">
                  <c:v>31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32</c:v>
                </c:pt>
                <c:pt idx="152">
                  <c:v>32</c:v>
                </c:pt>
                <c:pt idx="153">
                  <c:v>#N/A</c:v>
                </c:pt>
                <c:pt idx="154">
                  <c:v>59</c:v>
                </c:pt>
                <c:pt idx="155">
                  <c:v>30</c:v>
                </c:pt>
                <c:pt idx="156">
                  <c:v>#N/A</c:v>
                </c:pt>
                <c:pt idx="157">
                  <c:v>49</c:v>
                </c:pt>
                <c:pt idx="158">
                  <c:v>56</c:v>
                </c:pt>
                <c:pt idx="159">
                  <c:v>#N/A</c:v>
                </c:pt>
                <c:pt idx="160">
                  <c:v>69</c:v>
                </c:pt>
                <c:pt idx="161">
                  <c:v>49</c:v>
                </c:pt>
                <c:pt idx="162">
                  <c:v>#N/A</c:v>
                </c:pt>
                <c:pt idx="163">
                  <c:v>47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46</c:v>
                </c:pt>
                <c:pt idx="171">
                  <c:v>53</c:v>
                </c:pt>
                <c:pt idx="172">
                  <c:v>30</c:v>
                </c:pt>
                <c:pt idx="173">
                  <c:v>49</c:v>
                </c:pt>
                <c:pt idx="174">
                  <c:v>24</c:v>
                </c:pt>
                <c:pt idx="175">
                  <c:v>68</c:v>
                </c:pt>
                <c:pt idx="176">
                  <c:v>#N/A</c:v>
                </c:pt>
                <c:pt idx="177">
                  <c:v>45</c:v>
                </c:pt>
                <c:pt idx="178">
                  <c:v>19</c:v>
                </c:pt>
                <c:pt idx="179">
                  <c:v>59</c:v>
                </c:pt>
                <c:pt idx="180">
                  <c:v>62</c:v>
                </c:pt>
                <c:pt idx="181">
                  <c:v>23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37</c:v>
                </c:pt>
                <c:pt idx="187">
                  <c:v>47</c:v>
                </c:pt>
                <c:pt idx="188">
                  <c:v>#N/A</c:v>
                </c:pt>
                <c:pt idx="189">
                  <c:v>45</c:v>
                </c:pt>
                <c:pt idx="190">
                  <c:v>42</c:v>
                </c:pt>
                <c:pt idx="191">
                  <c:v>56</c:v>
                </c:pt>
                <c:pt idx="192">
                  <c:v>50</c:v>
                </c:pt>
                <c:pt idx="193">
                  <c:v>#N/A</c:v>
                </c:pt>
                <c:pt idx="194">
                  <c:v>44</c:v>
                </c:pt>
                <c:pt idx="195">
                  <c:v>69</c:v>
                </c:pt>
                <c:pt idx="196">
                  <c:v>#N/A</c:v>
                </c:pt>
                <c:pt idx="197">
                  <c:v>58</c:v>
                </c:pt>
                <c:pt idx="198">
                  <c:v>20</c:v>
                </c:pt>
                <c:pt idx="199">
                  <c:v>#N/A</c:v>
                </c:pt>
                <c:pt idx="200">
                  <c:v>23</c:v>
                </c:pt>
                <c:pt idx="201">
                  <c:v>25</c:v>
                </c:pt>
                <c:pt idx="202">
                  <c:v>#N/A</c:v>
                </c:pt>
                <c:pt idx="203">
                  <c:v>26</c:v>
                </c:pt>
                <c:pt idx="204">
                  <c:v>54</c:v>
                </c:pt>
                <c:pt idx="205">
                  <c:v>50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41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58</c:v>
                </c:pt>
                <c:pt idx="215">
                  <c:v>69</c:v>
                </c:pt>
                <c:pt idx="216">
                  <c:v>#N/A</c:v>
                </c:pt>
                <c:pt idx="217">
                  <c:v>66</c:v>
                </c:pt>
                <c:pt idx="218">
                  <c:v>#N/A</c:v>
                </c:pt>
                <c:pt idx="219">
                  <c:v>29</c:v>
                </c:pt>
                <c:pt idx="220">
                  <c:v>56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54</c:v>
                </c:pt>
                <c:pt idx="225">
                  <c:v>66</c:v>
                </c:pt>
                <c:pt idx="226">
                  <c:v>#N/A</c:v>
                </c:pt>
                <c:pt idx="227">
                  <c:v>66</c:v>
                </c:pt>
                <c:pt idx="228">
                  <c:v>#N/A</c:v>
                </c:pt>
                <c:pt idx="229">
                  <c:v>#N/A</c:v>
                </c:pt>
                <c:pt idx="230">
                  <c:v>45</c:v>
                </c:pt>
                <c:pt idx="231">
                  <c:v>40</c:v>
                </c:pt>
                <c:pt idx="232">
                  <c:v>54</c:v>
                </c:pt>
                <c:pt idx="233">
                  <c:v>#N/A</c:v>
                </c:pt>
                <c:pt idx="234">
                  <c:v>#N/A</c:v>
                </c:pt>
                <c:pt idx="235">
                  <c:v>18</c:v>
                </c:pt>
                <c:pt idx="236">
                  <c:v>36</c:v>
                </c:pt>
                <c:pt idx="237">
                  <c:v>19</c:v>
                </c:pt>
                <c:pt idx="238">
                  <c:v>#N/A</c:v>
                </c:pt>
                <c:pt idx="239">
                  <c:v>43</c:v>
                </c:pt>
                <c:pt idx="240">
                  <c:v>#N/A</c:v>
                </c:pt>
                <c:pt idx="241">
                  <c:v>#N/A</c:v>
                </c:pt>
                <c:pt idx="242">
                  <c:v>49</c:v>
                </c:pt>
                <c:pt idx="243">
                  <c:v>#N/A</c:v>
                </c:pt>
                <c:pt idx="244">
                  <c:v>28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69</c:v>
                </c:pt>
              </c:numCache>
            </c:numRef>
          </c:xVal>
          <c:yVal>
            <c:numRef>
              <c:f>'2.14 Age &lt;&gt; SatisfactionScore'!$E$2:$E$251</c:f>
              <c:numCache>
                <c:formatCode>General</c:formatCode>
                <c:ptCount val="250"/>
                <c:pt idx="0">
                  <c:v>#N/A</c:v>
                </c:pt>
                <c:pt idx="1">
                  <c:v>#N/A</c:v>
                </c:pt>
                <c:pt idx="2">
                  <c:v>5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2</c:v>
                </c:pt>
                <c:pt idx="8">
                  <c:v>#N/A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6</c:v>
                </c:pt>
                <c:pt idx="13">
                  <c:v>#N/A</c:v>
                </c:pt>
                <c:pt idx="14">
                  <c:v>4</c:v>
                </c:pt>
                <c:pt idx="15">
                  <c:v>#N/A</c:v>
                </c:pt>
                <c:pt idx="16">
                  <c:v>8</c:v>
                </c:pt>
                <c:pt idx="17">
                  <c:v>7</c:v>
                </c:pt>
                <c:pt idx="18">
                  <c:v>#N/A</c:v>
                </c:pt>
                <c:pt idx="19">
                  <c:v>#N/A</c:v>
                </c:pt>
                <c:pt idx="20">
                  <c:v>4</c:v>
                </c:pt>
                <c:pt idx="21">
                  <c:v>#N/A</c:v>
                </c:pt>
                <c:pt idx="22">
                  <c:v>#N/A</c:v>
                </c:pt>
                <c:pt idx="23">
                  <c:v>6</c:v>
                </c:pt>
                <c:pt idx="24">
                  <c:v>5</c:v>
                </c:pt>
                <c:pt idx="25">
                  <c:v>3</c:v>
                </c:pt>
                <c:pt idx="26">
                  <c:v>9</c:v>
                </c:pt>
                <c:pt idx="27">
                  <c:v>5</c:v>
                </c:pt>
                <c:pt idx="28">
                  <c:v>5</c:v>
                </c:pt>
                <c:pt idx="29">
                  <c:v>#N/A</c:v>
                </c:pt>
                <c:pt idx="30">
                  <c:v>#N/A</c:v>
                </c:pt>
                <c:pt idx="31">
                  <c:v>1</c:v>
                </c:pt>
                <c:pt idx="32">
                  <c:v>7</c:v>
                </c:pt>
                <c:pt idx="33">
                  <c:v>#N/A</c:v>
                </c:pt>
                <c:pt idx="34">
                  <c:v>#N/A</c:v>
                </c:pt>
                <c:pt idx="35">
                  <c:v>2</c:v>
                </c:pt>
                <c:pt idx="36">
                  <c:v>3</c:v>
                </c:pt>
                <c:pt idx="37">
                  <c:v>1</c:v>
                </c:pt>
                <c:pt idx="38">
                  <c:v>#N/A</c:v>
                </c:pt>
                <c:pt idx="39">
                  <c:v>7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4</c:v>
                </c:pt>
                <c:pt idx="44">
                  <c:v>#N/A</c:v>
                </c:pt>
                <c:pt idx="45">
                  <c:v>8</c:v>
                </c:pt>
                <c:pt idx="46">
                  <c:v>3</c:v>
                </c:pt>
                <c:pt idx="47">
                  <c:v>#N/A</c:v>
                </c:pt>
                <c:pt idx="48">
                  <c:v>4</c:v>
                </c:pt>
                <c:pt idx="49">
                  <c:v>#N/A</c:v>
                </c:pt>
                <c:pt idx="50">
                  <c:v>9</c:v>
                </c:pt>
                <c:pt idx="51">
                  <c:v>8</c:v>
                </c:pt>
                <c:pt idx="52">
                  <c:v>8</c:v>
                </c:pt>
                <c:pt idx="53">
                  <c:v>10</c:v>
                </c:pt>
                <c:pt idx="54">
                  <c:v>#N/A</c:v>
                </c:pt>
                <c:pt idx="55">
                  <c:v>#N/A</c:v>
                </c:pt>
                <c:pt idx="56">
                  <c:v>6</c:v>
                </c:pt>
                <c:pt idx="57">
                  <c:v>9</c:v>
                </c:pt>
                <c:pt idx="58">
                  <c:v>#N/A</c:v>
                </c:pt>
                <c:pt idx="59">
                  <c:v>3</c:v>
                </c:pt>
                <c:pt idx="60">
                  <c:v>#N/A</c:v>
                </c:pt>
                <c:pt idx="61">
                  <c:v>10</c:v>
                </c:pt>
                <c:pt idx="62">
                  <c:v>#N/A</c:v>
                </c:pt>
                <c:pt idx="63">
                  <c:v>9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9</c:v>
                </c:pt>
                <c:pt idx="69">
                  <c:v>#N/A</c:v>
                </c:pt>
                <c:pt idx="70">
                  <c:v>4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1</c:v>
                </c:pt>
                <c:pt idx="77">
                  <c:v>9</c:v>
                </c:pt>
                <c:pt idx="78">
                  <c:v>#N/A</c:v>
                </c:pt>
                <c:pt idx="79">
                  <c:v>8</c:v>
                </c:pt>
                <c:pt idx="80">
                  <c:v>#N/A</c:v>
                </c:pt>
                <c:pt idx="81">
                  <c:v>#N/A</c:v>
                </c:pt>
                <c:pt idx="82">
                  <c:v>5</c:v>
                </c:pt>
                <c:pt idx="83">
                  <c:v>3</c:v>
                </c:pt>
                <c:pt idx="84">
                  <c:v>9</c:v>
                </c:pt>
                <c:pt idx="85">
                  <c:v>9</c:v>
                </c:pt>
                <c:pt idx="86">
                  <c:v>#N/A</c:v>
                </c:pt>
                <c:pt idx="87">
                  <c:v>4</c:v>
                </c:pt>
                <c:pt idx="88">
                  <c:v>8</c:v>
                </c:pt>
                <c:pt idx="89">
                  <c:v>#N/A</c:v>
                </c:pt>
                <c:pt idx="90">
                  <c:v>9</c:v>
                </c:pt>
                <c:pt idx="91">
                  <c:v>#N/A</c:v>
                </c:pt>
                <c:pt idx="92">
                  <c:v>#N/A</c:v>
                </c:pt>
                <c:pt idx="93">
                  <c:v>8</c:v>
                </c:pt>
                <c:pt idx="94">
                  <c:v>7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5</c:v>
                </c:pt>
                <c:pt idx="100">
                  <c:v>5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5</c:v>
                </c:pt>
                <c:pt idx="106">
                  <c:v>9</c:v>
                </c:pt>
                <c:pt idx="107">
                  <c:v>9</c:v>
                </c:pt>
                <c:pt idx="108">
                  <c:v>#N/A</c:v>
                </c:pt>
                <c:pt idx="109">
                  <c:v>3</c:v>
                </c:pt>
                <c:pt idx="110">
                  <c:v>1</c:v>
                </c:pt>
                <c:pt idx="111">
                  <c:v>2</c:v>
                </c:pt>
                <c:pt idx="112">
                  <c:v>8</c:v>
                </c:pt>
                <c:pt idx="113">
                  <c:v>#N/A</c:v>
                </c:pt>
                <c:pt idx="114">
                  <c:v>8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9</c:v>
                </c:pt>
                <c:pt idx="119">
                  <c:v>3</c:v>
                </c:pt>
                <c:pt idx="120">
                  <c:v>10</c:v>
                </c:pt>
                <c:pt idx="121">
                  <c:v>#N/A</c:v>
                </c:pt>
                <c:pt idx="122">
                  <c:v>6</c:v>
                </c:pt>
                <c:pt idx="123">
                  <c:v>8</c:v>
                </c:pt>
                <c:pt idx="124">
                  <c:v>5</c:v>
                </c:pt>
                <c:pt idx="125">
                  <c:v>3</c:v>
                </c:pt>
                <c:pt idx="126">
                  <c:v>6</c:v>
                </c:pt>
                <c:pt idx="127">
                  <c:v>4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6</c:v>
                </c:pt>
                <c:pt idx="135">
                  <c:v>#N/A</c:v>
                </c:pt>
                <c:pt idx="136">
                  <c:v>#N/A</c:v>
                </c:pt>
                <c:pt idx="137">
                  <c:v>2</c:v>
                </c:pt>
                <c:pt idx="138">
                  <c:v>8</c:v>
                </c:pt>
                <c:pt idx="139">
                  <c:v>#N/A</c:v>
                </c:pt>
                <c:pt idx="140">
                  <c:v>7</c:v>
                </c:pt>
                <c:pt idx="141">
                  <c:v>9</c:v>
                </c:pt>
                <c:pt idx="142">
                  <c:v>#N/A</c:v>
                </c:pt>
                <c:pt idx="143">
                  <c:v>8</c:v>
                </c:pt>
                <c:pt idx="144">
                  <c:v>7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6</c:v>
                </c:pt>
                <c:pt idx="152">
                  <c:v>10</c:v>
                </c:pt>
                <c:pt idx="153">
                  <c:v>#N/A</c:v>
                </c:pt>
                <c:pt idx="154">
                  <c:v>3</c:v>
                </c:pt>
                <c:pt idx="155">
                  <c:v>10</c:v>
                </c:pt>
                <c:pt idx="156">
                  <c:v>#N/A</c:v>
                </c:pt>
                <c:pt idx="157">
                  <c:v>9</c:v>
                </c:pt>
                <c:pt idx="158">
                  <c:v>1</c:v>
                </c:pt>
                <c:pt idx="159">
                  <c:v>#N/A</c:v>
                </c:pt>
                <c:pt idx="160">
                  <c:v>8</c:v>
                </c:pt>
                <c:pt idx="161">
                  <c:v>3</c:v>
                </c:pt>
                <c:pt idx="162">
                  <c:v>#N/A</c:v>
                </c:pt>
                <c:pt idx="163">
                  <c:v>8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1</c:v>
                </c:pt>
                <c:pt idx="171">
                  <c:v>10</c:v>
                </c:pt>
                <c:pt idx="172">
                  <c:v>7</c:v>
                </c:pt>
                <c:pt idx="173">
                  <c:v>5</c:v>
                </c:pt>
                <c:pt idx="174">
                  <c:v>5</c:v>
                </c:pt>
                <c:pt idx="175">
                  <c:v>1</c:v>
                </c:pt>
                <c:pt idx="176">
                  <c:v>#N/A</c:v>
                </c:pt>
                <c:pt idx="177">
                  <c:v>6</c:v>
                </c:pt>
                <c:pt idx="178">
                  <c:v>9</c:v>
                </c:pt>
                <c:pt idx="179">
                  <c:v>9</c:v>
                </c:pt>
                <c:pt idx="180">
                  <c:v>8</c:v>
                </c:pt>
                <c:pt idx="181">
                  <c:v>5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5</c:v>
                </c:pt>
                <c:pt idx="187">
                  <c:v>3</c:v>
                </c:pt>
                <c:pt idx="188">
                  <c:v>#N/A</c:v>
                </c:pt>
                <c:pt idx="189">
                  <c:v>7</c:v>
                </c:pt>
                <c:pt idx="190">
                  <c:v>9</c:v>
                </c:pt>
                <c:pt idx="191">
                  <c:v>7</c:v>
                </c:pt>
                <c:pt idx="192">
                  <c:v>3</c:v>
                </c:pt>
                <c:pt idx="193">
                  <c:v>#N/A</c:v>
                </c:pt>
                <c:pt idx="194">
                  <c:v>8</c:v>
                </c:pt>
                <c:pt idx="195">
                  <c:v>3</c:v>
                </c:pt>
                <c:pt idx="196">
                  <c:v>#N/A</c:v>
                </c:pt>
                <c:pt idx="197">
                  <c:v>8</c:v>
                </c:pt>
                <c:pt idx="198">
                  <c:v>5</c:v>
                </c:pt>
                <c:pt idx="199">
                  <c:v>#N/A</c:v>
                </c:pt>
                <c:pt idx="200">
                  <c:v>10</c:v>
                </c:pt>
                <c:pt idx="201">
                  <c:v>7</c:v>
                </c:pt>
                <c:pt idx="202">
                  <c:v>#N/A</c:v>
                </c:pt>
                <c:pt idx="203">
                  <c:v>5</c:v>
                </c:pt>
                <c:pt idx="204">
                  <c:v>8</c:v>
                </c:pt>
                <c:pt idx="205">
                  <c:v>9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4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1</c:v>
                </c:pt>
                <c:pt idx="215">
                  <c:v>4</c:v>
                </c:pt>
                <c:pt idx="216">
                  <c:v>#N/A</c:v>
                </c:pt>
                <c:pt idx="217">
                  <c:v>5</c:v>
                </c:pt>
                <c:pt idx="218">
                  <c:v>#N/A</c:v>
                </c:pt>
                <c:pt idx="219">
                  <c:v>8</c:v>
                </c:pt>
                <c:pt idx="220">
                  <c:v>4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3</c:v>
                </c:pt>
                <c:pt idx="225">
                  <c:v>9</c:v>
                </c:pt>
                <c:pt idx="226">
                  <c:v>#N/A</c:v>
                </c:pt>
                <c:pt idx="227">
                  <c:v>2</c:v>
                </c:pt>
                <c:pt idx="228">
                  <c:v>#N/A</c:v>
                </c:pt>
                <c:pt idx="229">
                  <c:v>#N/A</c:v>
                </c:pt>
                <c:pt idx="230">
                  <c:v>2</c:v>
                </c:pt>
                <c:pt idx="231">
                  <c:v>3</c:v>
                </c:pt>
                <c:pt idx="232">
                  <c:v>10</c:v>
                </c:pt>
                <c:pt idx="233">
                  <c:v>#N/A</c:v>
                </c:pt>
                <c:pt idx="234">
                  <c:v>#N/A</c:v>
                </c:pt>
                <c:pt idx="235">
                  <c:v>6</c:v>
                </c:pt>
                <c:pt idx="236">
                  <c:v>9</c:v>
                </c:pt>
                <c:pt idx="237">
                  <c:v>9</c:v>
                </c:pt>
                <c:pt idx="238">
                  <c:v>#N/A</c:v>
                </c:pt>
                <c:pt idx="239">
                  <c:v>3</c:v>
                </c:pt>
                <c:pt idx="240">
                  <c:v>#N/A</c:v>
                </c:pt>
                <c:pt idx="241">
                  <c:v>#N/A</c:v>
                </c:pt>
                <c:pt idx="242">
                  <c:v>5</c:v>
                </c:pt>
                <c:pt idx="243">
                  <c:v>#N/A</c:v>
                </c:pt>
                <c:pt idx="244">
                  <c:v>6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F-6246-92C7-2B4922B6FEE6}"/>
            </c:ext>
          </c:extLst>
        </c:ser>
        <c:ser>
          <c:idx val="1"/>
          <c:order val="1"/>
          <c:tx>
            <c:strRef>
              <c:f>'2.14 Age &lt;&gt; SatisfactionScore'!$G$1</c:f>
              <c:strCache>
                <c:ptCount val="1"/>
                <c:pt idx="0">
                  <c:v>Churn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'2.14 Age &lt;&gt; SatisfactionScore'!$F$2:$F$251</c:f>
              <c:numCache>
                <c:formatCode>General</c:formatCode>
                <c:ptCount val="250"/>
                <c:pt idx="0">
                  <c:v>56</c:v>
                </c:pt>
                <c:pt idx="1">
                  <c:v>69</c:v>
                </c:pt>
                <c:pt idx="2">
                  <c:v>#N/A</c:v>
                </c:pt>
                <c:pt idx="3">
                  <c:v>32</c:v>
                </c:pt>
                <c:pt idx="4">
                  <c:v>60</c:v>
                </c:pt>
                <c:pt idx="5">
                  <c:v>25</c:v>
                </c:pt>
                <c:pt idx="6">
                  <c:v>38</c:v>
                </c:pt>
                <c:pt idx="7">
                  <c:v>#N/A</c:v>
                </c:pt>
                <c:pt idx="8">
                  <c:v>36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53</c:v>
                </c:pt>
                <c:pt idx="14">
                  <c:v>#N/A</c:v>
                </c:pt>
                <c:pt idx="15">
                  <c:v>41</c:v>
                </c:pt>
                <c:pt idx="16">
                  <c:v>#N/A</c:v>
                </c:pt>
                <c:pt idx="17">
                  <c:v>#N/A</c:v>
                </c:pt>
                <c:pt idx="18">
                  <c:v>19</c:v>
                </c:pt>
                <c:pt idx="19">
                  <c:v>41</c:v>
                </c:pt>
                <c:pt idx="20">
                  <c:v>#N/A</c:v>
                </c:pt>
                <c:pt idx="21">
                  <c:v>47</c:v>
                </c:pt>
                <c:pt idx="22">
                  <c:v>55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42</c:v>
                </c:pt>
                <c:pt idx="30">
                  <c:v>66</c:v>
                </c:pt>
                <c:pt idx="31">
                  <c:v>#N/A</c:v>
                </c:pt>
                <c:pt idx="32">
                  <c:v>#N/A</c:v>
                </c:pt>
                <c:pt idx="33">
                  <c:v>45</c:v>
                </c:pt>
                <c:pt idx="34">
                  <c:v>33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61</c:v>
                </c:pt>
                <c:pt idx="39">
                  <c:v>#N/A</c:v>
                </c:pt>
                <c:pt idx="40">
                  <c:v>20</c:v>
                </c:pt>
                <c:pt idx="41">
                  <c:v>54</c:v>
                </c:pt>
                <c:pt idx="42">
                  <c:v>68</c:v>
                </c:pt>
                <c:pt idx="43">
                  <c:v>#N/A</c:v>
                </c:pt>
                <c:pt idx="44">
                  <c:v>38</c:v>
                </c:pt>
                <c:pt idx="45">
                  <c:v>#N/A</c:v>
                </c:pt>
                <c:pt idx="46">
                  <c:v>#N/A</c:v>
                </c:pt>
                <c:pt idx="47">
                  <c:v>35</c:v>
                </c:pt>
                <c:pt idx="48">
                  <c:v>#N/A</c:v>
                </c:pt>
                <c:pt idx="49">
                  <c:v>42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19</c:v>
                </c:pt>
                <c:pt idx="55">
                  <c:v>37</c:v>
                </c:pt>
                <c:pt idx="56">
                  <c:v>#N/A</c:v>
                </c:pt>
                <c:pt idx="57">
                  <c:v>#N/A</c:v>
                </c:pt>
                <c:pt idx="58">
                  <c:v>24</c:v>
                </c:pt>
                <c:pt idx="59">
                  <c:v>#N/A</c:v>
                </c:pt>
                <c:pt idx="60">
                  <c:v>25</c:v>
                </c:pt>
                <c:pt idx="61">
                  <c:v>#N/A</c:v>
                </c:pt>
                <c:pt idx="62">
                  <c:v>52</c:v>
                </c:pt>
                <c:pt idx="63">
                  <c:v>#N/A</c:v>
                </c:pt>
                <c:pt idx="64">
                  <c:v>34</c:v>
                </c:pt>
                <c:pt idx="65">
                  <c:v>53</c:v>
                </c:pt>
                <c:pt idx="66">
                  <c:v>67</c:v>
                </c:pt>
                <c:pt idx="67">
                  <c:v>57</c:v>
                </c:pt>
                <c:pt idx="68">
                  <c:v>#N/A</c:v>
                </c:pt>
                <c:pt idx="69">
                  <c:v>19</c:v>
                </c:pt>
                <c:pt idx="70">
                  <c:v>#N/A</c:v>
                </c:pt>
                <c:pt idx="71">
                  <c:v>59</c:v>
                </c:pt>
                <c:pt idx="72">
                  <c:v>21</c:v>
                </c:pt>
                <c:pt idx="73">
                  <c:v>46</c:v>
                </c:pt>
                <c:pt idx="74">
                  <c:v>35</c:v>
                </c:pt>
                <c:pt idx="75">
                  <c:v>43</c:v>
                </c:pt>
                <c:pt idx="76">
                  <c:v>#N/A</c:v>
                </c:pt>
                <c:pt idx="77">
                  <c:v>#N/A</c:v>
                </c:pt>
                <c:pt idx="78">
                  <c:v>27</c:v>
                </c:pt>
                <c:pt idx="79">
                  <c:v>#N/A</c:v>
                </c:pt>
                <c:pt idx="80">
                  <c:v>31</c:v>
                </c:pt>
                <c:pt idx="81">
                  <c:v>48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40</c:v>
                </c:pt>
                <c:pt idx="87">
                  <c:v>#N/A</c:v>
                </c:pt>
                <c:pt idx="88">
                  <c:v>#N/A</c:v>
                </c:pt>
                <c:pt idx="89">
                  <c:v>33</c:v>
                </c:pt>
                <c:pt idx="90">
                  <c:v>#N/A</c:v>
                </c:pt>
                <c:pt idx="91">
                  <c:v>35</c:v>
                </c:pt>
                <c:pt idx="92">
                  <c:v>64</c:v>
                </c:pt>
                <c:pt idx="93">
                  <c:v>#N/A</c:v>
                </c:pt>
                <c:pt idx="94">
                  <c:v>#N/A</c:v>
                </c:pt>
                <c:pt idx="95">
                  <c:v>42</c:v>
                </c:pt>
                <c:pt idx="96">
                  <c:v>62</c:v>
                </c:pt>
                <c:pt idx="97">
                  <c:v>58</c:v>
                </c:pt>
                <c:pt idx="98">
                  <c:v>46</c:v>
                </c:pt>
                <c:pt idx="99">
                  <c:v>#N/A</c:v>
                </c:pt>
                <c:pt idx="100">
                  <c:v>#N/A</c:v>
                </c:pt>
                <c:pt idx="101">
                  <c:v>18</c:v>
                </c:pt>
                <c:pt idx="102">
                  <c:v>42</c:v>
                </c:pt>
                <c:pt idx="103">
                  <c:v>24</c:v>
                </c:pt>
                <c:pt idx="104">
                  <c:v>26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25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25</c:v>
                </c:pt>
                <c:pt idx="114">
                  <c:v>#N/A</c:v>
                </c:pt>
                <c:pt idx="115">
                  <c:v>52</c:v>
                </c:pt>
                <c:pt idx="116">
                  <c:v>50</c:v>
                </c:pt>
                <c:pt idx="117">
                  <c:v>22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45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65</c:v>
                </c:pt>
                <c:pt idx="129">
                  <c:v>40</c:v>
                </c:pt>
                <c:pt idx="130">
                  <c:v>41</c:v>
                </c:pt>
                <c:pt idx="131">
                  <c:v>54</c:v>
                </c:pt>
                <c:pt idx="132">
                  <c:v>52</c:v>
                </c:pt>
                <c:pt idx="133">
                  <c:v>61</c:v>
                </c:pt>
                <c:pt idx="134">
                  <c:v>#N/A</c:v>
                </c:pt>
                <c:pt idx="135">
                  <c:v>39</c:v>
                </c:pt>
                <c:pt idx="136">
                  <c:v>44</c:v>
                </c:pt>
                <c:pt idx="137">
                  <c:v>#N/A</c:v>
                </c:pt>
                <c:pt idx="138">
                  <c:v>#N/A</c:v>
                </c:pt>
                <c:pt idx="139">
                  <c:v>52</c:v>
                </c:pt>
                <c:pt idx="140">
                  <c:v>#N/A</c:v>
                </c:pt>
                <c:pt idx="141">
                  <c:v>#N/A</c:v>
                </c:pt>
                <c:pt idx="142">
                  <c:v>31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56</c:v>
                </c:pt>
                <c:pt idx="149">
                  <c:v>44</c:v>
                </c:pt>
                <c:pt idx="150">
                  <c:v>26</c:v>
                </c:pt>
                <c:pt idx="151">
                  <c:v>#N/A</c:v>
                </c:pt>
                <c:pt idx="152">
                  <c:v>#N/A</c:v>
                </c:pt>
                <c:pt idx="153">
                  <c:v>43</c:v>
                </c:pt>
                <c:pt idx="154">
                  <c:v>#N/A</c:v>
                </c:pt>
                <c:pt idx="155">
                  <c:v>#N/A</c:v>
                </c:pt>
                <c:pt idx="156">
                  <c:v>68</c:v>
                </c:pt>
                <c:pt idx="157">
                  <c:v>#N/A</c:v>
                </c:pt>
                <c:pt idx="158">
                  <c:v>#N/A</c:v>
                </c:pt>
                <c:pt idx="159">
                  <c:v>66</c:v>
                </c:pt>
                <c:pt idx="160">
                  <c:v>#N/A</c:v>
                </c:pt>
                <c:pt idx="161">
                  <c:v>#N/A</c:v>
                </c:pt>
                <c:pt idx="162">
                  <c:v>21</c:v>
                </c:pt>
                <c:pt idx="163">
                  <c:v>#N/A</c:v>
                </c:pt>
                <c:pt idx="164">
                  <c:v>54</c:v>
                </c:pt>
                <c:pt idx="165">
                  <c:v>40</c:v>
                </c:pt>
                <c:pt idx="166">
                  <c:v>56</c:v>
                </c:pt>
                <c:pt idx="167">
                  <c:v>62</c:v>
                </c:pt>
                <c:pt idx="168">
                  <c:v>32</c:v>
                </c:pt>
                <c:pt idx="169">
                  <c:v>60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39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45</c:v>
                </c:pt>
                <c:pt idx="183">
                  <c:v>45</c:v>
                </c:pt>
                <c:pt idx="184">
                  <c:v>61</c:v>
                </c:pt>
                <c:pt idx="185">
                  <c:v>61</c:v>
                </c:pt>
                <c:pt idx="186">
                  <c:v>#N/A</c:v>
                </c:pt>
                <c:pt idx="187">
                  <c:v>#N/A</c:v>
                </c:pt>
                <c:pt idx="188">
                  <c:v>28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18</c:v>
                </c:pt>
                <c:pt idx="194">
                  <c:v>#N/A</c:v>
                </c:pt>
                <c:pt idx="195">
                  <c:v>#N/A</c:v>
                </c:pt>
                <c:pt idx="196">
                  <c:v>30</c:v>
                </c:pt>
                <c:pt idx="197">
                  <c:v>#N/A</c:v>
                </c:pt>
                <c:pt idx="198">
                  <c:v>#N/A</c:v>
                </c:pt>
                <c:pt idx="199">
                  <c:v>56</c:v>
                </c:pt>
                <c:pt idx="200">
                  <c:v>#N/A</c:v>
                </c:pt>
                <c:pt idx="201">
                  <c:v>#N/A</c:v>
                </c:pt>
                <c:pt idx="202">
                  <c:v>44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68</c:v>
                </c:pt>
                <c:pt idx="207">
                  <c:v>59</c:v>
                </c:pt>
                <c:pt idx="208">
                  <c:v>61</c:v>
                </c:pt>
                <c:pt idx="209">
                  <c:v>#N/A</c:v>
                </c:pt>
                <c:pt idx="210">
                  <c:v>32</c:v>
                </c:pt>
                <c:pt idx="211">
                  <c:v>49</c:v>
                </c:pt>
                <c:pt idx="212">
                  <c:v>49</c:v>
                </c:pt>
                <c:pt idx="213">
                  <c:v>41</c:v>
                </c:pt>
                <c:pt idx="214">
                  <c:v>#N/A</c:v>
                </c:pt>
                <c:pt idx="215">
                  <c:v>#N/A</c:v>
                </c:pt>
                <c:pt idx="216">
                  <c:v>66</c:v>
                </c:pt>
                <c:pt idx="217">
                  <c:v>#N/A</c:v>
                </c:pt>
                <c:pt idx="218">
                  <c:v>69</c:v>
                </c:pt>
                <c:pt idx="219">
                  <c:v>#N/A</c:v>
                </c:pt>
                <c:pt idx="220">
                  <c:v>#N/A</c:v>
                </c:pt>
                <c:pt idx="221">
                  <c:v>19</c:v>
                </c:pt>
                <c:pt idx="222">
                  <c:v>20</c:v>
                </c:pt>
                <c:pt idx="223">
                  <c:v>66</c:v>
                </c:pt>
                <c:pt idx="224">
                  <c:v>#N/A</c:v>
                </c:pt>
                <c:pt idx="225">
                  <c:v>#N/A</c:v>
                </c:pt>
                <c:pt idx="226">
                  <c:v>34</c:v>
                </c:pt>
                <c:pt idx="227">
                  <c:v>#N/A</c:v>
                </c:pt>
                <c:pt idx="228">
                  <c:v>19</c:v>
                </c:pt>
                <c:pt idx="229">
                  <c:v>19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49</c:v>
                </c:pt>
                <c:pt idx="234">
                  <c:v>50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61</c:v>
                </c:pt>
                <c:pt idx="239">
                  <c:v>#N/A</c:v>
                </c:pt>
                <c:pt idx="240">
                  <c:v>49</c:v>
                </c:pt>
                <c:pt idx="241">
                  <c:v>23</c:v>
                </c:pt>
                <c:pt idx="242">
                  <c:v>#N/A</c:v>
                </c:pt>
                <c:pt idx="243">
                  <c:v>21</c:v>
                </c:pt>
                <c:pt idx="244">
                  <c:v>#N/A</c:v>
                </c:pt>
                <c:pt idx="245">
                  <c:v>34</c:v>
                </c:pt>
                <c:pt idx="246">
                  <c:v>55</c:v>
                </c:pt>
                <c:pt idx="247">
                  <c:v>41</c:v>
                </c:pt>
                <c:pt idx="248">
                  <c:v>22</c:v>
                </c:pt>
                <c:pt idx="249">
                  <c:v>#N/A</c:v>
                </c:pt>
              </c:numCache>
            </c:numRef>
          </c:xVal>
          <c:yVal>
            <c:numRef>
              <c:f>'2.14 Age &lt;&gt; SatisfactionScore'!$G$2:$G$251</c:f>
              <c:numCache>
                <c:formatCode>General</c:formatCode>
                <c:ptCount val="250"/>
                <c:pt idx="0">
                  <c:v>6</c:v>
                </c:pt>
                <c:pt idx="1">
                  <c:v>1</c:v>
                </c:pt>
                <c:pt idx="2">
                  <c:v>#N/A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#N/A</c:v>
                </c:pt>
                <c:pt idx="8">
                  <c:v>3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9</c:v>
                </c:pt>
                <c:pt idx="14">
                  <c:v>#N/A</c:v>
                </c:pt>
                <c:pt idx="15">
                  <c:v>1</c:v>
                </c:pt>
                <c:pt idx="16">
                  <c:v>#N/A</c:v>
                </c:pt>
                <c:pt idx="17">
                  <c:v>#N/A</c:v>
                </c:pt>
                <c:pt idx="18">
                  <c:v>7</c:v>
                </c:pt>
                <c:pt idx="19">
                  <c:v>3</c:v>
                </c:pt>
                <c:pt idx="20">
                  <c:v>#N/A</c:v>
                </c:pt>
                <c:pt idx="21">
                  <c:v>10</c:v>
                </c:pt>
                <c:pt idx="22">
                  <c:v>9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4</c:v>
                </c:pt>
                <c:pt idx="30">
                  <c:v>4</c:v>
                </c:pt>
                <c:pt idx="31">
                  <c:v>#N/A</c:v>
                </c:pt>
                <c:pt idx="32">
                  <c:v>#N/A</c:v>
                </c:pt>
                <c:pt idx="33">
                  <c:v>9</c:v>
                </c:pt>
                <c:pt idx="34">
                  <c:v>3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6</c:v>
                </c:pt>
                <c:pt idx="39">
                  <c:v>#N/A</c:v>
                </c:pt>
                <c:pt idx="40">
                  <c:v>2</c:v>
                </c:pt>
                <c:pt idx="41">
                  <c:v>8</c:v>
                </c:pt>
                <c:pt idx="42">
                  <c:v>6</c:v>
                </c:pt>
                <c:pt idx="43">
                  <c:v>#N/A</c:v>
                </c:pt>
                <c:pt idx="44">
                  <c:v>5</c:v>
                </c:pt>
                <c:pt idx="45">
                  <c:v>#N/A</c:v>
                </c:pt>
                <c:pt idx="46">
                  <c:v>#N/A</c:v>
                </c:pt>
                <c:pt idx="47">
                  <c:v>3</c:v>
                </c:pt>
                <c:pt idx="48">
                  <c:v>#N/A</c:v>
                </c:pt>
                <c:pt idx="49">
                  <c:v>1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6</c:v>
                </c:pt>
                <c:pt idx="55">
                  <c:v>7</c:v>
                </c:pt>
                <c:pt idx="56">
                  <c:v>#N/A</c:v>
                </c:pt>
                <c:pt idx="57">
                  <c:v>#N/A</c:v>
                </c:pt>
                <c:pt idx="58">
                  <c:v>3</c:v>
                </c:pt>
                <c:pt idx="59">
                  <c:v>#N/A</c:v>
                </c:pt>
                <c:pt idx="60">
                  <c:v>3</c:v>
                </c:pt>
                <c:pt idx="61">
                  <c:v>#N/A</c:v>
                </c:pt>
                <c:pt idx="62">
                  <c:v>3</c:v>
                </c:pt>
                <c:pt idx="63">
                  <c:v>#N/A</c:v>
                </c:pt>
                <c:pt idx="64">
                  <c:v>4</c:v>
                </c:pt>
                <c:pt idx="65">
                  <c:v>7</c:v>
                </c:pt>
                <c:pt idx="66">
                  <c:v>9</c:v>
                </c:pt>
                <c:pt idx="67">
                  <c:v>7</c:v>
                </c:pt>
                <c:pt idx="68">
                  <c:v>#N/A</c:v>
                </c:pt>
                <c:pt idx="69">
                  <c:v>3</c:v>
                </c:pt>
                <c:pt idx="70">
                  <c:v>#N/A</c:v>
                </c:pt>
                <c:pt idx="71">
                  <c:v>8</c:v>
                </c:pt>
                <c:pt idx="72">
                  <c:v>6</c:v>
                </c:pt>
                <c:pt idx="73">
                  <c:v>5</c:v>
                </c:pt>
                <c:pt idx="74">
                  <c:v>4</c:v>
                </c:pt>
                <c:pt idx="75">
                  <c:v>8</c:v>
                </c:pt>
                <c:pt idx="76">
                  <c:v>#N/A</c:v>
                </c:pt>
                <c:pt idx="77">
                  <c:v>#N/A</c:v>
                </c:pt>
                <c:pt idx="78">
                  <c:v>1</c:v>
                </c:pt>
                <c:pt idx="79">
                  <c:v>#N/A</c:v>
                </c:pt>
                <c:pt idx="80">
                  <c:v>4</c:v>
                </c:pt>
                <c:pt idx="81">
                  <c:v>9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4</c:v>
                </c:pt>
                <c:pt idx="87">
                  <c:v>#N/A</c:v>
                </c:pt>
                <c:pt idx="88">
                  <c:v>#N/A</c:v>
                </c:pt>
                <c:pt idx="89">
                  <c:v>2</c:v>
                </c:pt>
                <c:pt idx="90">
                  <c:v>#N/A</c:v>
                </c:pt>
                <c:pt idx="91">
                  <c:v>6</c:v>
                </c:pt>
                <c:pt idx="92">
                  <c:v>9</c:v>
                </c:pt>
                <c:pt idx="93">
                  <c:v>#N/A</c:v>
                </c:pt>
                <c:pt idx="94">
                  <c:v>#N/A</c:v>
                </c:pt>
                <c:pt idx="95">
                  <c:v>1</c:v>
                </c:pt>
                <c:pt idx="96">
                  <c:v>3</c:v>
                </c:pt>
                <c:pt idx="97">
                  <c:v>2</c:v>
                </c:pt>
                <c:pt idx="98">
                  <c:v>5</c:v>
                </c:pt>
                <c:pt idx="99">
                  <c:v>#N/A</c:v>
                </c:pt>
                <c:pt idx="100">
                  <c:v>#N/A</c:v>
                </c:pt>
                <c:pt idx="101">
                  <c:v>4</c:v>
                </c:pt>
                <c:pt idx="102">
                  <c:v>5</c:v>
                </c:pt>
                <c:pt idx="103">
                  <c:v>3</c:v>
                </c:pt>
                <c:pt idx="104">
                  <c:v>1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4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1</c:v>
                </c:pt>
                <c:pt idx="114">
                  <c:v>#N/A</c:v>
                </c:pt>
                <c:pt idx="115">
                  <c:v>7</c:v>
                </c:pt>
                <c:pt idx="116">
                  <c:v>8</c:v>
                </c:pt>
                <c:pt idx="117">
                  <c:v>6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4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9</c:v>
                </c:pt>
                <c:pt idx="129">
                  <c:v>3</c:v>
                </c:pt>
                <c:pt idx="130">
                  <c:v>4</c:v>
                </c:pt>
                <c:pt idx="131">
                  <c:v>7</c:v>
                </c:pt>
                <c:pt idx="132">
                  <c:v>7</c:v>
                </c:pt>
                <c:pt idx="133">
                  <c:v>4</c:v>
                </c:pt>
                <c:pt idx="134">
                  <c:v>#N/A</c:v>
                </c:pt>
                <c:pt idx="135">
                  <c:v>3</c:v>
                </c:pt>
                <c:pt idx="136">
                  <c:v>6</c:v>
                </c:pt>
                <c:pt idx="137">
                  <c:v>#N/A</c:v>
                </c:pt>
                <c:pt idx="138">
                  <c:v>#N/A</c:v>
                </c:pt>
                <c:pt idx="139">
                  <c:v>2</c:v>
                </c:pt>
                <c:pt idx="140">
                  <c:v>#N/A</c:v>
                </c:pt>
                <c:pt idx="141">
                  <c:v>#N/A</c:v>
                </c:pt>
                <c:pt idx="142">
                  <c:v>1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9</c:v>
                </c:pt>
                <c:pt idx="149">
                  <c:v>2</c:v>
                </c:pt>
                <c:pt idx="150">
                  <c:v>1</c:v>
                </c:pt>
                <c:pt idx="151">
                  <c:v>#N/A</c:v>
                </c:pt>
                <c:pt idx="152">
                  <c:v>#N/A</c:v>
                </c:pt>
                <c:pt idx="153">
                  <c:v>8</c:v>
                </c:pt>
                <c:pt idx="154">
                  <c:v>#N/A</c:v>
                </c:pt>
                <c:pt idx="155">
                  <c:v>#N/A</c:v>
                </c:pt>
                <c:pt idx="156">
                  <c:v>1</c:v>
                </c:pt>
                <c:pt idx="157">
                  <c:v>#N/A</c:v>
                </c:pt>
                <c:pt idx="158">
                  <c:v>#N/A</c:v>
                </c:pt>
                <c:pt idx="159">
                  <c:v>3</c:v>
                </c:pt>
                <c:pt idx="160">
                  <c:v>#N/A</c:v>
                </c:pt>
                <c:pt idx="161">
                  <c:v>#N/A</c:v>
                </c:pt>
                <c:pt idx="162">
                  <c:v>4</c:v>
                </c:pt>
                <c:pt idx="163">
                  <c:v>#N/A</c:v>
                </c:pt>
                <c:pt idx="164">
                  <c:v>1</c:v>
                </c:pt>
                <c:pt idx="165">
                  <c:v>6</c:v>
                </c:pt>
                <c:pt idx="166">
                  <c:v>1</c:v>
                </c:pt>
                <c:pt idx="167">
                  <c:v>1</c:v>
                </c:pt>
                <c:pt idx="168">
                  <c:v>8</c:v>
                </c:pt>
                <c:pt idx="169">
                  <c:v>4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10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1</c:v>
                </c:pt>
                <c:pt idx="183">
                  <c:v>9</c:v>
                </c:pt>
                <c:pt idx="184">
                  <c:v>1</c:v>
                </c:pt>
                <c:pt idx="185">
                  <c:v>8</c:v>
                </c:pt>
                <c:pt idx="186">
                  <c:v>#N/A</c:v>
                </c:pt>
                <c:pt idx="187">
                  <c:v>#N/A</c:v>
                </c:pt>
                <c:pt idx="188">
                  <c:v>7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1</c:v>
                </c:pt>
                <c:pt idx="194">
                  <c:v>#N/A</c:v>
                </c:pt>
                <c:pt idx="195">
                  <c:v>#N/A</c:v>
                </c:pt>
                <c:pt idx="196">
                  <c:v>8</c:v>
                </c:pt>
                <c:pt idx="197">
                  <c:v>#N/A</c:v>
                </c:pt>
                <c:pt idx="198">
                  <c:v>#N/A</c:v>
                </c:pt>
                <c:pt idx="199">
                  <c:v>1</c:v>
                </c:pt>
                <c:pt idx="200">
                  <c:v>#N/A</c:v>
                </c:pt>
                <c:pt idx="201">
                  <c:v>#N/A</c:v>
                </c:pt>
                <c:pt idx="202">
                  <c:v>10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7</c:v>
                </c:pt>
                <c:pt idx="207">
                  <c:v>7</c:v>
                </c:pt>
                <c:pt idx="208">
                  <c:v>1</c:v>
                </c:pt>
                <c:pt idx="209">
                  <c:v>#N/A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4</c:v>
                </c:pt>
                <c:pt idx="214">
                  <c:v>#N/A</c:v>
                </c:pt>
                <c:pt idx="215">
                  <c:v>#N/A</c:v>
                </c:pt>
                <c:pt idx="216">
                  <c:v>2</c:v>
                </c:pt>
                <c:pt idx="217">
                  <c:v>#N/A</c:v>
                </c:pt>
                <c:pt idx="218">
                  <c:v>3</c:v>
                </c:pt>
                <c:pt idx="219">
                  <c:v>#N/A</c:v>
                </c:pt>
                <c:pt idx="220">
                  <c:v>#N/A</c:v>
                </c:pt>
                <c:pt idx="221">
                  <c:v>1</c:v>
                </c:pt>
                <c:pt idx="222">
                  <c:v>1</c:v>
                </c:pt>
                <c:pt idx="223">
                  <c:v>10</c:v>
                </c:pt>
                <c:pt idx="224">
                  <c:v>#N/A</c:v>
                </c:pt>
                <c:pt idx="225">
                  <c:v>#N/A</c:v>
                </c:pt>
                <c:pt idx="226">
                  <c:v>7</c:v>
                </c:pt>
                <c:pt idx="227">
                  <c:v>#N/A</c:v>
                </c:pt>
                <c:pt idx="228">
                  <c:v>9</c:v>
                </c:pt>
                <c:pt idx="229">
                  <c:v>10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2</c:v>
                </c:pt>
                <c:pt idx="234">
                  <c:v>3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7</c:v>
                </c:pt>
                <c:pt idx="239">
                  <c:v>#N/A</c:v>
                </c:pt>
                <c:pt idx="240">
                  <c:v>4</c:v>
                </c:pt>
                <c:pt idx="241">
                  <c:v>6</c:v>
                </c:pt>
                <c:pt idx="242">
                  <c:v>#N/A</c:v>
                </c:pt>
                <c:pt idx="243">
                  <c:v>2</c:v>
                </c:pt>
                <c:pt idx="244">
                  <c:v>#N/A</c:v>
                </c:pt>
                <c:pt idx="245">
                  <c:v>3</c:v>
                </c:pt>
                <c:pt idx="246">
                  <c:v>8</c:v>
                </c:pt>
                <c:pt idx="247">
                  <c:v>2</c:v>
                </c:pt>
                <c:pt idx="248">
                  <c:v>1</c:v>
                </c:pt>
                <c:pt idx="24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DF-6246-92C7-2B4922B6F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14959"/>
        <c:axId val="61820719"/>
      </c:scatterChart>
      <c:valAx>
        <c:axId val="117314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20719"/>
        <c:crosses val="autoZero"/>
        <c:crossBetween val="midCat"/>
      </c:valAx>
      <c:valAx>
        <c:axId val="6182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14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 15 Tickets MonthlyCharges'!$E$1</c:f>
              <c:strCache>
                <c:ptCount val="1"/>
                <c:pt idx="0">
                  <c:v>No churn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'2. 15 Tickets MonthlyCharges'!$D$2:$D$251</c:f>
              <c:numCache>
                <c:formatCode>General</c:formatCode>
                <c:ptCount val="250"/>
                <c:pt idx="0">
                  <c:v>#N/A</c:v>
                </c:pt>
                <c:pt idx="1">
                  <c:v>#N/A</c:v>
                </c:pt>
                <c:pt idx="2">
                  <c:v>1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3</c:v>
                </c:pt>
                <c:pt idx="8">
                  <c:v>#N/A</c:v>
                </c:pt>
                <c:pt idx="9">
                  <c:v>5</c:v>
                </c:pt>
                <c:pt idx="10">
                  <c:v>1</c:v>
                </c:pt>
                <c:pt idx="11">
                  <c:v>3</c:v>
                </c:pt>
                <c:pt idx="12">
                  <c:v>0</c:v>
                </c:pt>
                <c:pt idx="13">
                  <c:v>#N/A</c:v>
                </c:pt>
                <c:pt idx="14">
                  <c:v>1</c:v>
                </c:pt>
                <c:pt idx="15">
                  <c:v>#N/A</c:v>
                </c:pt>
                <c:pt idx="16">
                  <c:v>3</c:v>
                </c:pt>
                <c:pt idx="17">
                  <c:v>2</c:v>
                </c:pt>
                <c:pt idx="18">
                  <c:v>#N/A</c:v>
                </c:pt>
                <c:pt idx="19">
                  <c:v>#N/A</c:v>
                </c:pt>
                <c:pt idx="20">
                  <c:v>4</c:v>
                </c:pt>
                <c:pt idx="21">
                  <c:v>#N/A</c:v>
                </c:pt>
                <c:pt idx="22">
                  <c:v>#N/A</c:v>
                </c:pt>
                <c:pt idx="23">
                  <c:v>1</c:v>
                </c:pt>
                <c:pt idx="24">
                  <c:v>1</c:v>
                </c:pt>
                <c:pt idx="25">
                  <c:v>4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#N/A</c:v>
                </c:pt>
                <c:pt idx="30">
                  <c:v>#N/A</c:v>
                </c:pt>
                <c:pt idx="31">
                  <c:v>2</c:v>
                </c:pt>
                <c:pt idx="32">
                  <c:v>4</c:v>
                </c:pt>
                <c:pt idx="33">
                  <c:v>#N/A</c:v>
                </c:pt>
                <c:pt idx="34">
                  <c:v>#N/A</c:v>
                </c:pt>
                <c:pt idx="35">
                  <c:v>1</c:v>
                </c:pt>
                <c:pt idx="36">
                  <c:v>1</c:v>
                </c:pt>
                <c:pt idx="37">
                  <c:v>3</c:v>
                </c:pt>
                <c:pt idx="38">
                  <c:v>#N/A</c:v>
                </c:pt>
                <c:pt idx="39">
                  <c:v>2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4</c:v>
                </c:pt>
                <c:pt idx="44">
                  <c:v>#N/A</c:v>
                </c:pt>
                <c:pt idx="45">
                  <c:v>4</c:v>
                </c:pt>
                <c:pt idx="46">
                  <c:v>0</c:v>
                </c:pt>
                <c:pt idx="47">
                  <c:v>#N/A</c:v>
                </c:pt>
                <c:pt idx="48">
                  <c:v>3</c:v>
                </c:pt>
                <c:pt idx="49">
                  <c:v>#N/A</c:v>
                </c:pt>
                <c:pt idx="50">
                  <c:v>3</c:v>
                </c:pt>
                <c:pt idx="51">
                  <c:v>1</c:v>
                </c:pt>
                <c:pt idx="52">
                  <c:v>2</c:v>
                </c:pt>
                <c:pt idx="53">
                  <c:v>1</c:v>
                </c:pt>
                <c:pt idx="54">
                  <c:v>#N/A</c:v>
                </c:pt>
                <c:pt idx="55">
                  <c:v>#N/A</c:v>
                </c:pt>
                <c:pt idx="56">
                  <c:v>3</c:v>
                </c:pt>
                <c:pt idx="57">
                  <c:v>5</c:v>
                </c:pt>
                <c:pt idx="58">
                  <c:v>#N/A</c:v>
                </c:pt>
                <c:pt idx="59">
                  <c:v>3</c:v>
                </c:pt>
                <c:pt idx="60">
                  <c:v>#N/A</c:v>
                </c:pt>
                <c:pt idx="61">
                  <c:v>3</c:v>
                </c:pt>
                <c:pt idx="62">
                  <c:v>#N/A</c:v>
                </c:pt>
                <c:pt idx="63">
                  <c:v>2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2</c:v>
                </c:pt>
                <c:pt idx="69">
                  <c:v>#N/A</c:v>
                </c:pt>
                <c:pt idx="70">
                  <c:v>3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3</c:v>
                </c:pt>
                <c:pt idx="77">
                  <c:v>3</c:v>
                </c:pt>
                <c:pt idx="78">
                  <c:v>#N/A</c:v>
                </c:pt>
                <c:pt idx="79">
                  <c:v>1</c:v>
                </c:pt>
                <c:pt idx="80">
                  <c:v>#N/A</c:v>
                </c:pt>
                <c:pt idx="81">
                  <c:v>#N/A</c:v>
                </c:pt>
                <c:pt idx="82">
                  <c:v>0</c:v>
                </c:pt>
                <c:pt idx="83">
                  <c:v>3</c:v>
                </c:pt>
                <c:pt idx="84">
                  <c:v>1</c:v>
                </c:pt>
                <c:pt idx="85">
                  <c:v>3</c:v>
                </c:pt>
                <c:pt idx="86">
                  <c:v>#N/A</c:v>
                </c:pt>
                <c:pt idx="87">
                  <c:v>0</c:v>
                </c:pt>
                <c:pt idx="88">
                  <c:v>0</c:v>
                </c:pt>
                <c:pt idx="89">
                  <c:v>#N/A</c:v>
                </c:pt>
                <c:pt idx="90">
                  <c:v>1</c:v>
                </c:pt>
                <c:pt idx="91">
                  <c:v>#N/A</c:v>
                </c:pt>
                <c:pt idx="92">
                  <c:v>#N/A</c:v>
                </c:pt>
                <c:pt idx="93">
                  <c:v>3</c:v>
                </c:pt>
                <c:pt idx="94">
                  <c:v>3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0</c:v>
                </c:pt>
                <c:pt idx="100">
                  <c:v>1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3</c:v>
                </c:pt>
                <c:pt idx="106">
                  <c:v>0</c:v>
                </c:pt>
                <c:pt idx="107">
                  <c:v>1</c:v>
                </c:pt>
                <c:pt idx="108">
                  <c:v>#N/A</c:v>
                </c:pt>
                <c:pt idx="109">
                  <c:v>4</c:v>
                </c:pt>
                <c:pt idx="110">
                  <c:v>1</c:v>
                </c:pt>
                <c:pt idx="111">
                  <c:v>1</c:v>
                </c:pt>
                <c:pt idx="112">
                  <c:v>3</c:v>
                </c:pt>
                <c:pt idx="113">
                  <c:v>#N/A</c:v>
                </c:pt>
                <c:pt idx="114">
                  <c:v>3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0</c:v>
                </c:pt>
                <c:pt idx="119">
                  <c:v>4</c:v>
                </c:pt>
                <c:pt idx="120">
                  <c:v>0</c:v>
                </c:pt>
                <c:pt idx="121">
                  <c:v>#N/A</c:v>
                </c:pt>
                <c:pt idx="122">
                  <c:v>2</c:v>
                </c:pt>
                <c:pt idx="123">
                  <c:v>2</c:v>
                </c:pt>
                <c:pt idx="124">
                  <c:v>3</c:v>
                </c:pt>
                <c:pt idx="125">
                  <c:v>0</c:v>
                </c:pt>
                <c:pt idx="126">
                  <c:v>4</c:v>
                </c:pt>
                <c:pt idx="127">
                  <c:v>1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1</c:v>
                </c:pt>
                <c:pt idx="135">
                  <c:v>#N/A</c:v>
                </c:pt>
                <c:pt idx="136">
                  <c:v>#N/A</c:v>
                </c:pt>
                <c:pt idx="137">
                  <c:v>1</c:v>
                </c:pt>
                <c:pt idx="138">
                  <c:v>3</c:v>
                </c:pt>
                <c:pt idx="139">
                  <c:v>#N/A</c:v>
                </c:pt>
                <c:pt idx="140">
                  <c:v>3</c:v>
                </c:pt>
                <c:pt idx="141">
                  <c:v>3</c:v>
                </c:pt>
                <c:pt idx="142">
                  <c:v>#N/A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1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3</c:v>
                </c:pt>
                <c:pt idx="152">
                  <c:v>3</c:v>
                </c:pt>
                <c:pt idx="153">
                  <c:v>#N/A</c:v>
                </c:pt>
                <c:pt idx="154">
                  <c:v>1</c:v>
                </c:pt>
                <c:pt idx="155">
                  <c:v>3</c:v>
                </c:pt>
                <c:pt idx="156">
                  <c:v>#N/A</c:v>
                </c:pt>
                <c:pt idx="157">
                  <c:v>3</c:v>
                </c:pt>
                <c:pt idx="158">
                  <c:v>1</c:v>
                </c:pt>
                <c:pt idx="159">
                  <c:v>#N/A</c:v>
                </c:pt>
                <c:pt idx="160">
                  <c:v>0</c:v>
                </c:pt>
                <c:pt idx="161">
                  <c:v>1</c:v>
                </c:pt>
                <c:pt idx="162">
                  <c:v>#N/A</c:v>
                </c:pt>
                <c:pt idx="163">
                  <c:v>1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1</c:v>
                </c:pt>
                <c:pt idx="171">
                  <c:v>5</c:v>
                </c:pt>
                <c:pt idx="172">
                  <c:v>1</c:v>
                </c:pt>
                <c:pt idx="173">
                  <c:v>5</c:v>
                </c:pt>
                <c:pt idx="174">
                  <c:v>0</c:v>
                </c:pt>
                <c:pt idx="175">
                  <c:v>2</c:v>
                </c:pt>
                <c:pt idx="176">
                  <c:v>#N/A</c:v>
                </c:pt>
                <c:pt idx="177">
                  <c:v>1</c:v>
                </c:pt>
                <c:pt idx="178">
                  <c:v>4</c:v>
                </c:pt>
                <c:pt idx="179">
                  <c:v>0</c:v>
                </c:pt>
                <c:pt idx="180">
                  <c:v>0</c:v>
                </c:pt>
                <c:pt idx="181">
                  <c:v>2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2</c:v>
                </c:pt>
                <c:pt idx="187">
                  <c:v>3</c:v>
                </c:pt>
                <c:pt idx="188">
                  <c:v>#N/A</c:v>
                </c:pt>
                <c:pt idx="189">
                  <c:v>1</c:v>
                </c:pt>
                <c:pt idx="190">
                  <c:v>4</c:v>
                </c:pt>
                <c:pt idx="191">
                  <c:v>2</c:v>
                </c:pt>
                <c:pt idx="192">
                  <c:v>1</c:v>
                </c:pt>
                <c:pt idx="193">
                  <c:v>#N/A</c:v>
                </c:pt>
                <c:pt idx="194">
                  <c:v>3</c:v>
                </c:pt>
                <c:pt idx="195">
                  <c:v>1</c:v>
                </c:pt>
                <c:pt idx="196">
                  <c:v>#N/A</c:v>
                </c:pt>
                <c:pt idx="197">
                  <c:v>0</c:v>
                </c:pt>
                <c:pt idx="198">
                  <c:v>0</c:v>
                </c:pt>
                <c:pt idx="199">
                  <c:v>#N/A</c:v>
                </c:pt>
                <c:pt idx="200">
                  <c:v>2</c:v>
                </c:pt>
                <c:pt idx="201">
                  <c:v>1</c:v>
                </c:pt>
                <c:pt idx="202">
                  <c:v>#N/A</c:v>
                </c:pt>
                <c:pt idx="203">
                  <c:v>4</c:v>
                </c:pt>
                <c:pt idx="204">
                  <c:v>0</c:v>
                </c:pt>
                <c:pt idx="205">
                  <c:v>3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3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2</c:v>
                </c:pt>
                <c:pt idx="215">
                  <c:v>5</c:v>
                </c:pt>
                <c:pt idx="216">
                  <c:v>#N/A</c:v>
                </c:pt>
                <c:pt idx="217">
                  <c:v>1</c:v>
                </c:pt>
                <c:pt idx="218">
                  <c:v>#N/A</c:v>
                </c:pt>
                <c:pt idx="219">
                  <c:v>2</c:v>
                </c:pt>
                <c:pt idx="220">
                  <c:v>1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1</c:v>
                </c:pt>
                <c:pt idx="225">
                  <c:v>4</c:v>
                </c:pt>
                <c:pt idx="226">
                  <c:v>#N/A</c:v>
                </c:pt>
                <c:pt idx="227">
                  <c:v>0</c:v>
                </c:pt>
                <c:pt idx="228">
                  <c:v>#N/A</c:v>
                </c:pt>
                <c:pt idx="229">
                  <c:v>#N/A</c:v>
                </c:pt>
                <c:pt idx="230">
                  <c:v>1</c:v>
                </c:pt>
                <c:pt idx="231">
                  <c:v>3</c:v>
                </c:pt>
                <c:pt idx="232">
                  <c:v>4</c:v>
                </c:pt>
                <c:pt idx="233">
                  <c:v>#N/A</c:v>
                </c:pt>
                <c:pt idx="234">
                  <c:v>#N/A</c:v>
                </c:pt>
                <c:pt idx="235">
                  <c:v>0</c:v>
                </c:pt>
                <c:pt idx="236">
                  <c:v>2</c:v>
                </c:pt>
                <c:pt idx="237">
                  <c:v>2</c:v>
                </c:pt>
                <c:pt idx="238">
                  <c:v>#N/A</c:v>
                </c:pt>
                <c:pt idx="239">
                  <c:v>2</c:v>
                </c:pt>
                <c:pt idx="240">
                  <c:v>#N/A</c:v>
                </c:pt>
                <c:pt idx="241">
                  <c:v>#N/A</c:v>
                </c:pt>
                <c:pt idx="242">
                  <c:v>1</c:v>
                </c:pt>
                <c:pt idx="243">
                  <c:v>#N/A</c:v>
                </c:pt>
                <c:pt idx="244">
                  <c:v>4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5</c:v>
                </c:pt>
              </c:numCache>
            </c:numRef>
          </c:xVal>
          <c:yVal>
            <c:numRef>
              <c:f>'2. 15 Tickets MonthlyCharges'!$E$2:$E$251</c:f>
              <c:numCache>
                <c:formatCode>General</c:formatCode>
                <c:ptCount val="250"/>
                <c:pt idx="0">
                  <c:v>#N/A</c:v>
                </c:pt>
                <c:pt idx="1">
                  <c:v>#N/A</c:v>
                </c:pt>
                <c:pt idx="2">
                  <c:v>75.16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118.53</c:v>
                </c:pt>
                <c:pt idx="8">
                  <c:v>#N/A</c:v>
                </c:pt>
                <c:pt idx="9">
                  <c:v>94.96</c:v>
                </c:pt>
                <c:pt idx="10">
                  <c:v>59.3</c:v>
                </c:pt>
                <c:pt idx="11">
                  <c:v>102.92</c:v>
                </c:pt>
                <c:pt idx="12">
                  <c:v>76.91</c:v>
                </c:pt>
                <c:pt idx="13">
                  <c:v>#N/A</c:v>
                </c:pt>
                <c:pt idx="14">
                  <c:v>23.68</c:v>
                </c:pt>
                <c:pt idx="15">
                  <c:v>#N/A</c:v>
                </c:pt>
                <c:pt idx="16">
                  <c:v>21.37</c:v>
                </c:pt>
                <c:pt idx="17">
                  <c:v>27.54</c:v>
                </c:pt>
                <c:pt idx="18">
                  <c:v>#N/A</c:v>
                </c:pt>
                <c:pt idx="19">
                  <c:v>#N/A</c:v>
                </c:pt>
                <c:pt idx="20">
                  <c:v>94.99</c:v>
                </c:pt>
                <c:pt idx="21">
                  <c:v>#N/A</c:v>
                </c:pt>
                <c:pt idx="22">
                  <c:v>#N/A</c:v>
                </c:pt>
                <c:pt idx="23">
                  <c:v>92.61</c:v>
                </c:pt>
                <c:pt idx="24">
                  <c:v>95.71</c:v>
                </c:pt>
                <c:pt idx="25">
                  <c:v>57.79</c:v>
                </c:pt>
                <c:pt idx="26">
                  <c:v>44.11</c:v>
                </c:pt>
                <c:pt idx="27">
                  <c:v>40.5</c:v>
                </c:pt>
                <c:pt idx="28">
                  <c:v>45.14</c:v>
                </c:pt>
                <c:pt idx="29">
                  <c:v>#N/A</c:v>
                </c:pt>
                <c:pt idx="30">
                  <c:v>#N/A</c:v>
                </c:pt>
                <c:pt idx="31">
                  <c:v>107.82</c:v>
                </c:pt>
                <c:pt idx="32">
                  <c:v>95.7</c:v>
                </c:pt>
                <c:pt idx="33">
                  <c:v>#N/A</c:v>
                </c:pt>
                <c:pt idx="34">
                  <c:v>#N/A</c:v>
                </c:pt>
                <c:pt idx="35">
                  <c:v>22.22</c:v>
                </c:pt>
                <c:pt idx="36">
                  <c:v>69.819999999999993</c:v>
                </c:pt>
                <c:pt idx="37">
                  <c:v>67.62</c:v>
                </c:pt>
                <c:pt idx="38">
                  <c:v>#N/A</c:v>
                </c:pt>
                <c:pt idx="39">
                  <c:v>50.78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99.18</c:v>
                </c:pt>
                <c:pt idx="44">
                  <c:v>#N/A</c:v>
                </c:pt>
                <c:pt idx="45">
                  <c:v>68</c:v>
                </c:pt>
                <c:pt idx="46">
                  <c:v>62.05</c:v>
                </c:pt>
                <c:pt idx="47">
                  <c:v>#N/A</c:v>
                </c:pt>
                <c:pt idx="48">
                  <c:v>83.94</c:v>
                </c:pt>
                <c:pt idx="49">
                  <c:v>#N/A</c:v>
                </c:pt>
                <c:pt idx="50">
                  <c:v>110.32</c:v>
                </c:pt>
                <c:pt idx="51">
                  <c:v>81.73</c:v>
                </c:pt>
                <c:pt idx="52">
                  <c:v>118.05</c:v>
                </c:pt>
                <c:pt idx="53">
                  <c:v>80.81</c:v>
                </c:pt>
                <c:pt idx="54">
                  <c:v>#N/A</c:v>
                </c:pt>
                <c:pt idx="55">
                  <c:v>#N/A</c:v>
                </c:pt>
                <c:pt idx="56">
                  <c:v>29.1</c:v>
                </c:pt>
                <c:pt idx="57">
                  <c:v>92.64</c:v>
                </c:pt>
                <c:pt idx="58">
                  <c:v>#N/A</c:v>
                </c:pt>
                <c:pt idx="59">
                  <c:v>65.09</c:v>
                </c:pt>
                <c:pt idx="60">
                  <c:v>#N/A</c:v>
                </c:pt>
                <c:pt idx="61">
                  <c:v>49.8</c:v>
                </c:pt>
                <c:pt idx="62">
                  <c:v>#N/A</c:v>
                </c:pt>
                <c:pt idx="63">
                  <c:v>89.76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26.62</c:v>
                </c:pt>
                <c:pt idx="69">
                  <c:v>#N/A</c:v>
                </c:pt>
                <c:pt idx="70">
                  <c:v>82.08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66.010000000000005</c:v>
                </c:pt>
                <c:pt idx="77">
                  <c:v>78.48</c:v>
                </c:pt>
                <c:pt idx="78">
                  <c:v>#N/A</c:v>
                </c:pt>
                <c:pt idx="79">
                  <c:v>89.77</c:v>
                </c:pt>
                <c:pt idx="80">
                  <c:v>#N/A</c:v>
                </c:pt>
                <c:pt idx="81">
                  <c:v>#N/A</c:v>
                </c:pt>
                <c:pt idx="82">
                  <c:v>61.17</c:v>
                </c:pt>
                <c:pt idx="83">
                  <c:v>107.43</c:v>
                </c:pt>
                <c:pt idx="84">
                  <c:v>71.52</c:v>
                </c:pt>
                <c:pt idx="85">
                  <c:v>117.31</c:v>
                </c:pt>
                <c:pt idx="86">
                  <c:v>#N/A</c:v>
                </c:pt>
                <c:pt idx="87">
                  <c:v>42.38</c:v>
                </c:pt>
                <c:pt idx="88">
                  <c:v>102.18</c:v>
                </c:pt>
                <c:pt idx="89">
                  <c:v>#N/A</c:v>
                </c:pt>
                <c:pt idx="90">
                  <c:v>54.76</c:v>
                </c:pt>
                <c:pt idx="91">
                  <c:v>#N/A</c:v>
                </c:pt>
                <c:pt idx="92">
                  <c:v>#N/A</c:v>
                </c:pt>
                <c:pt idx="93">
                  <c:v>73.44</c:v>
                </c:pt>
                <c:pt idx="94">
                  <c:v>55.6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29.23</c:v>
                </c:pt>
                <c:pt idx="100">
                  <c:v>68.11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20.260000000000002</c:v>
                </c:pt>
                <c:pt idx="106">
                  <c:v>106.83</c:v>
                </c:pt>
                <c:pt idx="107">
                  <c:v>28.45</c:v>
                </c:pt>
                <c:pt idx="108">
                  <c:v>#N/A</c:v>
                </c:pt>
                <c:pt idx="109">
                  <c:v>118.63</c:v>
                </c:pt>
                <c:pt idx="110">
                  <c:v>73.66</c:v>
                </c:pt>
                <c:pt idx="111">
                  <c:v>112.4</c:v>
                </c:pt>
                <c:pt idx="112">
                  <c:v>43.61</c:v>
                </c:pt>
                <c:pt idx="113">
                  <c:v>#N/A</c:v>
                </c:pt>
                <c:pt idx="114">
                  <c:v>73.13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33.31</c:v>
                </c:pt>
                <c:pt idx="119">
                  <c:v>88.72</c:v>
                </c:pt>
                <c:pt idx="120">
                  <c:v>104.44</c:v>
                </c:pt>
                <c:pt idx="121">
                  <c:v>#N/A</c:v>
                </c:pt>
                <c:pt idx="122">
                  <c:v>23.05</c:v>
                </c:pt>
                <c:pt idx="123">
                  <c:v>106.72</c:v>
                </c:pt>
                <c:pt idx="124">
                  <c:v>55.41</c:v>
                </c:pt>
                <c:pt idx="125">
                  <c:v>59.72</c:v>
                </c:pt>
                <c:pt idx="126">
                  <c:v>30.49</c:v>
                </c:pt>
                <c:pt idx="127">
                  <c:v>93.74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54.29</c:v>
                </c:pt>
                <c:pt idx="135">
                  <c:v>#N/A</c:v>
                </c:pt>
                <c:pt idx="136">
                  <c:v>#N/A</c:v>
                </c:pt>
                <c:pt idx="137">
                  <c:v>84.88</c:v>
                </c:pt>
                <c:pt idx="138">
                  <c:v>67.959999999999994</c:v>
                </c:pt>
                <c:pt idx="139">
                  <c:v>#N/A</c:v>
                </c:pt>
                <c:pt idx="140">
                  <c:v>93.68</c:v>
                </c:pt>
                <c:pt idx="141">
                  <c:v>75.77</c:v>
                </c:pt>
                <c:pt idx="142">
                  <c:v>#N/A</c:v>
                </c:pt>
                <c:pt idx="143">
                  <c:v>76.45</c:v>
                </c:pt>
                <c:pt idx="144">
                  <c:v>57.88</c:v>
                </c:pt>
                <c:pt idx="145">
                  <c:v>53.74</c:v>
                </c:pt>
                <c:pt idx="146">
                  <c:v>109.96</c:v>
                </c:pt>
                <c:pt idx="147">
                  <c:v>80.760000000000005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113.37</c:v>
                </c:pt>
                <c:pt idx="152">
                  <c:v>20.75</c:v>
                </c:pt>
                <c:pt idx="153">
                  <c:v>#N/A</c:v>
                </c:pt>
                <c:pt idx="154">
                  <c:v>56.54</c:v>
                </c:pt>
                <c:pt idx="155">
                  <c:v>68.78</c:v>
                </c:pt>
                <c:pt idx="156">
                  <c:v>#N/A</c:v>
                </c:pt>
                <c:pt idx="157">
                  <c:v>28.79</c:v>
                </c:pt>
                <c:pt idx="158">
                  <c:v>100.59</c:v>
                </c:pt>
                <c:pt idx="159">
                  <c:v>#N/A</c:v>
                </c:pt>
                <c:pt idx="160">
                  <c:v>104.23</c:v>
                </c:pt>
                <c:pt idx="161">
                  <c:v>25.16</c:v>
                </c:pt>
                <c:pt idx="162">
                  <c:v>#N/A</c:v>
                </c:pt>
                <c:pt idx="163">
                  <c:v>89.7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69.069999999999993</c:v>
                </c:pt>
                <c:pt idx="171">
                  <c:v>92.29</c:v>
                </c:pt>
                <c:pt idx="172">
                  <c:v>102.09</c:v>
                </c:pt>
                <c:pt idx="173">
                  <c:v>91.85</c:v>
                </c:pt>
                <c:pt idx="174">
                  <c:v>73.5</c:v>
                </c:pt>
                <c:pt idx="175">
                  <c:v>67.66</c:v>
                </c:pt>
                <c:pt idx="176">
                  <c:v>#N/A</c:v>
                </c:pt>
                <c:pt idx="177">
                  <c:v>40.51</c:v>
                </c:pt>
                <c:pt idx="178">
                  <c:v>116.8</c:v>
                </c:pt>
                <c:pt idx="179">
                  <c:v>91.1</c:v>
                </c:pt>
                <c:pt idx="180">
                  <c:v>39.950000000000003</c:v>
                </c:pt>
                <c:pt idx="181">
                  <c:v>93.62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70.61</c:v>
                </c:pt>
                <c:pt idx="187">
                  <c:v>113.2</c:v>
                </c:pt>
                <c:pt idx="188">
                  <c:v>#N/A</c:v>
                </c:pt>
                <c:pt idx="189">
                  <c:v>79.39</c:v>
                </c:pt>
                <c:pt idx="190">
                  <c:v>56.92</c:v>
                </c:pt>
                <c:pt idx="191">
                  <c:v>65.430000000000007</c:v>
                </c:pt>
                <c:pt idx="192">
                  <c:v>74.86</c:v>
                </c:pt>
                <c:pt idx="193">
                  <c:v>#N/A</c:v>
                </c:pt>
                <c:pt idx="194">
                  <c:v>40.17</c:v>
                </c:pt>
                <c:pt idx="195">
                  <c:v>88.46</c:v>
                </c:pt>
                <c:pt idx="196">
                  <c:v>#N/A</c:v>
                </c:pt>
                <c:pt idx="197">
                  <c:v>33.880000000000003</c:v>
                </c:pt>
                <c:pt idx="198">
                  <c:v>20.27</c:v>
                </c:pt>
                <c:pt idx="199">
                  <c:v>#N/A</c:v>
                </c:pt>
                <c:pt idx="200">
                  <c:v>67.319999999999993</c:v>
                </c:pt>
                <c:pt idx="201">
                  <c:v>80.61</c:v>
                </c:pt>
                <c:pt idx="202">
                  <c:v>#N/A</c:v>
                </c:pt>
                <c:pt idx="203">
                  <c:v>30.67</c:v>
                </c:pt>
                <c:pt idx="204">
                  <c:v>105.07</c:v>
                </c:pt>
                <c:pt idx="205">
                  <c:v>94.6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40.5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98.15</c:v>
                </c:pt>
                <c:pt idx="215">
                  <c:v>102.79</c:v>
                </c:pt>
                <c:pt idx="216">
                  <c:v>#N/A</c:v>
                </c:pt>
                <c:pt idx="217">
                  <c:v>99.95</c:v>
                </c:pt>
                <c:pt idx="218">
                  <c:v>#N/A</c:v>
                </c:pt>
                <c:pt idx="219">
                  <c:v>38.64</c:v>
                </c:pt>
                <c:pt idx="220">
                  <c:v>43.57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78.83</c:v>
                </c:pt>
                <c:pt idx="225">
                  <c:v>88.3</c:v>
                </c:pt>
                <c:pt idx="226">
                  <c:v>#N/A</c:v>
                </c:pt>
                <c:pt idx="227">
                  <c:v>91.38</c:v>
                </c:pt>
                <c:pt idx="228">
                  <c:v>#N/A</c:v>
                </c:pt>
                <c:pt idx="229">
                  <c:v>#N/A</c:v>
                </c:pt>
                <c:pt idx="230">
                  <c:v>73.98</c:v>
                </c:pt>
                <c:pt idx="231">
                  <c:v>63.87</c:v>
                </c:pt>
                <c:pt idx="232">
                  <c:v>77.75</c:v>
                </c:pt>
                <c:pt idx="233">
                  <c:v>#N/A</c:v>
                </c:pt>
                <c:pt idx="234">
                  <c:v>#N/A</c:v>
                </c:pt>
                <c:pt idx="235">
                  <c:v>73.19</c:v>
                </c:pt>
                <c:pt idx="236">
                  <c:v>26.66</c:v>
                </c:pt>
                <c:pt idx="237">
                  <c:v>42.9</c:v>
                </c:pt>
                <c:pt idx="238">
                  <c:v>#N/A</c:v>
                </c:pt>
                <c:pt idx="239">
                  <c:v>63.15</c:v>
                </c:pt>
                <c:pt idx="240">
                  <c:v>#N/A</c:v>
                </c:pt>
                <c:pt idx="241">
                  <c:v>#N/A</c:v>
                </c:pt>
                <c:pt idx="242">
                  <c:v>89.37</c:v>
                </c:pt>
                <c:pt idx="243">
                  <c:v>#N/A</c:v>
                </c:pt>
                <c:pt idx="244">
                  <c:v>107.86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95.24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78-3F46-B29D-99C45275BD15}"/>
            </c:ext>
          </c:extLst>
        </c:ser>
        <c:ser>
          <c:idx val="1"/>
          <c:order val="1"/>
          <c:tx>
            <c:strRef>
              <c:f>'2. 15 Tickets MonthlyCharges'!$G$1</c:f>
              <c:strCache>
                <c:ptCount val="1"/>
                <c:pt idx="0">
                  <c:v>Churn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'2. 15 Tickets MonthlyCharges'!$F$2:$F$251</c:f>
              <c:numCache>
                <c:formatCode>General</c:formatCode>
                <c:ptCount val="250"/>
                <c:pt idx="0">
                  <c:v>2</c:v>
                </c:pt>
                <c:pt idx="1">
                  <c:v>1</c:v>
                </c:pt>
                <c:pt idx="2">
                  <c:v>#N/A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#N/A</c:v>
                </c:pt>
                <c:pt idx="8">
                  <c:v>0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1</c:v>
                </c:pt>
                <c:pt idx="14">
                  <c:v>#N/A</c:v>
                </c:pt>
                <c:pt idx="15">
                  <c:v>3</c:v>
                </c:pt>
                <c:pt idx="16">
                  <c:v>#N/A</c:v>
                </c:pt>
                <c:pt idx="17">
                  <c:v>#N/A</c:v>
                </c:pt>
                <c:pt idx="18">
                  <c:v>6</c:v>
                </c:pt>
                <c:pt idx="19">
                  <c:v>3</c:v>
                </c:pt>
                <c:pt idx="20">
                  <c:v>#N/A</c:v>
                </c:pt>
                <c:pt idx="21">
                  <c:v>1</c:v>
                </c:pt>
                <c:pt idx="22">
                  <c:v>0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1</c:v>
                </c:pt>
                <c:pt idx="30">
                  <c:v>2</c:v>
                </c:pt>
                <c:pt idx="31">
                  <c:v>#N/A</c:v>
                </c:pt>
                <c:pt idx="32">
                  <c:v>#N/A</c:v>
                </c:pt>
                <c:pt idx="33">
                  <c:v>5</c:v>
                </c:pt>
                <c:pt idx="34">
                  <c:v>0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2</c:v>
                </c:pt>
                <c:pt idx="39">
                  <c:v>#N/A</c:v>
                </c:pt>
                <c:pt idx="40">
                  <c:v>3</c:v>
                </c:pt>
                <c:pt idx="41">
                  <c:v>0</c:v>
                </c:pt>
                <c:pt idx="42">
                  <c:v>2</c:v>
                </c:pt>
                <c:pt idx="43">
                  <c:v>#N/A</c:v>
                </c:pt>
                <c:pt idx="44">
                  <c:v>5</c:v>
                </c:pt>
                <c:pt idx="45">
                  <c:v>#N/A</c:v>
                </c:pt>
                <c:pt idx="46">
                  <c:v>#N/A</c:v>
                </c:pt>
                <c:pt idx="47">
                  <c:v>1</c:v>
                </c:pt>
                <c:pt idx="48">
                  <c:v>#N/A</c:v>
                </c:pt>
                <c:pt idx="49">
                  <c:v>2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1</c:v>
                </c:pt>
                <c:pt idx="55">
                  <c:v>1</c:v>
                </c:pt>
                <c:pt idx="56">
                  <c:v>#N/A</c:v>
                </c:pt>
                <c:pt idx="57">
                  <c:v>#N/A</c:v>
                </c:pt>
                <c:pt idx="58">
                  <c:v>2</c:v>
                </c:pt>
                <c:pt idx="59">
                  <c:v>#N/A</c:v>
                </c:pt>
                <c:pt idx="60">
                  <c:v>3</c:v>
                </c:pt>
                <c:pt idx="61">
                  <c:v>#N/A</c:v>
                </c:pt>
                <c:pt idx="62">
                  <c:v>3</c:v>
                </c:pt>
                <c:pt idx="63">
                  <c:v>#N/A</c:v>
                </c:pt>
                <c:pt idx="64">
                  <c:v>0</c:v>
                </c:pt>
                <c:pt idx="65">
                  <c:v>1</c:v>
                </c:pt>
                <c:pt idx="66">
                  <c:v>3</c:v>
                </c:pt>
                <c:pt idx="67">
                  <c:v>0</c:v>
                </c:pt>
                <c:pt idx="68">
                  <c:v>#N/A</c:v>
                </c:pt>
                <c:pt idx="69">
                  <c:v>1</c:v>
                </c:pt>
                <c:pt idx="70">
                  <c:v>#N/A</c:v>
                </c:pt>
                <c:pt idx="71">
                  <c:v>2</c:v>
                </c:pt>
                <c:pt idx="72">
                  <c:v>2</c:v>
                </c:pt>
                <c:pt idx="73">
                  <c:v>1</c:v>
                </c:pt>
                <c:pt idx="74">
                  <c:v>3</c:v>
                </c:pt>
                <c:pt idx="75">
                  <c:v>2</c:v>
                </c:pt>
                <c:pt idx="76">
                  <c:v>#N/A</c:v>
                </c:pt>
                <c:pt idx="77">
                  <c:v>#N/A</c:v>
                </c:pt>
                <c:pt idx="78">
                  <c:v>1</c:v>
                </c:pt>
                <c:pt idx="79">
                  <c:v>#N/A</c:v>
                </c:pt>
                <c:pt idx="80">
                  <c:v>2</c:v>
                </c:pt>
                <c:pt idx="81">
                  <c:v>0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2</c:v>
                </c:pt>
                <c:pt idx="87">
                  <c:v>#N/A</c:v>
                </c:pt>
                <c:pt idx="88">
                  <c:v>#N/A</c:v>
                </c:pt>
                <c:pt idx="89">
                  <c:v>1</c:v>
                </c:pt>
                <c:pt idx="90">
                  <c:v>#N/A</c:v>
                </c:pt>
                <c:pt idx="91">
                  <c:v>2</c:v>
                </c:pt>
                <c:pt idx="92">
                  <c:v>2</c:v>
                </c:pt>
                <c:pt idx="93">
                  <c:v>#N/A</c:v>
                </c:pt>
                <c:pt idx="94">
                  <c:v>#N/A</c:v>
                </c:pt>
                <c:pt idx="95">
                  <c:v>0</c:v>
                </c:pt>
                <c:pt idx="96">
                  <c:v>6</c:v>
                </c:pt>
                <c:pt idx="97">
                  <c:v>1</c:v>
                </c:pt>
                <c:pt idx="98">
                  <c:v>4</c:v>
                </c:pt>
                <c:pt idx="99">
                  <c:v>#N/A</c:v>
                </c:pt>
                <c:pt idx="100">
                  <c:v>#N/A</c:v>
                </c:pt>
                <c:pt idx="101">
                  <c:v>6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3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4</c:v>
                </c:pt>
                <c:pt idx="114">
                  <c:v>#N/A</c:v>
                </c:pt>
                <c:pt idx="115">
                  <c:v>1</c:v>
                </c:pt>
                <c:pt idx="116">
                  <c:v>1</c:v>
                </c:pt>
                <c:pt idx="117">
                  <c:v>4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2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3</c:v>
                </c:pt>
                <c:pt idx="129">
                  <c:v>3</c:v>
                </c:pt>
                <c:pt idx="130">
                  <c:v>2</c:v>
                </c:pt>
                <c:pt idx="131">
                  <c:v>1</c:v>
                </c:pt>
                <c:pt idx="132">
                  <c:v>2</c:v>
                </c:pt>
                <c:pt idx="133">
                  <c:v>1</c:v>
                </c:pt>
                <c:pt idx="134">
                  <c:v>#N/A</c:v>
                </c:pt>
                <c:pt idx="135">
                  <c:v>1</c:v>
                </c:pt>
                <c:pt idx="136">
                  <c:v>2</c:v>
                </c:pt>
                <c:pt idx="137">
                  <c:v>#N/A</c:v>
                </c:pt>
                <c:pt idx="138">
                  <c:v>#N/A</c:v>
                </c:pt>
                <c:pt idx="139">
                  <c:v>1</c:v>
                </c:pt>
                <c:pt idx="140">
                  <c:v>#N/A</c:v>
                </c:pt>
                <c:pt idx="141">
                  <c:v>#N/A</c:v>
                </c:pt>
                <c:pt idx="142">
                  <c:v>2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3</c:v>
                </c:pt>
                <c:pt idx="149">
                  <c:v>2</c:v>
                </c:pt>
                <c:pt idx="150">
                  <c:v>3</c:v>
                </c:pt>
                <c:pt idx="151">
                  <c:v>#N/A</c:v>
                </c:pt>
                <c:pt idx="152">
                  <c:v>#N/A</c:v>
                </c:pt>
                <c:pt idx="153">
                  <c:v>0</c:v>
                </c:pt>
                <c:pt idx="154">
                  <c:v>#N/A</c:v>
                </c:pt>
                <c:pt idx="155">
                  <c:v>#N/A</c:v>
                </c:pt>
                <c:pt idx="156">
                  <c:v>0</c:v>
                </c:pt>
                <c:pt idx="157">
                  <c:v>#N/A</c:v>
                </c:pt>
                <c:pt idx="158">
                  <c:v>#N/A</c:v>
                </c:pt>
                <c:pt idx="159">
                  <c:v>0</c:v>
                </c:pt>
                <c:pt idx="160">
                  <c:v>#N/A</c:v>
                </c:pt>
                <c:pt idx="161">
                  <c:v>#N/A</c:v>
                </c:pt>
                <c:pt idx="162">
                  <c:v>1</c:v>
                </c:pt>
                <c:pt idx="163">
                  <c:v>#N/A</c:v>
                </c:pt>
                <c:pt idx="164">
                  <c:v>4</c:v>
                </c:pt>
                <c:pt idx="165">
                  <c:v>3</c:v>
                </c:pt>
                <c:pt idx="166">
                  <c:v>2</c:v>
                </c:pt>
                <c:pt idx="167">
                  <c:v>4</c:v>
                </c:pt>
                <c:pt idx="168">
                  <c:v>2</c:v>
                </c:pt>
                <c:pt idx="169">
                  <c:v>0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0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1</c:v>
                </c:pt>
                <c:pt idx="183">
                  <c:v>1</c:v>
                </c:pt>
                <c:pt idx="184">
                  <c:v>3</c:v>
                </c:pt>
                <c:pt idx="185">
                  <c:v>1</c:v>
                </c:pt>
                <c:pt idx="186">
                  <c:v>#N/A</c:v>
                </c:pt>
                <c:pt idx="187">
                  <c:v>#N/A</c:v>
                </c:pt>
                <c:pt idx="188">
                  <c:v>1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2</c:v>
                </c:pt>
                <c:pt idx="194">
                  <c:v>#N/A</c:v>
                </c:pt>
                <c:pt idx="195">
                  <c:v>#N/A</c:v>
                </c:pt>
                <c:pt idx="196">
                  <c:v>3</c:v>
                </c:pt>
                <c:pt idx="197">
                  <c:v>#N/A</c:v>
                </c:pt>
                <c:pt idx="198">
                  <c:v>#N/A</c:v>
                </c:pt>
                <c:pt idx="199">
                  <c:v>1</c:v>
                </c:pt>
                <c:pt idx="200">
                  <c:v>#N/A</c:v>
                </c:pt>
                <c:pt idx="201">
                  <c:v>#N/A</c:v>
                </c:pt>
                <c:pt idx="202">
                  <c:v>3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2</c:v>
                </c:pt>
                <c:pt idx="207">
                  <c:v>3</c:v>
                </c:pt>
                <c:pt idx="208">
                  <c:v>1</c:v>
                </c:pt>
                <c:pt idx="209">
                  <c:v>#N/A</c:v>
                </c:pt>
                <c:pt idx="210">
                  <c:v>2</c:v>
                </c:pt>
                <c:pt idx="211">
                  <c:v>0</c:v>
                </c:pt>
                <c:pt idx="212">
                  <c:v>3</c:v>
                </c:pt>
                <c:pt idx="213">
                  <c:v>0</c:v>
                </c:pt>
                <c:pt idx="214">
                  <c:v>#N/A</c:v>
                </c:pt>
                <c:pt idx="215">
                  <c:v>#N/A</c:v>
                </c:pt>
                <c:pt idx="216">
                  <c:v>2</c:v>
                </c:pt>
                <c:pt idx="217">
                  <c:v>#N/A</c:v>
                </c:pt>
                <c:pt idx="218">
                  <c:v>3</c:v>
                </c:pt>
                <c:pt idx="219">
                  <c:v>#N/A</c:v>
                </c:pt>
                <c:pt idx="220">
                  <c:v>#N/A</c:v>
                </c:pt>
                <c:pt idx="221">
                  <c:v>0</c:v>
                </c:pt>
                <c:pt idx="222">
                  <c:v>3</c:v>
                </c:pt>
                <c:pt idx="223">
                  <c:v>0</c:v>
                </c:pt>
                <c:pt idx="224">
                  <c:v>#N/A</c:v>
                </c:pt>
                <c:pt idx="225">
                  <c:v>#N/A</c:v>
                </c:pt>
                <c:pt idx="226">
                  <c:v>0</c:v>
                </c:pt>
                <c:pt idx="227">
                  <c:v>#N/A</c:v>
                </c:pt>
                <c:pt idx="228">
                  <c:v>1</c:v>
                </c:pt>
                <c:pt idx="229">
                  <c:v>2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2</c:v>
                </c:pt>
                <c:pt idx="234">
                  <c:v>3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1</c:v>
                </c:pt>
                <c:pt idx="239">
                  <c:v>#N/A</c:v>
                </c:pt>
                <c:pt idx="240">
                  <c:v>2</c:v>
                </c:pt>
                <c:pt idx="241">
                  <c:v>2</c:v>
                </c:pt>
                <c:pt idx="242">
                  <c:v>#N/A</c:v>
                </c:pt>
                <c:pt idx="243">
                  <c:v>3</c:v>
                </c:pt>
                <c:pt idx="244">
                  <c:v>#N/A</c:v>
                </c:pt>
                <c:pt idx="245">
                  <c:v>2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#N/A</c:v>
                </c:pt>
              </c:numCache>
            </c:numRef>
          </c:xVal>
          <c:yVal>
            <c:numRef>
              <c:f>'2. 15 Tickets MonthlyCharges'!$G$2:$G$251</c:f>
              <c:numCache>
                <c:formatCode>General</c:formatCode>
                <c:ptCount val="250"/>
                <c:pt idx="0">
                  <c:v>28.27</c:v>
                </c:pt>
                <c:pt idx="1">
                  <c:v>107.67</c:v>
                </c:pt>
                <c:pt idx="2">
                  <c:v>#N/A</c:v>
                </c:pt>
                <c:pt idx="3">
                  <c:v>36.479999999999997</c:v>
                </c:pt>
                <c:pt idx="4">
                  <c:v>61.13</c:v>
                </c:pt>
                <c:pt idx="5">
                  <c:v>97.76</c:v>
                </c:pt>
                <c:pt idx="6">
                  <c:v>68.040000000000006</c:v>
                </c:pt>
                <c:pt idx="7">
                  <c:v>#N/A</c:v>
                </c:pt>
                <c:pt idx="8">
                  <c:v>57.67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26.35</c:v>
                </c:pt>
                <c:pt idx="14">
                  <c:v>#N/A</c:v>
                </c:pt>
                <c:pt idx="15">
                  <c:v>33.39</c:v>
                </c:pt>
                <c:pt idx="16">
                  <c:v>#N/A</c:v>
                </c:pt>
                <c:pt idx="17">
                  <c:v>#N/A</c:v>
                </c:pt>
                <c:pt idx="18">
                  <c:v>89.17</c:v>
                </c:pt>
                <c:pt idx="19">
                  <c:v>73.430000000000007</c:v>
                </c:pt>
                <c:pt idx="20">
                  <c:v>#N/A</c:v>
                </c:pt>
                <c:pt idx="21">
                  <c:v>111.32</c:v>
                </c:pt>
                <c:pt idx="22">
                  <c:v>78.510000000000005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47.47</c:v>
                </c:pt>
                <c:pt idx="30">
                  <c:v>40.72</c:v>
                </c:pt>
                <c:pt idx="31">
                  <c:v>#N/A</c:v>
                </c:pt>
                <c:pt idx="32">
                  <c:v>#N/A</c:v>
                </c:pt>
                <c:pt idx="33">
                  <c:v>24.69</c:v>
                </c:pt>
                <c:pt idx="34">
                  <c:v>46.87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103.14</c:v>
                </c:pt>
                <c:pt idx="39">
                  <c:v>#N/A</c:v>
                </c:pt>
                <c:pt idx="40">
                  <c:v>101.64</c:v>
                </c:pt>
                <c:pt idx="41">
                  <c:v>116.8</c:v>
                </c:pt>
                <c:pt idx="42">
                  <c:v>28.84</c:v>
                </c:pt>
                <c:pt idx="43">
                  <c:v>#N/A</c:v>
                </c:pt>
                <c:pt idx="44">
                  <c:v>79</c:v>
                </c:pt>
                <c:pt idx="45">
                  <c:v>#N/A</c:v>
                </c:pt>
                <c:pt idx="46">
                  <c:v>#N/A</c:v>
                </c:pt>
                <c:pt idx="47">
                  <c:v>98.47</c:v>
                </c:pt>
                <c:pt idx="48">
                  <c:v>#N/A</c:v>
                </c:pt>
                <c:pt idx="49">
                  <c:v>100.5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83.66</c:v>
                </c:pt>
                <c:pt idx="55">
                  <c:v>75.48</c:v>
                </c:pt>
                <c:pt idx="56">
                  <c:v>#N/A</c:v>
                </c:pt>
                <c:pt idx="57">
                  <c:v>#N/A</c:v>
                </c:pt>
                <c:pt idx="58">
                  <c:v>74.739999999999995</c:v>
                </c:pt>
                <c:pt idx="59">
                  <c:v>#N/A</c:v>
                </c:pt>
                <c:pt idx="60">
                  <c:v>111.05</c:v>
                </c:pt>
                <c:pt idx="61">
                  <c:v>#N/A</c:v>
                </c:pt>
                <c:pt idx="62">
                  <c:v>72.36</c:v>
                </c:pt>
                <c:pt idx="63">
                  <c:v>#N/A</c:v>
                </c:pt>
                <c:pt idx="64">
                  <c:v>99.65</c:v>
                </c:pt>
                <c:pt idx="65">
                  <c:v>65.930000000000007</c:v>
                </c:pt>
                <c:pt idx="66">
                  <c:v>104.21</c:v>
                </c:pt>
                <c:pt idx="67">
                  <c:v>96.89</c:v>
                </c:pt>
                <c:pt idx="68">
                  <c:v>#N/A</c:v>
                </c:pt>
                <c:pt idx="69">
                  <c:v>24.59</c:v>
                </c:pt>
                <c:pt idx="70">
                  <c:v>#N/A</c:v>
                </c:pt>
                <c:pt idx="71">
                  <c:v>54.74</c:v>
                </c:pt>
                <c:pt idx="72">
                  <c:v>40.909999999999997</c:v>
                </c:pt>
                <c:pt idx="73">
                  <c:v>77.959999999999994</c:v>
                </c:pt>
                <c:pt idx="74">
                  <c:v>54.16</c:v>
                </c:pt>
                <c:pt idx="75">
                  <c:v>73.73</c:v>
                </c:pt>
                <c:pt idx="76">
                  <c:v>#N/A</c:v>
                </c:pt>
                <c:pt idx="77">
                  <c:v>#N/A</c:v>
                </c:pt>
                <c:pt idx="78">
                  <c:v>60.03</c:v>
                </c:pt>
                <c:pt idx="79">
                  <c:v>#N/A</c:v>
                </c:pt>
                <c:pt idx="80">
                  <c:v>38.01</c:v>
                </c:pt>
                <c:pt idx="81">
                  <c:v>89.65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80.19</c:v>
                </c:pt>
                <c:pt idx="87">
                  <c:v>#N/A</c:v>
                </c:pt>
                <c:pt idx="88">
                  <c:v>#N/A</c:v>
                </c:pt>
                <c:pt idx="89">
                  <c:v>54.51</c:v>
                </c:pt>
                <c:pt idx="90">
                  <c:v>#N/A</c:v>
                </c:pt>
                <c:pt idx="91">
                  <c:v>23.18</c:v>
                </c:pt>
                <c:pt idx="92">
                  <c:v>74.87</c:v>
                </c:pt>
                <c:pt idx="93">
                  <c:v>#N/A</c:v>
                </c:pt>
                <c:pt idx="94">
                  <c:v>#N/A</c:v>
                </c:pt>
                <c:pt idx="95">
                  <c:v>109.42</c:v>
                </c:pt>
                <c:pt idx="96">
                  <c:v>32.869999999999997</c:v>
                </c:pt>
                <c:pt idx="97">
                  <c:v>53.01</c:v>
                </c:pt>
                <c:pt idx="98">
                  <c:v>52.16</c:v>
                </c:pt>
                <c:pt idx="99">
                  <c:v>#N/A</c:v>
                </c:pt>
                <c:pt idx="100">
                  <c:v>#N/A</c:v>
                </c:pt>
                <c:pt idx="101">
                  <c:v>88.78</c:v>
                </c:pt>
                <c:pt idx="102">
                  <c:v>71.17</c:v>
                </c:pt>
                <c:pt idx="103">
                  <c:v>35.700000000000003</c:v>
                </c:pt>
                <c:pt idx="104">
                  <c:v>57.73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79.73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96</c:v>
                </c:pt>
                <c:pt idx="114">
                  <c:v>#N/A</c:v>
                </c:pt>
                <c:pt idx="115">
                  <c:v>92.05</c:v>
                </c:pt>
                <c:pt idx="116">
                  <c:v>26.23</c:v>
                </c:pt>
                <c:pt idx="117">
                  <c:v>34.770000000000003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94.96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38.229999999999997</c:v>
                </c:pt>
                <c:pt idx="129">
                  <c:v>76.400000000000006</c:v>
                </c:pt>
                <c:pt idx="130">
                  <c:v>104.07</c:v>
                </c:pt>
                <c:pt idx="131">
                  <c:v>28.92</c:v>
                </c:pt>
                <c:pt idx="132">
                  <c:v>73.53</c:v>
                </c:pt>
                <c:pt idx="133">
                  <c:v>43.32</c:v>
                </c:pt>
                <c:pt idx="134">
                  <c:v>#N/A</c:v>
                </c:pt>
                <c:pt idx="135">
                  <c:v>67.400000000000006</c:v>
                </c:pt>
                <c:pt idx="136">
                  <c:v>55.51</c:v>
                </c:pt>
                <c:pt idx="137">
                  <c:v>#N/A</c:v>
                </c:pt>
                <c:pt idx="138">
                  <c:v>#N/A</c:v>
                </c:pt>
                <c:pt idx="139">
                  <c:v>78.42</c:v>
                </c:pt>
                <c:pt idx="140">
                  <c:v>#N/A</c:v>
                </c:pt>
                <c:pt idx="141">
                  <c:v>#N/A</c:v>
                </c:pt>
                <c:pt idx="142">
                  <c:v>78.650000000000006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44.44</c:v>
                </c:pt>
                <c:pt idx="149">
                  <c:v>69.819999999999993</c:v>
                </c:pt>
                <c:pt idx="150">
                  <c:v>53.03</c:v>
                </c:pt>
                <c:pt idx="151">
                  <c:v>#N/A</c:v>
                </c:pt>
                <c:pt idx="152">
                  <c:v>#N/A</c:v>
                </c:pt>
                <c:pt idx="153">
                  <c:v>42.53</c:v>
                </c:pt>
                <c:pt idx="154">
                  <c:v>#N/A</c:v>
                </c:pt>
                <c:pt idx="155">
                  <c:v>#N/A</c:v>
                </c:pt>
                <c:pt idx="156">
                  <c:v>105.08</c:v>
                </c:pt>
                <c:pt idx="157">
                  <c:v>#N/A</c:v>
                </c:pt>
                <c:pt idx="158">
                  <c:v>#N/A</c:v>
                </c:pt>
                <c:pt idx="159">
                  <c:v>25.57</c:v>
                </c:pt>
                <c:pt idx="160">
                  <c:v>#N/A</c:v>
                </c:pt>
                <c:pt idx="161">
                  <c:v>#N/A</c:v>
                </c:pt>
                <c:pt idx="162">
                  <c:v>21.82</c:v>
                </c:pt>
                <c:pt idx="163">
                  <c:v>#N/A</c:v>
                </c:pt>
                <c:pt idx="164">
                  <c:v>119.73</c:v>
                </c:pt>
                <c:pt idx="165">
                  <c:v>109.66</c:v>
                </c:pt>
                <c:pt idx="166">
                  <c:v>77.599999999999994</c:v>
                </c:pt>
                <c:pt idx="167">
                  <c:v>111.74</c:v>
                </c:pt>
                <c:pt idx="168">
                  <c:v>20.53</c:v>
                </c:pt>
                <c:pt idx="169">
                  <c:v>117.51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103.86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72.98</c:v>
                </c:pt>
                <c:pt idx="183">
                  <c:v>90.72</c:v>
                </c:pt>
                <c:pt idx="184">
                  <c:v>96.78</c:v>
                </c:pt>
                <c:pt idx="185">
                  <c:v>28.73</c:v>
                </c:pt>
                <c:pt idx="186">
                  <c:v>#N/A</c:v>
                </c:pt>
                <c:pt idx="187">
                  <c:v>#N/A</c:v>
                </c:pt>
                <c:pt idx="188">
                  <c:v>52.06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74.89</c:v>
                </c:pt>
                <c:pt idx="194">
                  <c:v>#N/A</c:v>
                </c:pt>
                <c:pt idx="195">
                  <c:v>#N/A</c:v>
                </c:pt>
                <c:pt idx="196">
                  <c:v>28.79</c:v>
                </c:pt>
                <c:pt idx="197">
                  <c:v>#N/A</c:v>
                </c:pt>
                <c:pt idx="198">
                  <c:v>#N/A</c:v>
                </c:pt>
                <c:pt idx="199">
                  <c:v>31.67</c:v>
                </c:pt>
                <c:pt idx="200">
                  <c:v>#N/A</c:v>
                </c:pt>
                <c:pt idx="201">
                  <c:v>#N/A</c:v>
                </c:pt>
                <c:pt idx="202">
                  <c:v>99.43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60.85</c:v>
                </c:pt>
                <c:pt idx="207">
                  <c:v>113.29</c:v>
                </c:pt>
                <c:pt idx="208">
                  <c:v>119.09</c:v>
                </c:pt>
                <c:pt idx="209">
                  <c:v>#N/A</c:v>
                </c:pt>
                <c:pt idx="210">
                  <c:v>57.92</c:v>
                </c:pt>
                <c:pt idx="211">
                  <c:v>112.64</c:v>
                </c:pt>
                <c:pt idx="212">
                  <c:v>92.16</c:v>
                </c:pt>
                <c:pt idx="213">
                  <c:v>24.81</c:v>
                </c:pt>
                <c:pt idx="214">
                  <c:v>#N/A</c:v>
                </c:pt>
                <c:pt idx="215">
                  <c:v>#N/A</c:v>
                </c:pt>
                <c:pt idx="216">
                  <c:v>95.05</c:v>
                </c:pt>
                <c:pt idx="217">
                  <c:v>#N/A</c:v>
                </c:pt>
                <c:pt idx="218">
                  <c:v>102.51</c:v>
                </c:pt>
                <c:pt idx="219">
                  <c:v>#N/A</c:v>
                </c:pt>
                <c:pt idx="220">
                  <c:v>#N/A</c:v>
                </c:pt>
                <c:pt idx="221">
                  <c:v>83.38</c:v>
                </c:pt>
                <c:pt idx="222">
                  <c:v>110.79</c:v>
                </c:pt>
                <c:pt idx="223">
                  <c:v>51.62</c:v>
                </c:pt>
                <c:pt idx="224">
                  <c:v>#N/A</c:v>
                </c:pt>
                <c:pt idx="225">
                  <c:v>#N/A</c:v>
                </c:pt>
                <c:pt idx="226">
                  <c:v>65.19</c:v>
                </c:pt>
                <c:pt idx="227">
                  <c:v>#N/A</c:v>
                </c:pt>
                <c:pt idx="228">
                  <c:v>109.97</c:v>
                </c:pt>
                <c:pt idx="229">
                  <c:v>82.41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55.54</c:v>
                </c:pt>
                <c:pt idx="234">
                  <c:v>59.15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74.28</c:v>
                </c:pt>
                <c:pt idx="239">
                  <c:v>#N/A</c:v>
                </c:pt>
                <c:pt idx="240">
                  <c:v>53.28</c:v>
                </c:pt>
                <c:pt idx="241">
                  <c:v>93.05</c:v>
                </c:pt>
                <c:pt idx="242">
                  <c:v>#N/A</c:v>
                </c:pt>
                <c:pt idx="243">
                  <c:v>36.67</c:v>
                </c:pt>
                <c:pt idx="244">
                  <c:v>#N/A</c:v>
                </c:pt>
                <c:pt idx="245">
                  <c:v>69.540000000000006</c:v>
                </c:pt>
                <c:pt idx="246">
                  <c:v>94.15</c:v>
                </c:pt>
                <c:pt idx="247">
                  <c:v>77.319999999999993</c:v>
                </c:pt>
                <c:pt idx="248">
                  <c:v>119.77</c:v>
                </c:pt>
                <c:pt idx="24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78-3F46-B29D-99C45275B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08511"/>
        <c:axId val="365938239"/>
      </c:scatterChart>
      <c:valAx>
        <c:axId val="12690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938239"/>
        <c:crosses val="autoZero"/>
        <c:crossBetween val="midCat"/>
      </c:valAx>
      <c:valAx>
        <c:axId val="36593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08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Customer Tenure vs Churn Status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'2.18 Tenure &lt;&gt; Churn'!$D$1</c:f>
              <c:strCache>
                <c:ptCount val="1"/>
                <c:pt idx="0">
                  <c:v>No Churn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'2.18 Tenure &lt;&gt; Churn'!$B$2:$B$251</c:f>
              <c:numCache>
                <c:formatCode>General</c:formatCode>
                <c:ptCount val="250"/>
                <c:pt idx="0">
                  <c:v>58</c:v>
                </c:pt>
                <c:pt idx="1">
                  <c:v>63</c:v>
                </c:pt>
                <c:pt idx="2">
                  <c:v>62</c:v>
                </c:pt>
                <c:pt idx="3">
                  <c:v>22</c:v>
                </c:pt>
                <c:pt idx="4">
                  <c:v>58</c:v>
                </c:pt>
                <c:pt idx="5">
                  <c:v>58</c:v>
                </c:pt>
                <c:pt idx="6">
                  <c:v>49</c:v>
                </c:pt>
                <c:pt idx="7">
                  <c:v>52</c:v>
                </c:pt>
                <c:pt idx="8">
                  <c:v>42</c:v>
                </c:pt>
                <c:pt idx="9">
                  <c:v>70</c:v>
                </c:pt>
                <c:pt idx="10">
                  <c:v>15</c:v>
                </c:pt>
                <c:pt idx="11">
                  <c:v>54</c:v>
                </c:pt>
                <c:pt idx="12">
                  <c:v>60</c:v>
                </c:pt>
                <c:pt idx="13">
                  <c:v>8</c:v>
                </c:pt>
                <c:pt idx="14">
                  <c:v>53</c:v>
                </c:pt>
                <c:pt idx="15">
                  <c:v>60</c:v>
                </c:pt>
                <c:pt idx="16">
                  <c:v>5</c:v>
                </c:pt>
                <c:pt idx="17">
                  <c:v>68</c:v>
                </c:pt>
                <c:pt idx="18">
                  <c:v>6</c:v>
                </c:pt>
                <c:pt idx="19">
                  <c:v>47</c:v>
                </c:pt>
                <c:pt idx="20">
                  <c:v>55</c:v>
                </c:pt>
                <c:pt idx="21">
                  <c:v>40</c:v>
                </c:pt>
                <c:pt idx="22">
                  <c:v>52</c:v>
                </c:pt>
                <c:pt idx="23">
                  <c:v>16</c:v>
                </c:pt>
                <c:pt idx="24">
                  <c:v>13</c:v>
                </c:pt>
                <c:pt idx="25">
                  <c:v>30</c:v>
                </c:pt>
                <c:pt idx="26">
                  <c:v>19</c:v>
                </c:pt>
                <c:pt idx="27">
                  <c:v>17</c:v>
                </c:pt>
                <c:pt idx="28">
                  <c:v>63</c:v>
                </c:pt>
                <c:pt idx="29">
                  <c:v>19</c:v>
                </c:pt>
                <c:pt idx="30">
                  <c:v>58</c:v>
                </c:pt>
                <c:pt idx="31">
                  <c:v>55</c:v>
                </c:pt>
                <c:pt idx="32">
                  <c:v>62</c:v>
                </c:pt>
                <c:pt idx="33">
                  <c:v>23</c:v>
                </c:pt>
                <c:pt idx="34">
                  <c:v>9</c:v>
                </c:pt>
                <c:pt idx="35">
                  <c:v>12</c:v>
                </c:pt>
                <c:pt idx="36">
                  <c:v>1</c:v>
                </c:pt>
                <c:pt idx="37">
                  <c:v>58</c:v>
                </c:pt>
                <c:pt idx="38">
                  <c:v>1</c:v>
                </c:pt>
                <c:pt idx="39">
                  <c:v>34</c:v>
                </c:pt>
                <c:pt idx="40">
                  <c:v>48</c:v>
                </c:pt>
                <c:pt idx="41">
                  <c:v>1</c:v>
                </c:pt>
                <c:pt idx="42">
                  <c:v>16</c:v>
                </c:pt>
                <c:pt idx="43">
                  <c:v>61</c:v>
                </c:pt>
                <c:pt idx="44">
                  <c:v>64</c:v>
                </c:pt>
                <c:pt idx="45">
                  <c:v>63</c:v>
                </c:pt>
                <c:pt idx="46">
                  <c:v>69</c:v>
                </c:pt>
                <c:pt idx="47">
                  <c:v>22</c:v>
                </c:pt>
                <c:pt idx="48">
                  <c:v>67</c:v>
                </c:pt>
                <c:pt idx="49">
                  <c:v>26</c:v>
                </c:pt>
                <c:pt idx="50">
                  <c:v>16</c:v>
                </c:pt>
                <c:pt idx="51">
                  <c:v>51</c:v>
                </c:pt>
                <c:pt idx="52">
                  <c:v>57</c:v>
                </c:pt>
                <c:pt idx="53">
                  <c:v>29</c:v>
                </c:pt>
                <c:pt idx="54">
                  <c:v>69</c:v>
                </c:pt>
                <c:pt idx="55">
                  <c:v>47</c:v>
                </c:pt>
                <c:pt idx="56">
                  <c:v>62</c:v>
                </c:pt>
                <c:pt idx="57">
                  <c:v>69</c:v>
                </c:pt>
                <c:pt idx="58">
                  <c:v>16</c:v>
                </c:pt>
                <c:pt idx="59">
                  <c:v>48</c:v>
                </c:pt>
                <c:pt idx="60">
                  <c:v>39</c:v>
                </c:pt>
                <c:pt idx="61">
                  <c:v>33</c:v>
                </c:pt>
                <c:pt idx="62">
                  <c:v>23</c:v>
                </c:pt>
                <c:pt idx="63">
                  <c:v>10</c:v>
                </c:pt>
                <c:pt idx="64">
                  <c:v>69</c:v>
                </c:pt>
                <c:pt idx="65">
                  <c:v>34</c:v>
                </c:pt>
                <c:pt idx="66">
                  <c:v>52</c:v>
                </c:pt>
                <c:pt idx="67">
                  <c:v>10</c:v>
                </c:pt>
                <c:pt idx="68">
                  <c:v>19</c:v>
                </c:pt>
                <c:pt idx="69">
                  <c:v>58</c:v>
                </c:pt>
                <c:pt idx="70">
                  <c:v>1</c:v>
                </c:pt>
                <c:pt idx="71">
                  <c:v>69</c:v>
                </c:pt>
                <c:pt idx="72">
                  <c:v>4</c:v>
                </c:pt>
                <c:pt idx="73">
                  <c:v>16</c:v>
                </c:pt>
                <c:pt idx="74">
                  <c:v>24</c:v>
                </c:pt>
                <c:pt idx="75">
                  <c:v>2</c:v>
                </c:pt>
                <c:pt idx="76">
                  <c:v>32</c:v>
                </c:pt>
                <c:pt idx="77">
                  <c:v>24</c:v>
                </c:pt>
                <c:pt idx="78">
                  <c:v>12</c:v>
                </c:pt>
                <c:pt idx="79">
                  <c:v>50</c:v>
                </c:pt>
                <c:pt idx="80">
                  <c:v>35</c:v>
                </c:pt>
                <c:pt idx="81">
                  <c:v>33</c:v>
                </c:pt>
                <c:pt idx="82">
                  <c:v>33</c:v>
                </c:pt>
                <c:pt idx="83">
                  <c:v>61</c:v>
                </c:pt>
                <c:pt idx="84">
                  <c:v>51</c:v>
                </c:pt>
                <c:pt idx="85">
                  <c:v>43</c:v>
                </c:pt>
                <c:pt idx="86">
                  <c:v>12</c:v>
                </c:pt>
                <c:pt idx="87">
                  <c:v>67</c:v>
                </c:pt>
                <c:pt idx="88">
                  <c:v>65</c:v>
                </c:pt>
                <c:pt idx="89">
                  <c:v>33</c:v>
                </c:pt>
                <c:pt idx="90">
                  <c:v>40</c:v>
                </c:pt>
                <c:pt idx="91">
                  <c:v>43</c:v>
                </c:pt>
                <c:pt idx="92">
                  <c:v>44</c:v>
                </c:pt>
                <c:pt idx="93">
                  <c:v>29</c:v>
                </c:pt>
                <c:pt idx="94">
                  <c:v>13</c:v>
                </c:pt>
                <c:pt idx="95">
                  <c:v>12</c:v>
                </c:pt>
                <c:pt idx="96">
                  <c:v>46</c:v>
                </c:pt>
                <c:pt idx="97">
                  <c:v>2</c:v>
                </c:pt>
                <c:pt idx="98">
                  <c:v>35</c:v>
                </c:pt>
                <c:pt idx="99">
                  <c:v>8</c:v>
                </c:pt>
                <c:pt idx="100">
                  <c:v>26</c:v>
                </c:pt>
                <c:pt idx="101">
                  <c:v>34</c:v>
                </c:pt>
                <c:pt idx="102">
                  <c:v>7</c:v>
                </c:pt>
                <c:pt idx="103">
                  <c:v>68</c:v>
                </c:pt>
                <c:pt idx="104">
                  <c:v>58</c:v>
                </c:pt>
                <c:pt idx="105">
                  <c:v>29</c:v>
                </c:pt>
                <c:pt idx="106">
                  <c:v>36</c:v>
                </c:pt>
                <c:pt idx="107">
                  <c:v>21</c:v>
                </c:pt>
                <c:pt idx="108">
                  <c:v>36</c:v>
                </c:pt>
                <c:pt idx="109">
                  <c:v>10</c:v>
                </c:pt>
                <c:pt idx="110">
                  <c:v>24</c:v>
                </c:pt>
                <c:pt idx="111">
                  <c:v>64</c:v>
                </c:pt>
                <c:pt idx="112">
                  <c:v>49</c:v>
                </c:pt>
                <c:pt idx="113">
                  <c:v>36</c:v>
                </c:pt>
                <c:pt idx="114">
                  <c:v>24</c:v>
                </c:pt>
                <c:pt idx="115">
                  <c:v>23</c:v>
                </c:pt>
                <c:pt idx="116">
                  <c:v>62</c:v>
                </c:pt>
                <c:pt idx="117">
                  <c:v>37</c:v>
                </c:pt>
                <c:pt idx="118">
                  <c:v>12</c:v>
                </c:pt>
                <c:pt idx="119">
                  <c:v>55</c:v>
                </c:pt>
                <c:pt idx="120">
                  <c:v>13</c:v>
                </c:pt>
                <c:pt idx="121">
                  <c:v>23</c:v>
                </c:pt>
                <c:pt idx="122">
                  <c:v>30</c:v>
                </c:pt>
                <c:pt idx="123">
                  <c:v>17</c:v>
                </c:pt>
                <c:pt idx="124">
                  <c:v>62</c:v>
                </c:pt>
                <c:pt idx="125">
                  <c:v>13</c:v>
                </c:pt>
                <c:pt idx="126">
                  <c:v>59</c:v>
                </c:pt>
                <c:pt idx="127">
                  <c:v>19</c:v>
                </c:pt>
                <c:pt idx="128">
                  <c:v>49</c:v>
                </c:pt>
                <c:pt idx="129">
                  <c:v>12</c:v>
                </c:pt>
                <c:pt idx="130">
                  <c:v>61</c:v>
                </c:pt>
                <c:pt idx="131">
                  <c:v>19</c:v>
                </c:pt>
                <c:pt idx="132">
                  <c:v>9</c:v>
                </c:pt>
                <c:pt idx="133">
                  <c:v>71</c:v>
                </c:pt>
                <c:pt idx="134">
                  <c:v>28</c:v>
                </c:pt>
                <c:pt idx="135">
                  <c:v>52</c:v>
                </c:pt>
                <c:pt idx="136">
                  <c:v>16</c:v>
                </c:pt>
                <c:pt idx="137">
                  <c:v>69</c:v>
                </c:pt>
                <c:pt idx="138">
                  <c:v>12</c:v>
                </c:pt>
                <c:pt idx="139">
                  <c:v>25</c:v>
                </c:pt>
                <c:pt idx="140">
                  <c:v>52</c:v>
                </c:pt>
                <c:pt idx="141">
                  <c:v>53</c:v>
                </c:pt>
                <c:pt idx="142">
                  <c:v>23</c:v>
                </c:pt>
                <c:pt idx="143">
                  <c:v>16</c:v>
                </c:pt>
                <c:pt idx="144">
                  <c:v>57</c:v>
                </c:pt>
                <c:pt idx="145">
                  <c:v>39</c:v>
                </c:pt>
                <c:pt idx="146">
                  <c:v>53</c:v>
                </c:pt>
                <c:pt idx="147">
                  <c:v>42</c:v>
                </c:pt>
                <c:pt idx="148">
                  <c:v>58</c:v>
                </c:pt>
                <c:pt idx="149">
                  <c:v>39</c:v>
                </c:pt>
                <c:pt idx="150">
                  <c:v>14</c:v>
                </c:pt>
                <c:pt idx="151">
                  <c:v>5</c:v>
                </c:pt>
                <c:pt idx="152">
                  <c:v>35</c:v>
                </c:pt>
                <c:pt idx="153">
                  <c:v>18</c:v>
                </c:pt>
                <c:pt idx="154">
                  <c:v>9</c:v>
                </c:pt>
                <c:pt idx="155">
                  <c:v>58</c:v>
                </c:pt>
                <c:pt idx="156">
                  <c:v>17</c:v>
                </c:pt>
                <c:pt idx="157">
                  <c:v>7</c:v>
                </c:pt>
                <c:pt idx="158">
                  <c:v>46</c:v>
                </c:pt>
                <c:pt idx="159">
                  <c:v>13</c:v>
                </c:pt>
                <c:pt idx="160">
                  <c:v>40</c:v>
                </c:pt>
                <c:pt idx="161">
                  <c:v>42</c:v>
                </c:pt>
                <c:pt idx="162">
                  <c:v>9</c:v>
                </c:pt>
                <c:pt idx="163">
                  <c:v>50</c:v>
                </c:pt>
                <c:pt idx="164">
                  <c:v>27</c:v>
                </c:pt>
                <c:pt idx="165">
                  <c:v>66</c:v>
                </c:pt>
                <c:pt idx="166">
                  <c:v>5</c:v>
                </c:pt>
                <c:pt idx="167">
                  <c:v>29</c:v>
                </c:pt>
                <c:pt idx="168">
                  <c:v>37</c:v>
                </c:pt>
                <c:pt idx="169">
                  <c:v>38</c:v>
                </c:pt>
                <c:pt idx="170">
                  <c:v>8</c:v>
                </c:pt>
                <c:pt idx="171">
                  <c:v>65</c:v>
                </c:pt>
                <c:pt idx="172">
                  <c:v>17</c:v>
                </c:pt>
                <c:pt idx="173">
                  <c:v>71</c:v>
                </c:pt>
                <c:pt idx="174">
                  <c:v>45</c:v>
                </c:pt>
                <c:pt idx="175">
                  <c:v>4</c:v>
                </c:pt>
                <c:pt idx="176">
                  <c:v>36</c:v>
                </c:pt>
                <c:pt idx="177">
                  <c:v>70</c:v>
                </c:pt>
                <c:pt idx="178">
                  <c:v>31</c:v>
                </c:pt>
                <c:pt idx="179">
                  <c:v>19</c:v>
                </c:pt>
                <c:pt idx="180">
                  <c:v>61</c:v>
                </c:pt>
                <c:pt idx="181">
                  <c:v>54</c:v>
                </c:pt>
                <c:pt idx="182">
                  <c:v>39</c:v>
                </c:pt>
                <c:pt idx="183">
                  <c:v>19</c:v>
                </c:pt>
                <c:pt idx="184">
                  <c:v>39</c:v>
                </c:pt>
                <c:pt idx="185">
                  <c:v>67</c:v>
                </c:pt>
                <c:pt idx="186">
                  <c:v>45</c:v>
                </c:pt>
                <c:pt idx="187">
                  <c:v>13</c:v>
                </c:pt>
                <c:pt idx="188">
                  <c:v>58</c:v>
                </c:pt>
                <c:pt idx="189">
                  <c:v>20</c:v>
                </c:pt>
                <c:pt idx="190">
                  <c:v>61</c:v>
                </c:pt>
                <c:pt idx="191">
                  <c:v>39</c:v>
                </c:pt>
                <c:pt idx="192">
                  <c:v>1</c:v>
                </c:pt>
                <c:pt idx="193">
                  <c:v>3</c:v>
                </c:pt>
                <c:pt idx="194">
                  <c:v>62</c:v>
                </c:pt>
                <c:pt idx="195">
                  <c:v>63</c:v>
                </c:pt>
                <c:pt idx="196">
                  <c:v>25</c:v>
                </c:pt>
                <c:pt idx="197">
                  <c:v>56</c:v>
                </c:pt>
                <c:pt idx="198">
                  <c:v>33</c:v>
                </c:pt>
                <c:pt idx="199">
                  <c:v>38</c:v>
                </c:pt>
                <c:pt idx="200">
                  <c:v>6</c:v>
                </c:pt>
                <c:pt idx="201">
                  <c:v>58</c:v>
                </c:pt>
                <c:pt idx="202">
                  <c:v>44</c:v>
                </c:pt>
                <c:pt idx="203">
                  <c:v>45</c:v>
                </c:pt>
                <c:pt idx="204">
                  <c:v>32</c:v>
                </c:pt>
                <c:pt idx="205">
                  <c:v>45</c:v>
                </c:pt>
                <c:pt idx="206">
                  <c:v>61</c:v>
                </c:pt>
                <c:pt idx="207">
                  <c:v>47</c:v>
                </c:pt>
                <c:pt idx="208">
                  <c:v>21</c:v>
                </c:pt>
                <c:pt idx="209">
                  <c:v>36</c:v>
                </c:pt>
                <c:pt idx="210">
                  <c:v>19</c:v>
                </c:pt>
                <c:pt idx="211">
                  <c:v>20</c:v>
                </c:pt>
                <c:pt idx="212">
                  <c:v>57</c:v>
                </c:pt>
                <c:pt idx="213">
                  <c:v>18</c:v>
                </c:pt>
                <c:pt idx="214">
                  <c:v>47</c:v>
                </c:pt>
                <c:pt idx="215">
                  <c:v>49</c:v>
                </c:pt>
                <c:pt idx="216">
                  <c:v>14</c:v>
                </c:pt>
                <c:pt idx="217">
                  <c:v>15</c:v>
                </c:pt>
                <c:pt idx="218">
                  <c:v>31</c:v>
                </c:pt>
                <c:pt idx="219">
                  <c:v>1</c:v>
                </c:pt>
                <c:pt idx="220">
                  <c:v>54</c:v>
                </c:pt>
                <c:pt idx="221">
                  <c:v>3</c:v>
                </c:pt>
                <c:pt idx="222">
                  <c:v>16</c:v>
                </c:pt>
                <c:pt idx="223">
                  <c:v>57</c:v>
                </c:pt>
                <c:pt idx="224">
                  <c:v>12</c:v>
                </c:pt>
                <c:pt idx="225">
                  <c:v>16</c:v>
                </c:pt>
                <c:pt idx="226">
                  <c:v>24</c:v>
                </c:pt>
                <c:pt idx="227">
                  <c:v>28</c:v>
                </c:pt>
                <c:pt idx="228">
                  <c:v>8</c:v>
                </c:pt>
                <c:pt idx="229">
                  <c:v>36</c:v>
                </c:pt>
                <c:pt idx="230">
                  <c:v>8</c:v>
                </c:pt>
                <c:pt idx="231">
                  <c:v>58</c:v>
                </c:pt>
                <c:pt idx="232">
                  <c:v>60</c:v>
                </c:pt>
                <c:pt idx="233">
                  <c:v>50</c:v>
                </c:pt>
                <c:pt idx="234">
                  <c:v>28</c:v>
                </c:pt>
                <c:pt idx="235">
                  <c:v>41</c:v>
                </c:pt>
                <c:pt idx="236">
                  <c:v>64</c:v>
                </c:pt>
                <c:pt idx="237">
                  <c:v>27</c:v>
                </c:pt>
                <c:pt idx="238">
                  <c:v>63</c:v>
                </c:pt>
                <c:pt idx="239">
                  <c:v>17</c:v>
                </c:pt>
                <c:pt idx="240">
                  <c:v>33</c:v>
                </c:pt>
                <c:pt idx="241">
                  <c:v>29</c:v>
                </c:pt>
                <c:pt idx="242">
                  <c:v>13</c:v>
                </c:pt>
                <c:pt idx="243">
                  <c:v>46</c:v>
                </c:pt>
                <c:pt idx="244">
                  <c:v>35</c:v>
                </c:pt>
                <c:pt idx="245">
                  <c:v>6</c:v>
                </c:pt>
                <c:pt idx="246">
                  <c:v>69</c:v>
                </c:pt>
                <c:pt idx="247">
                  <c:v>47</c:v>
                </c:pt>
                <c:pt idx="248">
                  <c:v>25</c:v>
                </c:pt>
                <c:pt idx="249">
                  <c:v>66</c:v>
                </c:pt>
              </c:numCache>
            </c:numRef>
          </c:xVal>
          <c:yVal>
            <c:numRef>
              <c:f>'2.18 Tenure &lt;&gt; Churn'!$D$2:$D$251</c:f>
              <c:numCache>
                <c:formatCode>General</c:formatCode>
                <c:ptCount val="250"/>
                <c:pt idx="0">
                  <c:v>#N/A</c:v>
                </c:pt>
                <c:pt idx="1">
                  <c:v>#N/A</c:v>
                </c:pt>
                <c:pt idx="2">
                  <c:v>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0</c:v>
                </c:pt>
                <c:pt idx="8">
                  <c:v>#N/A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#N/A</c:v>
                </c:pt>
                <c:pt idx="14">
                  <c:v>0</c:v>
                </c:pt>
                <c:pt idx="15">
                  <c:v>#N/A</c:v>
                </c:pt>
                <c:pt idx="16">
                  <c:v>0</c:v>
                </c:pt>
                <c:pt idx="17">
                  <c:v>0</c:v>
                </c:pt>
                <c:pt idx="18">
                  <c:v>#N/A</c:v>
                </c:pt>
                <c:pt idx="19">
                  <c:v>#N/A</c:v>
                </c:pt>
                <c:pt idx="20">
                  <c:v>0</c:v>
                </c:pt>
                <c:pt idx="21">
                  <c:v>#N/A</c:v>
                </c:pt>
                <c:pt idx="22">
                  <c:v>#N/A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#N/A</c:v>
                </c:pt>
                <c:pt idx="30">
                  <c:v>#N/A</c:v>
                </c:pt>
                <c:pt idx="31">
                  <c:v>0</c:v>
                </c:pt>
                <c:pt idx="32">
                  <c:v>0</c:v>
                </c:pt>
                <c:pt idx="33">
                  <c:v>#N/A</c:v>
                </c:pt>
                <c:pt idx="34">
                  <c:v>#N/A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#N/A</c:v>
                </c:pt>
                <c:pt idx="39">
                  <c:v>0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0</c:v>
                </c:pt>
                <c:pt idx="44">
                  <c:v>#N/A</c:v>
                </c:pt>
                <c:pt idx="45">
                  <c:v>0</c:v>
                </c:pt>
                <c:pt idx="46">
                  <c:v>0</c:v>
                </c:pt>
                <c:pt idx="47">
                  <c:v>#N/A</c:v>
                </c:pt>
                <c:pt idx="48">
                  <c:v>0</c:v>
                </c:pt>
                <c:pt idx="49">
                  <c:v>#N/A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#N/A</c:v>
                </c:pt>
                <c:pt idx="55">
                  <c:v>#N/A</c:v>
                </c:pt>
                <c:pt idx="56">
                  <c:v>0</c:v>
                </c:pt>
                <c:pt idx="57">
                  <c:v>0</c:v>
                </c:pt>
                <c:pt idx="58">
                  <c:v>#N/A</c:v>
                </c:pt>
                <c:pt idx="59">
                  <c:v>0</c:v>
                </c:pt>
                <c:pt idx="60">
                  <c:v>#N/A</c:v>
                </c:pt>
                <c:pt idx="61">
                  <c:v>0</c:v>
                </c:pt>
                <c:pt idx="62">
                  <c:v>#N/A</c:v>
                </c:pt>
                <c:pt idx="63">
                  <c:v>0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0</c:v>
                </c:pt>
                <c:pt idx="69">
                  <c:v>#N/A</c:v>
                </c:pt>
                <c:pt idx="70">
                  <c:v>0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0</c:v>
                </c:pt>
                <c:pt idx="77">
                  <c:v>0</c:v>
                </c:pt>
                <c:pt idx="78">
                  <c:v>#N/A</c:v>
                </c:pt>
                <c:pt idx="79">
                  <c:v>0</c:v>
                </c:pt>
                <c:pt idx="80">
                  <c:v>#N/A</c:v>
                </c:pt>
                <c:pt idx="81">
                  <c:v>#N/A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#N/A</c:v>
                </c:pt>
                <c:pt idx="87">
                  <c:v>0</c:v>
                </c:pt>
                <c:pt idx="88">
                  <c:v>0</c:v>
                </c:pt>
                <c:pt idx="89">
                  <c:v>#N/A</c:v>
                </c:pt>
                <c:pt idx="90">
                  <c:v>0</c:v>
                </c:pt>
                <c:pt idx="91">
                  <c:v>#N/A</c:v>
                </c:pt>
                <c:pt idx="92">
                  <c:v>#N/A</c:v>
                </c:pt>
                <c:pt idx="93">
                  <c:v>0</c:v>
                </c:pt>
                <c:pt idx="94">
                  <c:v>0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0</c:v>
                </c:pt>
                <c:pt idx="100">
                  <c:v>0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#N/A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#N/A</c:v>
                </c:pt>
                <c:pt idx="114">
                  <c:v>0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#N/A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0</c:v>
                </c:pt>
                <c:pt idx="135">
                  <c:v>#N/A</c:v>
                </c:pt>
                <c:pt idx="136">
                  <c:v>#N/A</c:v>
                </c:pt>
                <c:pt idx="137">
                  <c:v>0</c:v>
                </c:pt>
                <c:pt idx="138">
                  <c:v>0</c:v>
                </c:pt>
                <c:pt idx="139">
                  <c:v>#N/A</c:v>
                </c:pt>
                <c:pt idx="140">
                  <c:v>0</c:v>
                </c:pt>
                <c:pt idx="141">
                  <c:v>0</c:v>
                </c:pt>
                <c:pt idx="142">
                  <c:v>#N/A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0</c:v>
                </c:pt>
                <c:pt idx="152">
                  <c:v>0</c:v>
                </c:pt>
                <c:pt idx="153">
                  <c:v>#N/A</c:v>
                </c:pt>
                <c:pt idx="154">
                  <c:v>0</c:v>
                </c:pt>
                <c:pt idx="155">
                  <c:v>0</c:v>
                </c:pt>
                <c:pt idx="156">
                  <c:v>#N/A</c:v>
                </c:pt>
                <c:pt idx="157">
                  <c:v>0</c:v>
                </c:pt>
                <c:pt idx="158">
                  <c:v>0</c:v>
                </c:pt>
                <c:pt idx="159">
                  <c:v>#N/A</c:v>
                </c:pt>
                <c:pt idx="160">
                  <c:v>0</c:v>
                </c:pt>
                <c:pt idx="161">
                  <c:v>0</c:v>
                </c:pt>
                <c:pt idx="162">
                  <c:v>#N/A</c:v>
                </c:pt>
                <c:pt idx="163">
                  <c:v>0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#N/A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0</c:v>
                </c:pt>
                <c:pt idx="187">
                  <c:v>0</c:v>
                </c:pt>
                <c:pt idx="188">
                  <c:v>#N/A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#N/A</c:v>
                </c:pt>
                <c:pt idx="194">
                  <c:v>0</c:v>
                </c:pt>
                <c:pt idx="195">
                  <c:v>0</c:v>
                </c:pt>
                <c:pt idx="196">
                  <c:v>#N/A</c:v>
                </c:pt>
                <c:pt idx="197">
                  <c:v>0</c:v>
                </c:pt>
                <c:pt idx="198">
                  <c:v>0</c:v>
                </c:pt>
                <c:pt idx="199">
                  <c:v>#N/A</c:v>
                </c:pt>
                <c:pt idx="200">
                  <c:v>0</c:v>
                </c:pt>
                <c:pt idx="201">
                  <c:v>0</c:v>
                </c:pt>
                <c:pt idx="202">
                  <c:v>#N/A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0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0</c:v>
                </c:pt>
                <c:pt idx="215">
                  <c:v>0</c:v>
                </c:pt>
                <c:pt idx="216">
                  <c:v>#N/A</c:v>
                </c:pt>
                <c:pt idx="217">
                  <c:v>0</c:v>
                </c:pt>
                <c:pt idx="218">
                  <c:v>#N/A</c:v>
                </c:pt>
                <c:pt idx="219">
                  <c:v>0</c:v>
                </c:pt>
                <c:pt idx="220">
                  <c:v>0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0</c:v>
                </c:pt>
                <c:pt idx="225">
                  <c:v>0</c:v>
                </c:pt>
                <c:pt idx="226">
                  <c:v>#N/A</c:v>
                </c:pt>
                <c:pt idx="227">
                  <c:v>0</c:v>
                </c:pt>
                <c:pt idx="228">
                  <c:v>#N/A</c:v>
                </c:pt>
                <c:pt idx="229">
                  <c:v>#N/A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#N/A</c:v>
                </c:pt>
                <c:pt idx="234">
                  <c:v>#N/A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#N/A</c:v>
                </c:pt>
                <c:pt idx="239">
                  <c:v>0</c:v>
                </c:pt>
                <c:pt idx="240">
                  <c:v>#N/A</c:v>
                </c:pt>
                <c:pt idx="241">
                  <c:v>#N/A</c:v>
                </c:pt>
                <c:pt idx="242">
                  <c:v>0</c:v>
                </c:pt>
                <c:pt idx="243">
                  <c:v>#N/A</c:v>
                </c:pt>
                <c:pt idx="244">
                  <c:v>0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B2-B144-A69E-2F8E5DA23907}"/>
            </c:ext>
          </c:extLst>
        </c:ser>
        <c:ser>
          <c:idx val="2"/>
          <c:order val="1"/>
          <c:tx>
            <c:strRef>
              <c:f>'2.18 Tenure &lt;&gt; Churn'!$E$1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'2.18 Tenure &lt;&gt; Churn'!$B$2:$B$251</c:f>
              <c:numCache>
                <c:formatCode>General</c:formatCode>
                <c:ptCount val="250"/>
                <c:pt idx="0">
                  <c:v>58</c:v>
                </c:pt>
                <c:pt idx="1">
                  <c:v>63</c:v>
                </c:pt>
                <c:pt idx="2">
                  <c:v>62</c:v>
                </c:pt>
                <c:pt idx="3">
                  <c:v>22</c:v>
                </c:pt>
                <c:pt idx="4">
                  <c:v>58</c:v>
                </c:pt>
                <c:pt idx="5">
                  <c:v>58</c:v>
                </c:pt>
                <c:pt idx="6">
                  <c:v>49</c:v>
                </c:pt>
                <c:pt idx="7">
                  <c:v>52</c:v>
                </c:pt>
                <c:pt idx="8">
                  <c:v>42</c:v>
                </c:pt>
                <c:pt idx="9">
                  <c:v>70</c:v>
                </c:pt>
                <c:pt idx="10">
                  <c:v>15</c:v>
                </c:pt>
                <c:pt idx="11">
                  <c:v>54</c:v>
                </c:pt>
                <c:pt idx="12">
                  <c:v>60</c:v>
                </c:pt>
                <c:pt idx="13">
                  <c:v>8</c:v>
                </c:pt>
                <c:pt idx="14">
                  <c:v>53</c:v>
                </c:pt>
                <c:pt idx="15">
                  <c:v>60</c:v>
                </c:pt>
                <c:pt idx="16">
                  <c:v>5</c:v>
                </c:pt>
                <c:pt idx="17">
                  <c:v>68</c:v>
                </c:pt>
                <c:pt idx="18">
                  <c:v>6</c:v>
                </c:pt>
                <c:pt idx="19">
                  <c:v>47</c:v>
                </c:pt>
                <c:pt idx="20">
                  <c:v>55</c:v>
                </c:pt>
                <c:pt idx="21">
                  <c:v>40</c:v>
                </c:pt>
                <c:pt idx="22">
                  <c:v>52</c:v>
                </c:pt>
                <c:pt idx="23">
                  <c:v>16</c:v>
                </c:pt>
                <c:pt idx="24">
                  <c:v>13</c:v>
                </c:pt>
                <c:pt idx="25">
                  <c:v>30</c:v>
                </c:pt>
                <c:pt idx="26">
                  <c:v>19</c:v>
                </c:pt>
                <c:pt idx="27">
                  <c:v>17</c:v>
                </c:pt>
                <c:pt idx="28">
                  <c:v>63</c:v>
                </c:pt>
                <c:pt idx="29">
                  <c:v>19</c:v>
                </c:pt>
                <c:pt idx="30">
                  <c:v>58</c:v>
                </c:pt>
                <c:pt idx="31">
                  <c:v>55</c:v>
                </c:pt>
                <c:pt idx="32">
                  <c:v>62</c:v>
                </c:pt>
                <c:pt idx="33">
                  <c:v>23</c:v>
                </c:pt>
                <c:pt idx="34">
                  <c:v>9</c:v>
                </c:pt>
                <c:pt idx="35">
                  <c:v>12</c:v>
                </c:pt>
                <c:pt idx="36">
                  <c:v>1</c:v>
                </c:pt>
                <c:pt idx="37">
                  <c:v>58</c:v>
                </c:pt>
                <c:pt idx="38">
                  <c:v>1</c:v>
                </c:pt>
                <c:pt idx="39">
                  <c:v>34</c:v>
                </c:pt>
                <c:pt idx="40">
                  <c:v>48</c:v>
                </c:pt>
                <c:pt idx="41">
                  <c:v>1</c:v>
                </c:pt>
                <c:pt idx="42">
                  <c:v>16</c:v>
                </c:pt>
                <c:pt idx="43">
                  <c:v>61</c:v>
                </c:pt>
                <c:pt idx="44">
                  <c:v>64</c:v>
                </c:pt>
                <c:pt idx="45">
                  <c:v>63</c:v>
                </c:pt>
                <c:pt idx="46">
                  <c:v>69</c:v>
                </c:pt>
                <c:pt idx="47">
                  <c:v>22</c:v>
                </c:pt>
                <c:pt idx="48">
                  <c:v>67</c:v>
                </c:pt>
                <c:pt idx="49">
                  <c:v>26</c:v>
                </c:pt>
                <c:pt idx="50">
                  <c:v>16</c:v>
                </c:pt>
                <c:pt idx="51">
                  <c:v>51</c:v>
                </c:pt>
                <c:pt idx="52">
                  <c:v>57</c:v>
                </c:pt>
                <c:pt idx="53">
                  <c:v>29</c:v>
                </c:pt>
                <c:pt idx="54">
                  <c:v>69</c:v>
                </c:pt>
                <c:pt idx="55">
                  <c:v>47</c:v>
                </c:pt>
                <c:pt idx="56">
                  <c:v>62</c:v>
                </c:pt>
                <c:pt idx="57">
                  <c:v>69</c:v>
                </c:pt>
                <c:pt idx="58">
                  <c:v>16</c:v>
                </c:pt>
                <c:pt idx="59">
                  <c:v>48</c:v>
                </c:pt>
                <c:pt idx="60">
                  <c:v>39</c:v>
                </c:pt>
                <c:pt idx="61">
                  <c:v>33</c:v>
                </c:pt>
                <c:pt idx="62">
                  <c:v>23</c:v>
                </c:pt>
                <c:pt idx="63">
                  <c:v>10</c:v>
                </c:pt>
                <c:pt idx="64">
                  <c:v>69</c:v>
                </c:pt>
                <c:pt idx="65">
                  <c:v>34</c:v>
                </c:pt>
                <c:pt idx="66">
                  <c:v>52</c:v>
                </c:pt>
                <c:pt idx="67">
                  <c:v>10</c:v>
                </c:pt>
                <c:pt idx="68">
                  <c:v>19</c:v>
                </c:pt>
                <c:pt idx="69">
                  <c:v>58</c:v>
                </c:pt>
                <c:pt idx="70">
                  <c:v>1</c:v>
                </c:pt>
                <c:pt idx="71">
                  <c:v>69</c:v>
                </c:pt>
                <c:pt idx="72">
                  <c:v>4</c:v>
                </c:pt>
                <c:pt idx="73">
                  <c:v>16</c:v>
                </c:pt>
                <c:pt idx="74">
                  <c:v>24</c:v>
                </c:pt>
                <c:pt idx="75">
                  <c:v>2</c:v>
                </c:pt>
                <c:pt idx="76">
                  <c:v>32</c:v>
                </c:pt>
                <c:pt idx="77">
                  <c:v>24</c:v>
                </c:pt>
                <c:pt idx="78">
                  <c:v>12</c:v>
                </c:pt>
                <c:pt idx="79">
                  <c:v>50</c:v>
                </c:pt>
                <c:pt idx="80">
                  <c:v>35</c:v>
                </c:pt>
                <c:pt idx="81">
                  <c:v>33</c:v>
                </c:pt>
                <c:pt idx="82">
                  <c:v>33</c:v>
                </c:pt>
                <c:pt idx="83">
                  <c:v>61</c:v>
                </c:pt>
                <c:pt idx="84">
                  <c:v>51</c:v>
                </c:pt>
                <c:pt idx="85">
                  <c:v>43</c:v>
                </c:pt>
                <c:pt idx="86">
                  <c:v>12</c:v>
                </c:pt>
                <c:pt idx="87">
                  <c:v>67</c:v>
                </c:pt>
                <c:pt idx="88">
                  <c:v>65</c:v>
                </c:pt>
                <c:pt idx="89">
                  <c:v>33</c:v>
                </c:pt>
                <c:pt idx="90">
                  <c:v>40</c:v>
                </c:pt>
                <c:pt idx="91">
                  <c:v>43</c:v>
                </c:pt>
                <c:pt idx="92">
                  <c:v>44</c:v>
                </c:pt>
                <c:pt idx="93">
                  <c:v>29</c:v>
                </c:pt>
                <c:pt idx="94">
                  <c:v>13</c:v>
                </c:pt>
                <c:pt idx="95">
                  <c:v>12</c:v>
                </c:pt>
                <c:pt idx="96">
                  <c:v>46</c:v>
                </c:pt>
                <c:pt idx="97">
                  <c:v>2</c:v>
                </c:pt>
                <c:pt idx="98">
                  <c:v>35</c:v>
                </c:pt>
                <c:pt idx="99">
                  <c:v>8</c:v>
                </c:pt>
                <c:pt idx="100">
                  <c:v>26</c:v>
                </c:pt>
                <c:pt idx="101">
                  <c:v>34</c:v>
                </c:pt>
                <c:pt idx="102">
                  <c:v>7</c:v>
                </c:pt>
                <c:pt idx="103">
                  <c:v>68</c:v>
                </c:pt>
                <c:pt idx="104">
                  <c:v>58</c:v>
                </c:pt>
                <c:pt idx="105">
                  <c:v>29</c:v>
                </c:pt>
                <c:pt idx="106">
                  <c:v>36</c:v>
                </c:pt>
                <c:pt idx="107">
                  <c:v>21</c:v>
                </c:pt>
                <c:pt idx="108">
                  <c:v>36</c:v>
                </c:pt>
                <c:pt idx="109">
                  <c:v>10</c:v>
                </c:pt>
                <c:pt idx="110">
                  <c:v>24</c:v>
                </c:pt>
                <c:pt idx="111">
                  <c:v>64</c:v>
                </c:pt>
                <c:pt idx="112">
                  <c:v>49</c:v>
                </c:pt>
                <c:pt idx="113">
                  <c:v>36</c:v>
                </c:pt>
                <c:pt idx="114">
                  <c:v>24</c:v>
                </c:pt>
                <c:pt idx="115">
                  <c:v>23</c:v>
                </c:pt>
                <c:pt idx="116">
                  <c:v>62</c:v>
                </c:pt>
                <c:pt idx="117">
                  <c:v>37</c:v>
                </c:pt>
                <c:pt idx="118">
                  <c:v>12</c:v>
                </c:pt>
                <c:pt idx="119">
                  <c:v>55</c:v>
                </c:pt>
                <c:pt idx="120">
                  <c:v>13</c:v>
                </c:pt>
                <c:pt idx="121">
                  <c:v>23</c:v>
                </c:pt>
                <c:pt idx="122">
                  <c:v>30</c:v>
                </c:pt>
                <c:pt idx="123">
                  <c:v>17</c:v>
                </c:pt>
                <c:pt idx="124">
                  <c:v>62</c:v>
                </c:pt>
                <c:pt idx="125">
                  <c:v>13</c:v>
                </c:pt>
                <c:pt idx="126">
                  <c:v>59</c:v>
                </c:pt>
                <c:pt idx="127">
                  <c:v>19</c:v>
                </c:pt>
                <c:pt idx="128">
                  <c:v>49</c:v>
                </c:pt>
                <c:pt idx="129">
                  <c:v>12</c:v>
                </c:pt>
                <c:pt idx="130">
                  <c:v>61</c:v>
                </c:pt>
                <c:pt idx="131">
                  <c:v>19</c:v>
                </c:pt>
                <c:pt idx="132">
                  <c:v>9</c:v>
                </c:pt>
                <c:pt idx="133">
                  <c:v>71</c:v>
                </c:pt>
                <c:pt idx="134">
                  <c:v>28</c:v>
                </c:pt>
                <c:pt idx="135">
                  <c:v>52</c:v>
                </c:pt>
                <c:pt idx="136">
                  <c:v>16</c:v>
                </c:pt>
                <c:pt idx="137">
                  <c:v>69</c:v>
                </c:pt>
                <c:pt idx="138">
                  <c:v>12</c:v>
                </c:pt>
                <c:pt idx="139">
                  <c:v>25</c:v>
                </c:pt>
                <c:pt idx="140">
                  <c:v>52</c:v>
                </c:pt>
                <c:pt idx="141">
                  <c:v>53</c:v>
                </c:pt>
                <c:pt idx="142">
                  <c:v>23</c:v>
                </c:pt>
                <c:pt idx="143">
                  <c:v>16</c:v>
                </c:pt>
                <c:pt idx="144">
                  <c:v>57</c:v>
                </c:pt>
                <c:pt idx="145">
                  <c:v>39</c:v>
                </c:pt>
                <c:pt idx="146">
                  <c:v>53</c:v>
                </c:pt>
                <c:pt idx="147">
                  <c:v>42</c:v>
                </c:pt>
                <c:pt idx="148">
                  <c:v>58</c:v>
                </c:pt>
                <c:pt idx="149">
                  <c:v>39</c:v>
                </c:pt>
                <c:pt idx="150">
                  <c:v>14</c:v>
                </c:pt>
                <c:pt idx="151">
                  <c:v>5</c:v>
                </c:pt>
                <c:pt idx="152">
                  <c:v>35</c:v>
                </c:pt>
                <c:pt idx="153">
                  <c:v>18</c:v>
                </c:pt>
                <c:pt idx="154">
                  <c:v>9</c:v>
                </c:pt>
                <c:pt idx="155">
                  <c:v>58</c:v>
                </c:pt>
                <c:pt idx="156">
                  <c:v>17</c:v>
                </c:pt>
                <c:pt idx="157">
                  <c:v>7</c:v>
                </c:pt>
                <c:pt idx="158">
                  <c:v>46</c:v>
                </c:pt>
                <c:pt idx="159">
                  <c:v>13</c:v>
                </c:pt>
                <c:pt idx="160">
                  <c:v>40</c:v>
                </c:pt>
                <c:pt idx="161">
                  <c:v>42</c:v>
                </c:pt>
                <c:pt idx="162">
                  <c:v>9</c:v>
                </c:pt>
                <c:pt idx="163">
                  <c:v>50</c:v>
                </c:pt>
                <c:pt idx="164">
                  <c:v>27</c:v>
                </c:pt>
                <c:pt idx="165">
                  <c:v>66</c:v>
                </c:pt>
                <c:pt idx="166">
                  <c:v>5</c:v>
                </c:pt>
                <c:pt idx="167">
                  <c:v>29</c:v>
                </c:pt>
                <c:pt idx="168">
                  <c:v>37</c:v>
                </c:pt>
                <c:pt idx="169">
                  <c:v>38</c:v>
                </c:pt>
                <c:pt idx="170">
                  <c:v>8</c:v>
                </c:pt>
                <c:pt idx="171">
                  <c:v>65</c:v>
                </c:pt>
                <c:pt idx="172">
                  <c:v>17</c:v>
                </c:pt>
                <c:pt idx="173">
                  <c:v>71</c:v>
                </c:pt>
                <c:pt idx="174">
                  <c:v>45</c:v>
                </c:pt>
                <c:pt idx="175">
                  <c:v>4</c:v>
                </c:pt>
                <c:pt idx="176">
                  <c:v>36</c:v>
                </c:pt>
                <c:pt idx="177">
                  <c:v>70</c:v>
                </c:pt>
                <c:pt idx="178">
                  <c:v>31</c:v>
                </c:pt>
                <c:pt idx="179">
                  <c:v>19</c:v>
                </c:pt>
                <c:pt idx="180">
                  <c:v>61</c:v>
                </c:pt>
                <c:pt idx="181">
                  <c:v>54</c:v>
                </c:pt>
                <c:pt idx="182">
                  <c:v>39</c:v>
                </c:pt>
                <c:pt idx="183">
                  <c:v>19</c:v>
                </c:pt>
                <c:pt idx="184">
                  <c:v>39</c:v>
                </c:pt>
                <c:pt idx="185">
                  <c:v>67</c:v>
                </c:pt>
                <c:pt idx="186">
                  <c:v>45</c:v>
                </c:pt>
                <c:pt idx="187">
                  <c:v>13</c:v>
                </c:pt>
                <c:pt idx="188">
                  <c:v>58</c:v>
                </c:pt>
                <c:pt idx="189">
                  <c:v>20</c:v>
                </c:pt>
                <c:pt idx="190">
                  <c:v>61</c:v>
                </c:pt>
                <c:pt idx="191">
                  <c:v>39</c:v>
                </c:pt>
                <c:pt idx="192">
                  <c:v>1</c:v>
                </c:pt>
                <c:pt idx="193">
                  <c:v>3</c:v>
                </c:pt>
                <c:pt idx="194">
                  <c:v>62</c:v>
                </c:pt>
                <c:pt idx="195">
                  <c:v>63</c:v>
                </c:pt>
                <c:pt idx="196">
                  <c:v>25</c:v>
                </c:pt>
                <c:pt idx="197">
                  <c:v>56</c:v>
                </c:pt>
                <c:pt idx="198">
                  <c:v>33</c:v>
                </c:pt>
                <c:pt idx="199">
                  <c:v>38</c:v>
                </c:pt>
                <c:pt idx="200">
                  <c:v>6</c:v>
                </c:pt>
                <c:pt idx="201">
                  <c:v>58</c:v>
                </c:pt>
                <c:pt idx="202">
                  <c:v>44</c:v>
                </c:pt>
                <c:pt idx="203">
                  <c:v>45</c:v>
                </c:pt>
                <c:pt idx="204">
                  <c:v>32</c:v>
                </c:pt>
                <c:pt idx="205">
                  <c:v>45</c:v>
                </c:pt>
                <c:pt idx="206">
                  <c:v>61</c:v>
                </c:pt>
                <c:pt idx="207">
                  <c:v>47</c:v>
                </c:pt>
                <c:pt idx="208">
                  <c:v>21</c:v>
                </c:pt>
                <c:pt idx="209">
                  <c:v>36</c:v>
                </c:pt>
                <c:pt idx="210">
                  <c:v>19</c:v>
                </c:pt>
                <c:pt idx="211">
                  <c:v>20</c:v>
                </c:pt>
                <c:pt idx="212">
                  <c:v>57</c:v>
                </c:pt>
                <c:pt idx="213">
                  <c:v>18</c:v>
                </c:pt>
                <c:pt idx="214">
                  <c:v>47</c:v>
                </c:pt>
                <c:pt idx="215">
                  <c:v>49</c:v>
                </c:pt>
                <c:pt idx="216">
                  <c:v>14</c:v>
                </c:pt>
                <c:pt idx="217">
                  <c:v>15</c:v>
                </c:pt>
                <c:pt idx="218">
                  <c:v>31</c:v>
                </c:pt>
                <c:pt idx="219">
                  <c:v>1</c:v>
                </c:pt>
                <c:pt idx="220">
                  <c:v>54</c:v>
                </c:pt>
                <c:pt idx="221">
                  <c:v>3</c:v>
                </c:pt>
                <c:pt idx="222">
                  <c:v>16</c:v>
                </c:pt>
                <c:pt idx="223">
                  <c:v>57</c:v>
                </c:pt>
                <c:pt idx="224">
                  <c:v>12</c:v>
                </c:pt>
                <c:pt idx="225">
                  <c:v>16</c:v>
                </c:pt>
                <c:pt idx="226">
                  <c:v>24</c:v>
                </c:pt>
                <c:pt idx="227">
                  <c:v>28</c:v>
                </c:pt>
                <c:pt idx="228">
                  <c:v>8</c:v>
                </c:pt>
                <c:pt idx="229">
                  <c:v>36</c:v>
                </c:pt>
                <c:pt idx="230">
                  <c:v>8</c:v>
                </c:pt>
                <c:pt idx="231">
                  <c:v>58</c:v>
                </c:pt>
                <c:pt idx="232">
                  <c:v>60</c:v>
                </c:pt>
                <c:pt idx="233">
                  <c:v>50</c:v>
                </c:pt>
                <c:pt idx="234">
                  <c:v>28</c:v>
                </c:pt>
                <c:pt idx="235">
                  <c:v>41</c:v>
                </c:pt>
                <c:pt idx="236">
                  <c:v>64</c:v>
                </c:pt>
                <c:pt idx="237">
                  <c:v>27</c:v>
                </c:pt>
                <c:pt idx="238">
                  <c:v>63</c:v>
                </c:pt>
                <c:pt idx="239">
                  <c:v>17</c:v>
                </c:pt>
                <c:pt idx="240">
                  <c:v>33</c:v>
                </c:pt>
                <c:pt idx="241">
                  <c:v>29</c:v>
                </c:pt>
                <c:pt idx="242">
                  <c:v>13</c:v>
                </c:pt>
                <c:pt idx="243">
                  <c:v>46</c:v>
                </c:pt>
                <c:pt idx="244">
                  <c:v>35</c:v>
                </c:pt>
                <c:pt idx="245">
                  <c:v>6</c:v>
                </c:pt>
                <c:pt idx="246">
                  <c:v>69</c:v>
                </c:pt>
                <c:pt idx="247">
                  <c:v>47</c:v>
                </c:pt>
                <c:pt idx="248">
                  <c:v>25</c:v>
                </c:pt>
                <c:pt idx="249">
                  <c:v>66</c:v>
                </c:pt>
              </c:numCache>
            </c:numRef>
          </c:xVal>
          <c:yVal>
            <c:numRef>
              <c:f>'2.18 Tenure &lt;&gt; Churn'!$E$2:$E$251</c:f>
              <c:numCache>
                <c:formatCode>General</c:formatCode>
                <c:ptCount val="250"/>
                <c:pt idx="0">
                  <c:v>1</c:v>
                </c:pt>
                <c:pt idx="1">
                  <c:v>1</c:v>
                </c:pt>
                <c:pt idx="2">
                  <c:v>#N/A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#N/A</c:v>
                </c:pt>
                <c:pt idx="8">
                  <c:v>1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1</c:v>
                </c:pt>
                <c:pt idx="14">
                  <c:v>#N/A</c:v>
                </c:pt>
                <c:pt idx="15">
                  <c:v>1</c:v>
                </c:pt>
                <c:pt idx="16">
                  <c:v>#N/A</c:v>
                </c:pt>
                <c:pt idx="17">
                  <c:v>#N/A</c:v>
                </c:pt>
                <c:pt idx="18">
                  <c:v>1</c:v>
                </c:pt>
                <c:pt idx="19">
                  <c:v>1</c:v>
                </c:pt>
                <c:pt idx="20">
                  <c:v>#N/A</c:v>
                </c:pt>
                <c:pt idx="21">
                  <c:v>1</c:v>
                </c:pt>
                <c:pt idx="22">
                  <c:v>1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1</c:v>
                </c:pt>
                <c:pt idx="30">
                  <c:v>1</c:v>
                </c:pt>
                <c:pt idx="31">
                  <c:v>#N/A</c:v>
                </c:pt>
                <c:pt idx="32">
                  <c:v>#N/A</c:v>
                </c:pt>
                <c:pt idx="33">
                  <c:v>1</c:v>
                </c:pt>
                <c:pt idx="34">
                  <c:v>1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</c:v>
                </c:pt>
                <c:pt idx="39">
                  <c:v>#N/A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#N/A</c:v>
                </c:pt>
                <c:pt idx="44">
                  <c:v>1</c:v>
                </c:pt>
                <c:pt idx="45">
                  <c:v>#N/A</c:v>
                </c:pt>
                <c:pt idx="46">
                  <c:v>#N/A</c:v>
                </c:pt>
                <c:pt idx="47">
                  <c:v>1</c:v>
                </c:pt>
                <c:pt idx="48">
                  <c:v>#N/A</c:v>
                </c:pt>
                <c:pt idx="49">
                  <c:v>1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1</c:v>
                </c:pt>
                <c:pt idx="55">
                  <c:v>1</c:v>
                </c:pt>
                <c:pt idx="56">
                  <c:v>#N/A</c:v>
                </c:pt>
                <c:pt idx="57">
                  <c:v>#N/A</c:v>
                </c:pt>
                <c:pt idx="58">
                  <c:v>1</c:v>
                </c:pt>
                <c:pt idx="59">
                  <c:v>#N/A</c:v>
                </c:pt>
                <c:pt idx="60">
                  <c:v>1</c:v>
                </c:pt>
                <c:pt idx="61">
                  <c:v>#N/A</c:v>
                </c:pt>
                <c:pt idx="62">
                  <c:v>1</c:v>
                </c:pt>
                <c:pt idx="63">
                  <c:v>#N/A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#N/A</c:v>
                </c:pt>
                <c:pt idx="69">
                  <c:v>1</c:v>
                </c:pt>
                <c:pt idx="70">
                  <c:v>#N/A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#N/A</c:v>
                </c:pt>
                <c:pt idx="77">
                  <c:v>#N/A</c:v>
                </c:pt>
                <c:pt idx="78">
                  <c:v>1</c:v>
                </c:pt>
                <c:pt idx="79">
                  <c:v>#N/A</c:v>
                </c:pt>
                <c:pt idx="80">
                  <c:v>1</c:v>
                </c:pt>
                <c:pt idx="81">
                  <c:v>1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1</c:v>
                </c:pt>
                <c:pt idx="87">
                  <c:v>#N/A</c:v>
                </c:pt>
                <c:pt idx="88">
                  <c:v>#N/A</c:v>
                </c:pt>
                <c:pt idx="89">
                  <c:v>1</c:v>
                </c:pt>
                <c:pt idx="90">
                  <c:v>#N/A</c:v>
                </c:pt>
                <c:pt idx="91">
                  <c:v>1</c:v>
                </c:pt>
                <c:pt idx="92">
                  <c:v>1</c:v>
                </c:pt>
                <c:pt idx="93">
                  <c:v>#N/A</c:v>
                </c:pt>
                <c:pt idx="94">
                  <c:v>#N/A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#N/A</c:v>
                </c:pt>
                <c:pt idx="100">
                  <c:v>#N/A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1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1</c:v>
                </c:pt>
                <c:pt idx="114">
                  <c:v>#N/A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1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#N/A</c:v>
                </c:pt>
                <c:pt idx="135">
                  <c:v>1</c:v>
                </c:pt>
                <c:pt idx="136">
                  <c:v>1</c:v>
                </c:pt>
                <c:pt idx="137">
                  <c:v>#N/A</c:v>
                </c:pt>
                <c:pt idx="138">
                  <c:v>#N/A</c:v>
                </c:pt>
                <c:pt idx="139">
                  <c:v>1</c:v>
                </c:pt>
                <c:pt idx="140">
                  <c:v>#N/A</c:v>
                </c:pt>
                <c:pt idx="141">
                  <c:v>#N/A</c:v>
                </c:pt>
                <c:pt idx="142">
                  <c:v>1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#N/A</c:v>
                </c:pt>
                <c:pt idx="152">
                  <c:v>#N/A</c:v>
                </c:pt>
                <c:pt idx="153">
                  <c:v>1</c:v>
                </c:pt>
                <c:pt idx="154">
                  <c:v>#N/A</c:v>
                </c:pt>
                <c:pt idx="155">
                  <c:v>#N/A</c:v>
                </c:pt>
                <c:pt idx="156">
                  <c:v>1</c:v>
                </c:pt>
                <c:pt idx="157">
                  <c:v>#N/A</c:v>
                </c:pt>
                <c:pt idx="158">
                  <c:v>#N/A</c:v>
                </c:pt>
                <c:pt idx="159">
                  <c:v>1</c:v>
                </c:pt>
                <c:pt idx="160">
                  <c:v>#N/A</c:v>
                </c:pt>
                <c:pt idx="161">
                  <c:v>#N/A</c:v>
                </c:pt>
                <c:pt idx="162">
                  <c:v>1</c:v>
                </c:pt>
                <c:pt idx="163">
                  <c:v>#N/A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1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#N/A</c:v>
                </c:pt>
                <c:pt idx="187">
                  <c:v>#N/A</c:v>
                </c:pt>
                <c:pt idx="188">
                  <c:v>1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1</c:v>
                </c:pt>
                <c:pt idx="194">
                  <c:v>#N/A</c:v>
                </c:pt>
                <c:pt idx="195">
                  <c:v>#N/A</c:v>
                </c:pt>
                <c:pt idx="196">
                  <c:v>1</c:v>
                </c:pt>
                <c:pt idx="197">
                  <c:v>#N/A</c:v>
                </c:pt>
                <c:pt idx="198">
                  <c:v>#N/A</c:v>
                </c:pt>
                <c:pt idx="199">
                  <c:v>1</c:v>
                </c:pt>
                <c:pt idx="200">
                  <c:v>#N/A</c:v>
                </c:pt>
                <c:pt idx="201">
                  <c:v>#N/A</c:v>
                </c:pt>
                <c:pt idx="202">
                  <c:v>1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#N/A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#N/A</c:v>
                </c:pt>
                <c:pt idx="215">
                  <c:v>#N/A</c:v>
                </c:pt>
                <c:pt idx="216">
                  <c:v>1</c:v>
                </c:pt>
                <c:pt idx="217">
                  <c:v>#N/A</c:v>
                </c:pt>
                <c:pt idx="218">
                  <c:v>1</c:v>
                </c:pt>
                <c:pt idx="219">
                  <c:v>#N/A</c:v>
                </c:pt>
                <c:pt idx="220">
                  <c:v>#N/A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#N/A</c:v>
                </c:pt>
                <c:pt idx="225">
                  <c:v>#N/A</c:v>
                </c:pt>
                <c:pt idx="226">
                  <c:v>1</c:v>
                </c:pt>
                <c:pt idx="227">
                  <c:v>#N/A</c:v>
                </c:pt>
                <c:pt idx="228">
                  <c:v>1</c:v>
                </c:pt>
                <c:pt idx="229">
                  <c:v>1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1</c:v>
                </c:pt>
                <c:pt idx="234">
                  <c:v>1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1</c:v>
                </c:pt>
                <c:pt idx="239">
                  <c:v>#N/A</c:v>
                </c:pt>
                <c:pt idx="240">
                  <c:v>1</c:v>
                </c:pt>
                <c:pt idx="241">
                  <c:v>1</c:v>
                </c:pt>
                <c:pt idx="242">
                  <c:v>#N/A</c:v>
                </c:pt>
                <c:pt idx="243">
                  <c:v>1</c:v>
                </c:pt>
                <c:pt idx="244">
                  <c:v>#N/A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B2-B144-A69E-2F8E5DA23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646095"/>
        <c:axId val="1025933935"/>
      </c:scatterChart>
      <c:valAx>
        <c:axId val="102564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Tenure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933935"/>
        <c:crosses val="autoZero"/>
        <c:crossBetween val="midCat"/>
      </c:valAx>
      <c:valAx>
        <c:axId val="102593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646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MonthlyCharges</a:t>
            </a:r>
            <a:r>
              <a:rPr lang="en-GB" baseline="0"/>
              <a:t> vs Churn status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'2.19 MonthlyChurnST'!$A$1</c:f>
              <c:strCache>
                <c:ptCount val="1"/>
                <c:pt idx="0">
                  <c:v>MonthlyChargeNoChurn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'2.19 MonthlyChurnST'!$A$2:$A$133</c:f>
              <c:numCache>
                <c:formatCode>General</c:formatCode>
                <c:ptCount val="132"/>
                <c:pt idx="0">
                  <c:v>75.16</c:v>
                </c:pt>
                <c:pt idx="1">
                  <c:v>118.53</c:v>
                </c:pt>
                <c:pt idx="2">
                  <c:v>94.96</c:v>
                </c:pt>
                <c:pt idx="3">
                  <c:v>59.3</c:v>
                </c:pt>
                <c:pt idx="4">
                  <c:v>102.92</c:v>
                </c:pt>
                <c:pt idx="5">
                  <c:v>76.91</c:v>
                </c:pt>
                <c:pt idx="6">
                  <c:v>23.68</c:v>
                </c:pt>
                <c:pt idx="7">
                  <c:v>21.37</c:v>
                </c:pt>
                <c:pt idx="8">
                  <c:v>27.54</c:v>
                </c:pt>
                <c:pt idx="9">
                  <c:v>94.99</c:v>
                </c:pt>
                <c:pt idx="10">
                  <c:v>92.61</c:v>
                </c:pt>
                <c:pt idx="11">
                  <c:v>95.71</c:v>
                </c:pt>
                <c:pt idx="12">
                  <c:v>57.79</c:v>
                </c:pt>
                <c:pt idx="13">
                  <c:v>44.11</c:v>
                </c:pt>
                <c:pt idx="14">
                  <c:v>40.5</c:v>
                </c:pt>
                <c:pt idx="15">
                  <c:v>45.14</c:v>
                </c:pt>
                <c:pt idx="16">
                  <c:v>107.82</c:v>
                </c:pt>
                <c:pt idx="17">
                  <c:v>95.7</c:v>
                </c:pt>
                <c:pt idx="18">
                  <c:v>22.22</c:v>
                </c:pt>
                <c:pt idx="19">
                  <c:v>69.819999999999993</c:v>
                </c:pt>
                <c:pt idx="20">
                  <c:v>67.62</c:v>
                </c:pt>
                <c:pt idx="21">
                  <c:v>50.78</c:v>
                </c:pt>
                <c:pt idx="22">
                  <c:v>99.18</c:v>
                </c:pt>
                <c:pt idx="23">
                  <c:v>68</c:v>
                </c:pt>
                <c:pt idx="24">
                  <c:v>62.05</c:v>
                </c:pt>
                <c:pt idx="25">
                  <c:v>83.94</c:v>
                </c:pt>
                <c:pt idx="26">
                  <c:v>110.32</c:v>
                </c:pt>
                <c:pt idx="27">
                  <c:v>81.73</c:v>
                </c:pt>
                <c:pt idx="28">
                  <c:v>118.05</c:v>
                </c:pt>
                <c:pt idx="29">
                  <c:v>80.81</c:v>
                </c:pt>
                <c:pt idx="30">
                  <c:v>29.1</c:v>
                </c:pt>
                <c:pt idx="31">
                  <c:v>92.64</c:v>
                </c:pt>
                <c:pt idx="32">
                  <c:v>65.09</c:v>
                </c:pt>
                <c:pt idx="33">
                  <c:v>49.8</c:v>
                </c:pt>
                <c:pt idx="34">
                  <c:v>89.76</c:v>
                </c:pt>
                <c:pt idx="35">
                  <c:v>26.62</c:v>
                </c:pt>
                <c:pt idx="36">
                  <c:v>82.08</c:v>
                </c:pt>
                <c:pt idx="37">
                  <c:v>66.010000000000005</c:v>
                </c:pt>
                <c:pt idx="38">
                  <c:v>78.48</c:v>
                </c:pt>
                <c:pt idx="39">
                  <c:v>89.77</c:v>
                </c:pt>
                <c:pt idx="40">
                  <c:v>61.17</c:v>
                </c:pt>
                <c:pt idx="41">
                  <c:v>107.43</c:v>
                </c:pt>
                <c:pt idx="42">
                  <c:v>71.52</c:v>
                </c:pt>
                <c:pt idx="43">
                  <c:v>117.31</c:v>
                </c:pt>
                <c:pt idx="44">
                  <c:v>42.38</c:v>
                </c:pt>
                <c:pt idx="45">
                  <c:v>102.18</c:v>
                </c:pt>
                <c:pt idx="46">
                  <c:v>54.76</c:v>
                </c:pt>
                <c:pt idx="47">
                  <c:v>73.44</c:v>
                </c:pt>
                <c:pt idx="48">
                  <c:v>55.6</c:v>
                </c:pt>
                <c:pt idx="49">
                  <c:v>29.23</c:v>
                </c:pt>
                <c:pt idx="50">
                  <c:v>68.11</c:v>
                </c:pt>
                <c:pt idx="51">
                  <c:v>20.260000000000002</c:v>
                </c:pt>
                <c:pt idx="52">
                  <c:v>106.83</c:v>
                </c:pt>
                <c:pt idx="53">
                  <c:v>28.45</c:v>
                </c:pt>
                <c:pt idx="54">
                  <c:v>118.63</c:v>
                </c:pt>
                <c:pt idx="55">
                  <c:v>73.66</c:v>
                </c:pt>
                <c:pt idx="56">
                  <c:v>112.4</c:v>
                </c:pt>
                <c:pt idx="57">
                  <c:v>43.61</c:v>
                </c:pt>
                <c:pt idx="58">
                  <c:v>73.13</c:v>
                </c:pt>
                <c:pt idx="59">
                  <c:v>33.31</c:v>
                </c:pt>
                <c:pt idx="60">
                  <c:v>88.72</c:v>
                </c:pt>
                <c:pt idx="61">
                  <c:v>104.44</c:v>
                </c:pt>
                <c:pt idx="62">
                  <c:v>23.05</c:v>
                </c:pt>
                <c:pt idx="63">
                  <c:v>106.72</c:v>
                </c:pt>
                <c:pt idx="64">
                  <c:v>55.41</c:v>
                </c:pt>
                <c:pt idx="65">
                  <c:v>59.72</c:v>
                </c:pt>
                <c:pt idx="66">
                  <c:v>30.49</c:v>
                </c:pt>
                <c:pt idx="67">
                  <c:v>93.74</c:v>
                </c:pt>
                <c:pt idx="68">
                  <c:v>54.29</c:v>
                </c:pt>
                <c:pt idx="69">
                  <c:v>84.88</c:v>
                </c:pt>
                <c:pt idx="70">
                  <c:v>67.959999999999994</c:v>
                </c:pt>
                <c:pt idx="71">
                  <c:v>93.68</c:v>
                </c:pt>
                <c:pt idx="72">
                  <c:v>75.77</c:v>
                </c:pt>
                <c:pt idx="73">
                  <c:v>76.45</c:v>
                </c:pt>
                <c:pt idx="74">
                  <c:v>57.88</c:v>
                </c:pt>
                <c:pt idx="75">
                  <c:v>53.74</c:v>
                </c:pt>
                <c:pt idx="76">
                  <c:v>109.96</c:v>
                </c:pt>
                <c:pt idx="77">
                  <c:v>80.760000000000005</c:v>
                </c:pt>
                <c:pt idx="78">
                  <c:v>113.37</c:v>
                </c:pt>
                <c:pt idx="79">
                  <c:v>20.75</c:v>
                </c:pt>
                <c:pt idx="80">
                  <c:v>56.54</c:v>
                </c:pt>
                <c:pt idx="81">
                  <c:v>68.78</c:v>
                </c:pt>
                <c:pt idx="82">
                  <c:v>28.79</c:v>
                </c:pt>
                <c:pt idx="83">
                  <c:v>100.59</c:v>
                </c:pt>
                <c:pt idx="84">
                  <c:v>104.23</c:v>
                </c:pt>
                <c:pt idx="85">
                  <c:v>25.16</c:v>
                </c:pt>
                <c:pt idx="86">
                  <c:v>89.7</c:v>
                </c:pt>
                <c:pt idx="87">
                  <c:v>69.069999999999993</c:v>
                </c:pt>
                <c:pt idx="88">
                  <c:v>92.29</c:v>
                </c:pt>
                <c:pt idx="89">
                  <c:v>102.09</c:v>
                </c:pt>
                <c:pt idx="90">
                  <c:v>91.85</c:v>
                </c:pt>
                <c:pt idx="91">
                  <c:v>73.5</c:v>
                </c:pt>
                <c:pt idx="92">
                  <c:v>67.66</c:v>
                </c:pt>
                <c:pt idx="93">
                  <c:v>40.51</c:v>
                </c:pt>
                <c:pt idx="94">
                  <c:v>116.8</c:v>
                </c:pt>
                <c:pt idx="95">
                  <c:v>91.1</c:v>
                </c:pt>
                <c:pt idx="96">
                  <c:v>39.950000000000003</c:v>
                </c:pt>
                <c:pt idx="97">
                  <c:v>93.62</c:v>
                </c:pt>
                <c:pt idx="98">
                  <c:v>70.61</c:v>
                </c:pt>
                <c:pt idx="99">
                  <c:v>113.2</c:v>
                </c:pt>
                <c:pt idx="100">
                  <c:v>79.39</c:v>
                </c:pt>
                <c:pt idx="101">
                  <c:v>56.92</c:v>
                </c:pt>
                <c:pt idx="102">
                  <c:v>65.430000000000007</c:v>
                </c:pt>
                <c:pt idx="103">
                  <c:v>74.86</c:v>
                </c:pt>
                <c:pt idx="104">
                  <c:v>40.17</c:v>
                </c:pt>
                <c:pt idx="105">
                  <c:v>88.46</c:v>
                </c:pt>
                <c:pt idx="106">
                  <c:v>33.880000000000003</c:v>
                </c:pt>
                <c:pt idx="107">
                  <c:v>20.27</c:v>
                </c:pt>
                <c:pt idx="108">
                  <c:v>67.319999999999993</c:v>
                </c:pt>
                <c:pt idx="109">
                  <c:v>80.61</c:v>
                </c:pt>
                <c:pt idx="110">
                  <c:v>30.67</c:v>
                </c:pt>
                <c:pt idx="111">
                  <c:v>105.07</c:v>
                </c:pt>
                <c:pt idx="112">
                  <c:v>94.6</c:v>
                </c:pt>
                <c:pt idx="113">
                  <c:v>40.5</c:v>
                </c:pt>
                <c:pt idx="114">
                  <c:v>98.15</c:v>
                </c:pt>
                <c:pt idx="115">
                  <c:v>102.79</c:v>
                </c:pt>
                <c:pt idx="116">
                  <c:v>99.95</c:v>
                </c:pt>
                <c:pt idx="117">
                  <c:v>38.64</c:v>
                </c:pt>
                <c:pt idx="118">
                  <c:v>43.57</c:v>
                </c:pt>
                <c:pt idx="119">
                  <c:v>78.83</c:v>
                </c:pt>
                <c:pt idx="120">
                  <c:v>88.3</c:v>
                </c:pt>
                <c:pt idx="121">
                  <c:v>91.38</c:v>
                </c:pt>
                <c:pt idx="122">
                  <c:v>73.98</c:v>
                </c:pt>
                <c:pt idx="123">
                  <c:v>63.87</c:v>
                </c:pt>
                <c:pt idx="124">
                  <c:v>77.75</c:v>
                </c:pt>
                <c:pt idx="125">
                  <c:v>73.19</c:v>
                </c:pt>
                <c:pt idx="126">
                  <c:v>26.66</c:v>
                </c:pt>
                <c:pt idx="127">
                  <c:v>42.9</c:v>
                </c:pt>
                <c:pt idx="128">
                  <c:v>63.15</c:v>
                </c:pt>
                <c:pt idx="129">
                  <c:v>89.37</c:v>
                </c:pt>
                <c:pt idx="130">
                  <c:v>107.86</c:v>
                </c:pt>
                <c:pt idx="131">
                  <c:v>95.24</c:v>
                </c:pt>
              </c:numCache>
            </c:numRef>
          </c:xVal>
          <c:yVal>
            <c:numRef>
              <c:f>'2.19 MonthlyChurnST'!$B$2:$B$133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DD-D948-BFF5-AD9B606B4BFE}"/>
            </c:ext>
          </c:extLst>
        </c:ser>
        <c:ser>
          <c:idx val="1"/>
          <c:order val="1"/>
          <c:tx>
            <c:strRef>
              <c:f>'2.19 MonthlyChurnST'!$C$1</c:f>
              <c:strCache>
                <c:ptCount val="1"/>
                <c:pt idx="0">
                  <c:v>MonthlyChargeChurn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'2.19 MonthlyChurnST'!$C$2:$C$119</c:f>
              <c:numCache>
                <c:formatCode>General</c:formatCode>
                <c:ptCount val="118"/>
                <c:pt idx="0">
                  <c:v>28.27</c:v>
                </c:pt>
                <c:pt idx="1">
                  <c:v>107.67</c:v>
                </c:pt>
                <c:pt idx="2">
                  <c:v>36.479999999999997</c:v>
                </c:pt>
                <c:pt idx="3">
                  <c:v>61.13</c:v>
                </c:pt>
                <c:pt idx="4">
                  <c:v>97.76</c:v>
                </c:pt>
                <c:pt idx="5">
                  <c:v>68.040000000000006</c:v>
                </c:pt>
                <c:pt idx="6">
                  <c:v>57.67</c:v>
                </c:pt>
                <c:pt idx="7">
                  <c:v>26.35</c:v>
                </c:pt>
                <c:pt idx="8">
                  <c:v>33.39</c:v>
                </c:pt>
                <c:pt idx="9">
                  <c:v>89.17</c:v>
                </c:pt>
                <c:pt idx="10">
                  <c:v>73.430000000000007</c:v>
                </c:pt>
                <c:pt idx="11">
                  <c:v>111.32</c:v>
                </c:pt>
                <c:pt idx="12">
                  <c:v>78.510000000000005</c:v>
                </c:pt>
                <c:pt idx="13">
                  <c:v>47.47</c:v>
                </c:pt>
                <c:pt idx="14">
                  <c:v>40.72</c:v>
                </c:pt>
                <c:pt idx="15">
                  <c:v>24.69</c:v>
                </c:pt>
                <c:pt idx="16">
                  <c:v>46.87</c:v>
                </c:pt>
                <c:pt idx="17">
                  <c:v>103.14</c:v>
                </c:pt>
                <c:pt idx="18">
                  <c:v>101.64</c:v>
                </c:pt>
                <c:pt idx="19">
                  <c:v>116.8</c:v>
                </c:pt>
                <c:pt idx="20">
                  <c:v>28.84</c:v>
                </c:pt>
                <c:pt idx="21">
                  <c:v>79</c:v>
                </c:pt>
                <c:pt idx="22">
                  <c:v>98.47</c:v>
                </c:pt>
                <c:pt idx="23">
                  <c:v>100.5</c:v>
                </c:pt>
                <c:pt idx="24">
                  <c:v>83.66</c:v>
                </c:pt>
                <c:pt idx="25">
                  <c:v>75.48</c:v>
                </c:pt>
                <c:pt idx="26">
                  <c:v>74.739999999999995</c:v>
                </c:pt>
                <c:pt idx="27">
                  <c:v>111.05</c:v>
                </c:pt>
                <c:pt idx="28">
                  <c:v>72.36</c:v>
                </c:pt>
                <c:pt idx="29">
                  <c:v>99.65</c:v>
                </c:pt>
                <c:pt idx="30">
                  <c:v>65.930000000000007</c:v>
                </c:pt>
                <c:pt idx="31">
                  <c:v>104.21</c:v>
                </c:pt>
                <c:pt idx="32">
                  <c:v>96.89</c:v>
                </c:pt>
                <c:pt idx="33">
                  <c:v>24.59</c:v>
                </c:pt>
                <c:pt idx="34">
                  <c:v>54.74</c:v>
                </c:pt>
                <c:pt idx="35">
                  <c:v>40.909999999999997</c:v>
                </c:pt>
                <c:pt idx="36">
                  <c:v>77.959999999999994</c:v>
                </c:pt>
                <c:pt idx="37">
                  <c:v>54.16</c:v>
                </c:pt>
                <c:pt idx="38">
                  <c:v>73.73</c:v>
                </c:pt>
                <c:pt idx="39">
                  <c:v>60.03</c:v>
                </c:pt>
                <c:pt idx="40">
                  <c:v>38.01</c:v>
                </c:pt>
                <c:pt idx="41">
                  <c:v>89.65</c:v>
                </c:pt>
                <c:pt idx="42">
                  <c:v>80.19</c:v>
                </c:pt>
                <c:pt idx="43">
                  <c:v>54.51</c:v>
                </c:pt>
                <c:pt idx="44">
                  <c:v>23.18</c:v>
                </c:pt>
                <c:pt idx="45">
                  <c:v>74.87</c:v>
                </c:pt>
                <c:pt idx="46">
                  <c:v>109.42</c:v>
                </c:pt>
                <c:pt idx="47">
                  <c:v>32.869999999999997</c:v>
                </c:pt>
                <c:pt idx="48">
                  <c:v>53.01</c:v>
                </c:pt>
                <c:pt idx="49">
                  <c:v>52.16</c:v>
                </c:pt>
                <c:pt idx="50">
                  <c:v>88.78</c:v>
                </c:pt>
                <c:pt idx="51">
                  <c:v>71.17</c:v>
                </c:pt>
                <c:pt idx="52">
                  <c:v>35.700000000000003</c:v>
                </c:pt>
                <c:pt idx="53">
                  <c:v>57.73</c:v>
                </c:pt>
                <c:pt idx="54">
                  <c:v>79.73</c:v>
                </c:pt>
                <c:pt idx="55">
                  <c:v>96</c:v>
                </c:pt>
                <c:pt idx="56">
                  <c:v>92.05</c:v>
                </c:pt>
                <c:pt idx="57">
                  <c:v>26.23</c:v>
                </c:pt>
                <c:pt idx="58">
                  <c:v>34.770000000000003</c:v>
                </c:pt>
                <c:pt idx="59">
                  <c:v>94.96</c:v>
                </c:pt>
                <c:pt idx="60">
                  <c:v>38.229999999999997</c:v>
                </c:pt>
                <c:pt idx="61">
                  <c:v>76.400000000000006</c:v>
                </c:pt>
                <c:pt idx="62">
                  <c:v>104.07</c:v>
                </c:pt>
                <c:pt idx="63">
                  <c:v>28.92</c:v>
                </c:pt>
                <c:pt idx="64">
                  <c:v>73.53</c:v>
                </c:pt>
                <c:pt idx="65">
                  <c:v>43.32</c:v>
                </c:pt>
                <c:pt idx="66">
                  <c:v>67.400000000000006</c:v>
                </c:pt>
                <c:pt idx="67">
                  <c:v>55.51</c:v>
                </c:pt>
                <c:pt idx="68">
                  <c:v>78.42</c:v>
                </c:pt>
                <c:pt idx="69">
                  <c:v>78.650000000000006</c:v>
                </c:pt>
                <c:pt idx="70">
                  <c:v>44.44</c:v>
                </c:pt>
                <c:pt idx="71">
                  <c:v>69.819999999999993</c:v>
                </c:pt>
                <c:pt idx="72">
                  <c:v>53.03</c:v>
                </c:pt>
                <c:pt idx="73">
                  <c:v>42.53</c:v>
                </c:pt>
                <c:pt idx="74">
                  <c:v>105.08</c:v>
                </c:pt>
                <c:pt idx="75">
                  <c:v>25.57</c:v>
                </c:pt>
                <c:pt idx="76">
                  <c:v>21.82</c:v>
                </c:pt>
                <c:pt idx="77">
                  <c:v>119.73</c:v>
                </c:pt>
                <c:pt idx="78">
                  <c:v>109.66</c:v>
                </c:pt>
                <c:pt idx="79">
                  <c:v>77.599999999999994</c:v>
                </c:pt>
                <c:pt idx="80">
                  <c:v>111.74</c:v>
                </c:pt>
                <c:pt idx="81">
                  <c:v>20.53</c:v>
                </c:pt>
                <c:pt idx="82">
                  <c:v>117.51</c:v>
                </c:pt>
                <c:pt idx="83">
                  <c:v>103.86</c:v>
                </c:pt>
                <c:pt idx="84">
                  <c:v>72.98</c:v>
                </c:pt>
                <c:pt idx="85">
                  <c:v>90.72</c:v>
                </c:pt>
                <c:pt idx="86">
                  <c:v>96.78</c:v>
                </c:pt>
                <c:pt idx="87">
                  <c:v>28.73</c:v>
                </c:pt>
                <c:pt idx="88">
                  <c:v>52.06</c:v>
                </c:pt>
                <c:pt idx="89">
                  <c:v>74.89</c:v>
                </c:pt>
                <c:pt idx="90">
                  <c:v>28.79</c:v>
                </c:pt>
                <c:pt idx="91">
                  <c:v>31.67</c:v>
                </c:pt>
                <c:pt idx="92">
                  <c:v>99.43</c:v>
                </c:pt>
                <c:pt idx="93">
                  <c:v>60.85</c:v>
                </c:pt>
                <c:pt idx="94">
                  <c:v>113.29</c:v>
                </c:pt>
                <c:pt idx="95">
                  <c:v>119.09</c:v>
                </c:pt>
                <c:pt idx="96">
                  <c:v>57.92</c:v>
                </c:pt>
                <c:pt idx="97">
                  <c:v>112.64</c:v>
                </c:pt>
                <c:pt idx="98">
                  <c:v>92.16</c:v>
                </c:pt>
                <c:pt idx="99">
                  <c:v>24.81</c:v>
                </c:pt>
                <c:pt idx="100">
                  <c:v>95.05</c:v>
                </c:pt>
                <c:pt idx="101">
                  <c:v>102.51</c:v>
                </c:pt>
                <c:pt idx="102">
                  <c:v>83.38</c:v>
                </c:pt>
                <c:pt idx="103">
                  <c:v>110.79</c:v>
                </c:pt>
                <c:pt idx="104">
                  <c:v>51.62</c:v>
                </c:pt>
                <c:pt idx="105">
                  <c:v>65.19</c:v>
                </c:pt>
                <c:pt idx="106">
                  <c:v>109.97</c:v>
                </c:pt>
                <c:pt idx="107">
                  <c:v>82.41</c:v>
                </c:pt>
                <c:pt idx="108">
                  <c:v>55.54</c:v>
                </c:pt>
                <c:pt idx="109">
                  <c:v>59.15</c:v>
                </c:pt>
                <c:pt idx="110">
                  <c:v>74.28</c:v>
                </c:pt>
                <c:pt idx="111">
                  <c:v>53.28</c:v>
                </c:pt>
                <c:pt idx="112">
                  <c:v>93.05</c:v>
                </c:pt>
                <c:pt idx="113">
                  <c:v>36.67</c:v>
                </c:pt>
                <c:pt idx="114">
                  <c:v>69.540000000000006</c:v>
                </c:pt>
                <c:pt idx="115">
                  <c:v>94.15</c:v>
                </c:pt>
                <c:pt idx="116">
                  <c:v>77.319999999999993</c:v>
                </c:pt>
                <c:pt idx="117">
                  <c:v>119.77</c:v>
                </c:pt>
              </c:numCache>
            </c:numRef>
          </c:xVal>
          <c:yVal>
            <c:numRef>
              <c:f>'2.19 MonthlyChurnST'!$D$2:$D$119</c:f>
              <c:numCache>
                <c:formatCode>General</c:formatCode>
                <c:ptCount val="1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DD-D948-BFF5-AD9B606B4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939679"/>
        <c:axId val="1943416543"/>
      </c:scatterChart>
      <c:valAx>
        <c:axId val="190593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MonthlyCharges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416543"/>
        <c:crosses val="autoZero"/>
        <c:crossBetween val="midCat"/>
      </c:valAx>
      <c:valAx>
        <c:axId val="194341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Churn</a:t>
                </a:r>
                <a:r>
                  <a:rPr lang="en-GB" baseline="0"/>
                  <a:t> (1/0)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939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ServiceUsage</a:t>
            </a:r>
            <a:r>
              <a:rPr lang="en-GB" baseline="0"/>
              <a:t> vs Churn Status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UsageNoChurn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'2.20 UsageChurnST'!$A$2:$A$133</c:f>
              <c:numCache>
                <c:formatCode>General</c:formatCode>
                <c:ptCount val="132"/>
                <c:pt idx="0">
                  <c:v>41.6</c:v>
                </c:pt>
                <c:pt idx="1">
                  <c:v>68</c:v>
                </c:pt>
                <c:pt idx="2">
                  <c:v>21.9</c:v>
                </c:pt>
                <c:pt idx="3">
                  <c:v>7.8</c:v>
                </c:pt>
                <c:pt idx="4">
                  <c:v>20.9</c:v>
                </c:pt>
                <c:pt idx="5">
                  <c:v>22.2</c:v>
                </c:pt>
                <c:pt idx="6">
                  <c:v>43.2</c:v>
                </c:pt>
                <c:pt idx="7">
                  <c:v>53.5</c:v>
                </c:pt>
                <c:pt idx="8">
                  <c:v>73.7</c:v>
                </c:pt>
                <c:pt idx="9">
                  <c:v>71.8</c:v>
                </c:pt>
                <c:pt idx="10">
                  <c:v>61.9</c:v>
                </c:pt>
                <c:pt idx="11">
                  <c:v>62.2</c:v>
                </c:pt>
                <c:pt idx="12">
                  <c:v>7.2</c:v>
                </c:pt>
                <c:pt idx="13">
                  <c:v>35.6</c:v>
                </c:pt>
                <c:pt idx="14">
                  <c:v>65.5</c:v>
                </c:pt>
                <c:pt idx="15">
                  <c:v>19.2</c:v>
                </c:pt>
                <c:pt idx="16">
                  <c:v>98.3</c:v>
                </c:pt>
                <c:pt idx="17">
                  <c:v>24.9</c:v>
                </c:pt>
                <c:pt idx="18">
                  <c:v>40.5</c:v>
                </c:pt>
                <c:pt idx="19">
                  <c:v>16.600000000000001</c:v>
                </c:pt>
                <c:pt idx="20">
                  <c:v>74.900000000000006</c:v>
                </c:pt>
                <c:pt idx="21">
                  <c:v>40.299999999999997</c:v>
                </c:pt>
                <c:pt idx="22">
                  <c:v>74.7</c:v>
                </c:pt>
                <c:pt idx="23">
                  <c:v>21.5</c:v>
                </c:pt>
                <c:pt idx="24">
                  <c:v>65.599999999999994</c:v>
                </c:pt>
                <c:pt idx="25">
                  <c:v>21.9</c:v>
                </c:pt>
                <c:pt idx="26">
                  <c:v>99.2</c:v>
                </c:pt>
                <c:pt idx="27">
                  <c:v>76</c:v>
                </c:pt>
                <c:pt idx="28">
                  <c:v>75.3</c:v>
                </c:pt>
                <c:pt idx="29">
                  <c:v>95.3</c:v>
                </c:pt>
                <c:pt idx="30">
                  <c:v>98.1</c:v>
                </c:pt>
                <c:pt idx="31">
                  <c:v>20.7</c:v>
                </c:pt>
                <c:pt idx="32">
                  <c:v>60.7</c:v>
                </c:pt>
                <c:pt idx="33">
                  <c:v>71.3</c:v>
                </c:pt>
                <c:pt idx="34">
                  <c:v>79.3</c:v>
                </c:pt>
                <c:pt idx="35">
                  <c:v>48.9</c:v>
                </c:pt>
                <c:pt idx="36">
                  <c:v>46.3</c:v>
                </c:pt>
                <c:pt idx="37">
                  <c:v>91.4</c:v>
                </c:pt>
                <c:pt idx="38">
                  <c:v>79.099999999999994</c:v>
                </c:pt>
                <c:pt idx="39">
                  <c:v>10.4</c:v>
                </c:pt>
                <c:pt idx="40">
                  <c:v>42.9</c:v>
                </c:pt>
                <c:pt idx="41">
                  <c:v>92.6</c:v>
                </c:pt>
                <c:pt idx="42">
                  <c:v>49.8</c:v>
                </c:pt>
                <c:pt idx="43">
                  <c:v>6.3</c:v>
                </c:pt>
                <c:pt idx="44">
                  <c:v>9.1999999999999993</c:v>
                </c:pt>
                <c:pt idx="45">
                  <c:v>8.4</c:v>
                </c:pt>
                <c:pt idx="46">
                  <c:v>31.2</c:v>
                </c:pt>
                <c:pt idx="47">
                  <c:v>40.299999999999997</c:v>
                </c:pt>
                <c:pt idx="48">
                  <c:v>45.7</c:v>
                </c:pt>
                <c:pt idx="49">
                  <c:v>9.4</c:v>
                </c:pt>
                <c:pt idx="50">
                  <c:v>63.9</c:v>
                </c:pt>
                <c:pt idx="51">
                  <c:v>13.2</c:v>
                </c:pt>
                <c:pt idx="52">
                  <c:v>27.5</c:v>
                </c:pt>
                <c:pt idx="53">
                  <c:v>74.599999999999994</c:v>
                </c:pt>
                <c:pt idx="54">
                  <c:v>17.2</c:v>
                </c:pt>
                <c:pt idx="55">
                  <c:v>88.8</c:v>
                </c:pt>
                <c:pt idx="56">
                  <c:v>42.4</c:v>
                </c:pt>
                <c:pt idx="57">
                  <c:v>83.6</c:v>
                </c:pt>
                <c:pt idx="58">
                  <c:v>64.3</c:v>
                </c:pt>
                <c:pt idx="59">
                  <c:v>73.900000000000006</c:v>
                </c:pt>
                <c:pt idx="60">
                  <c:v>23.2</c:v>
                </c:pt>
                <c:pt idx="61">
                  <c:v>37.1</c:v>
                </c:pt>
                <c:pt idx="62">
                  <c:v>95</c:v>
                </c:pt>
                <c:pt idx="63">
                  <c:v>96.9</c:v>
                </c:pt>
                <c:pt idx="64">
                  <c:v>22.4</c:v>
                </c:pt>
                <c:pt idx="65">
                  <c:v>7.1</c:v>
                </c:pt>
                <c:pt idx="66">
                  <c:v>73.400000000000006</c:v>
                </c:pt>
                <c:pt idx="67">
                  <c:v>44.7</c:v>
                </c:pt>
                <c:pt idx="68">
                  <c:v>56.5</c:v>
                </c:pt>
                <c:pt idx="69">
                  <c:v>63.2</c:v>
                </c:pt>
                <c:pt idx="70">
                  <c:v>26.5</c:v>
                </c:pt>
                <c:pt idx="71">
                  <c:v>45.7</c:v>
                </c:pt>
                <c:pt idx="72">
                  <c:v>18.399999999999999</c:v>
                </c:pt>
                <c:pt idx="73">
                  <c:v>25.5</c:v>
                </c:pt>
                <c:pt idx="74">
                  <c:v>14.3</c:v>
                </c:pt>
                <c:pt idx="75">
                  <c:v>86.9</c:v>
                </c:pt>
                <c:pt idx="76">
                  <c:v>48.7</c:v>
                </c:pt>
                <c:pt idx="77">
                  <c:v>76.2</c:v>
                </c:pt>
                <c:pt idx="78">
                  <c:v>38.799999999999997</c:v>
                </c:pt>
                <c:pt idx="79">
                  <c:v>97.9</c:v>
                </c:pt>
                <c:pt idx="80">
                  <c:v>52.2</c:v>
                </c:pt>
                <c:pt idx="81">
                  <c:v>37.299999999999997</c:v>
                </c:pt>
                <c:pt idx="82">
                  <c:v>56.8</c:v>
                </c:pt>
                <c:pt idx="83">
                  <c:v>77.099999999999994</c:v>
                </c:pt>
                <c:pt idx="84">
                  <c:v>6.7</c:v>
                </c:pt>
                <c:pt idx="85">
                  <c:v>17</c:v>
                </c:pt>
                <c:pt idx="86">
                  <c:v>20.399999999999999</c:v>
                </c:pt>
                <c:pt idx="87">
                  <c:v>13.9</c:v>
                </c:pt>
                <c:pt idx="88">
                  <c:v>37.6</c:v>
                </c:pt>
                <c:pt idx="89">
                  <c:v>31.8</c:v>
                </c:pt>
                <c:pt idx="90">
                  <c:v>42.1</c:v>
                </c:pt>
                <c:pt idx="91">
                  <c:v>80.8</c:v>
                </c:pt>
                <c:pt idx="92">
                  <c:v>40.299999999999997</c:v>
                </c:pt>
                <c:pt idx="93">
                  <c:v>42.8</c:v>
                </c:pt>
                <c:pt idx="94">
                  <c:v>13.9</c:v>
                </c:pt>
                <c:pt idx="95">
                  <c:v>46.9</c:v>
                </c:pt>
                <c:pt idx="96">
                  <c:v>23.6</c:v>
                </c:pt>
                <c:pt idx="97">
                  <c:v>22.7</c:v>
                </c:pt>
                <c:pt idx="98">
                  <c:v>34.700000000000003</c:v>
                </c:pt>
                <c:pt idx="99">
                  <c:v>66.099999999999994</c:v>
                </c:pt>
                <c:pt idx="100">
                  <c:v>90.2</c:v>
                </c:pt>
                <c:pt idx="101">
                  <c:v>54.4</c:v>
                </c:pt>
                <c:pt idx="102">
                  <c:v>47.5</c:v>
                </c:pt>
                <c:pt idx="103">
                  <c:v>58</c:v>
                </c:pt>
                <c:pt idx="104">
                  <c:v>63.3</c:v>
                </c:pt>
                <c:pt idx="105">
                  <c:v>39.5</c:v>
                </c:pt>
                <c:pt idx="106">
                  <c:v>21</c:v>
                </c:pt>
                <c:pt idx="107">
                  <c:v>53.2</c:v>
                </c:pt>
                <c:pt idx="108">
                  <c:v>8.1999999999999993</c:v>
                </c:pt>
                <c:pt idx="109">
                  <c:v>39.6</c:v>
                </c:pt>
                <c:pt idx="110">
                  <c:v>82.9</c:v>
                </c:pt>
                <c:pt idx="111">
                  <c:v>34.799999999999997</c:v>
                </c:pt>
                <c:pt idx="112">
                  <c:v>80.900000000000006</c:v>
                </c:pt>
                <c:pt idx="113">
                  <c:v>75.3</c:v>
                </c:pt>
                <c:pt idx="114">
                  <c:v>73.900000000000006</c:v>
                </c:pt>
                <c:pt idx="115">
                  <c:v>35.700000000000003</c:v>
                </c:pt>
                <c:pt idx="116">
                  <c:v>98.1</c:v>
                </c:pt>
                <c:pt idx="117">
                  <c:v>17.3</c:v>
                </c:pt>
                <c:pt idx="118">
                  <c:v>70.3</c:v>
                </c:pt>
                <c:pt idx="119">
                  <c:v>24.9</c:v>
                </c:pt>
                <c:pt idx="120">
                  <c:v>41</c:v>
                </c:pt>
                <c:pt idx="121">
                  <c:v>37</c:v>
                </c:pt>
                <c:pt idx="122">
                  <c:v>15.5</c:v>
                </c:pt>
                <c:pt idx="123">
                  <c:v>77.2</c:v>
                </c:pt>
                <c:pt idx="124">
                  <c:v>98.9</c:v>
                </c:pt>
                <c:pt idx="125">
                  <c:v>34.799999999999997</c:v>
                </c:pt>
                <c:pt idx="126">
                  <c:v>29.2</c:v>
                </c:pt>
                <c:pt idx="127">
                  <c:v>82.8</c:v>
                </c:pt>
                <c:pt idx="128">
                  <c:v>54.9</c:v>
                </c:pt>
                <c:pt idx="129">
                  <c:v>13.3</c:v>
                </c:pt>
                <c:pt idx="130">
                  <c:v>44.9</c:v>
                </c:pt>
                <c:pt idx="131">
                  <c:v>46.4</c:v>
                </c:pt>
              </c:numCache>
            </c:numRef>
          </c:xVal>
          <c:yVal>
            <c:numRef>
              <c:f>'2.20 UsageChurnST'!$B$2:$B$133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F7-3443-BCF9-7557F6FECB18}"/>
            </c:ext>
          </c:extLst>
        </c:ser>
        <c:ser>
          <c:idx val="1"/>
          <c:order val="1"/>
          <c:tx>
            <c:v>UsageChurn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'2.20 UsageChurnST'!$C$2:$C$119</c:f>
              <c:numCache>
                <c:formatCode>General</c:formatCode>
                <c:ptCount val="118"/>
                <c:pt idx="0">
                  <c:v>52.7</c:v>
                </c:pt>
                <c:pt idx="1">
                  <c:v>16.8</c:v>
                </c:pt>
                <c:pt idx="2">
                  <c:v>66.099999999999994</c:v>
                </c:pt>
                <c:pt idx="3">
                  <c:v>79.099999999999994</c:v>
                </c:pt>
                <c:pt idx="4">
                  <c:v>25.6</c:v>
                </c:pt>
                <c:pt idx="5">
                  <c:v>18.100000000000001</c:v>
                </c:pt>
                <c:pt idx="6">
                  <c:v>5.2</c:v>
                </c:pt>
                <c:pt idx="7">
                  <c:v>41.8</c:v>
                </c:pt>
                <c:pt idx="8">
                  <c:v>88.1</c:v>
                </c:pt>
                <c:pt idx="9">
                  <c:v>14.9</c:v>
                </c:pt>
                <c:pt idx="10">
                  <c:v>26.4</c:v>
                </c:pt>
                <c:pt idx="11">
                  <c:v>10</c:v>
                </c:pt>
                <c:pt idx="12">
                  <c:v>51.2</c:v>
                </c:pt>
                <c:pt idx="13">
                  <c:v>71.099999999999994</c:v>
                </c:pt>
                <c:pt idx="14">
                  <c:v>75.900000000000006</c:v>
                </c:pt>
                <c:pt idx="15">
                  <c:v>83.4</c:v>
                </c:pt>
                <c:pt idx="16">
                  <c:v>54.4</c:v>
                </c:pt>
                <c:pt idx="17">
                  <c:v>27.4</c:v>
                </c:pt>
                <c:pt idx="18">
                  <c:v>10.9</c:v>
                </c:pt>
                <c:pt idx="19">
                  <c:v>81.099999999999994</c:v>
                </c:pt>
                <c:pt idx="20">
                  <c:v>77.8</c:v>
                </c:pt>
                <c:pt idx="21">
                  <c:v>33.4</c:v>
                </c:pt>
                <c:pt idx="22">
                  <c:v>52.1</c:v>
                </c:pt>
                <c:pt idx="23">
                  <c:v>70.2</c:v>
                </c:pt>
                <c:pt idx="24">
                  <c:v>24.3</c:v>
                </c:pt>
                <c:pt idx="25">
                  <c:v>58.7</c:v>
                </c:pt>
                <c:pt idx="26">
                  <c:v>71.5</c:v>
                </c:pt>
                <c:pt idx="27">
                  <c:v>60.7</c:v>
                </c:pt>
                <c:pt idx="28">
                  <c:v>93.3</c:v>
                </c:pt>
                <c:pt idx="29">
                  <c:v>10.3</c:v>
                </c:pt>
                <c:pt idx="30">
                  <c:v>86</c:v>
                </c:pt>
                <c:pt idx="31">
                  <c:v>26.4</c:v>
                </c:pt>
                <c:pt idx="32">
                  <c:v>40.799999999999997</c:v>
                </c:pt>
                <c:pt idx="33">
                  <c:v>50.7</c:v>
                </c:pt>
                <c:pt idx="34">
                  <c:v>94</c:v>
                </c:pt>
                <c:pt idx="35">
                  <c:v>72.099999999999994</c:v>
                </c:pt>
                <c:pt idx="36">
                  <c:v>65</c:v>
                </c:pt>
                <c:pt idx="37">
                  <c:v>9.6999999999999993</c:v>
                </c:pt>
                <c:pt idx="38">
                  <c:v>90.9</c:v>
                </c:pt>
                <c:pt idx="39">
                  <c:v>5.7</c:v>
                </c:pt>
                <c:pt idx="40">
                  <c:v>26.4</c:v>
                </c:pt>
                <c:pt idx="41">
                  <c:v>17.5</c:v>
                </c:pt>
                <c:pt idx="42">
                  <c:v>31.9</c:v>
                </c:pt>
                <c:pt idx="43">
                  <c:v>31.2</c:v>
                </c:pt>
                <c:pt idx="44">
                  <c:v>79.8</c:v>
                </c:pt>
                <c:pt idx="45">
                  <c:v>97.6</c:v>
                </c:pt>
                <c:pt idx="46">
                  <c:v>85.3</c:v>
                </c:pt>
                <c:pt idx="47">
                  <c:v>30.5</c:v>
                </c:pt>
                <c:pt idx="48">
                  <c:v>19.899999999999999</c:v>
                </c:pt>
                <c:pt idx="49">
                  <c:v>86</c:v>
                </c:pt>
                <c:pt idx="50">
                  <c:v>58.4</c:v>
                </c:pt>
                <c:pt idx="51">
                  <c:v>37.9</c:v>
                </c:pt>
                <c:pt idx="52">
                  <c:v>34.9</c:v>
                </c:pt>
                <c:pt idx="53">
                  <c:v>78.3</c:v>
                </c:pt>
                <c:pt idx="54">
                  <c:v>57.1</c:v>
                </c:pt>
                <c:pt idx="55">
                  <c:v>79.8</c:v>
                </c:pt>
                <c:pt idx="56">
                  <c:v>52</c:v>
                </c:pt>
                <c:pt idx="57">
                  <c:v>98.1</c:v>
                </c:pt>
                <c:pt idx="58">
                  <c:v>18.8</c:v>
                </c:pt>
                <c:pt idx="59">
                  <c:v>34.299999999999997</c:v>
                </c:pt>
                <c:pt idx="60">
                  <c:v>13.4</c:v>
                </c:pt>
                <c:pt idx="61">
                  <c:v>70</c:v>
                </c:pt>
                <c:pt idx="62">
                  <c:v>56.8</c:v>
                </c:pt>
                <c:pt idx="63">
                  <c:v>98.1</c:v>
                </c:pt>
                <c:pt idx="64">
                  <c:v>26.6</c:v>
                </c:pt>
                <c:pt idx="65">
                  <c:v>43.4</c:v>
                </c:pt>
                <c:pt idx="66">
                  <c:v>80.2</c:v>
                </c:pt>
                <c:pt idx="67">
                  <c:v>57.1</c:v>
                </c:pt>
                <c:pt idx="68">
                  <c:v>85.5</c:v>
                </c:pt>
                <c:pt idx="69">
                  <c:v>68.099999999999994</c:v>
                </c:pt>
                <c:pt idx="70">
                  <c:v>32.6</c:v>
                </c:pt>
                <c:pt idx="71">
                  <c:v>79.8</c:v>
                </c:pt>
                <c:pt idx="72">
                  <c:v>15.6</c:v>
                </c:pt>
                <c:pt idx="73">
                  <c:v>80.400000000000006</c:v>
                </c:pt>
                <c:pt idx="74">
                  <c:v>87.9</c:v>
                </c:pt>
                <c:pt idx="75">
                  <c:v>76.599999999999994</c:v>
                </c:pt>
                <c:pt idx="76">
                  <c:v>67.7</c:v>
                </c:pt>
                <c:pt idx="77">
                  <c:v>29.3</c:v>
                </c:pt>
                <c:pt idx="78">
                  <c:v>94.9</c:v>
                </c:pt>
                <c:pt idx="79">
                  <c:v>58.2</c:v>
                </c:pt>
                <c:pt idx="80">
                  <c:v>76.3</c:v>
                </c:pt>
                <c:pt idx="81">
                  <c:v>58</c:v>
                </c:pt>
                <c:pt idx="82">
                  <c:v>57.5</c:v>
                </c:pt>
                <c:pt idx="83">
                  <c:v>47.9</c:v>
                </c:pt>
                <c:pt idx="84">
                  <c:v>13.9</c:v>
                </c:pt>
                <c:pt idx="85">
                  <c:v>38.9</c:v>
                </c:pt>
                <c:pt idx="86">
                  <c:v>77</c:v>
                </c:pt>
                <c:pt idx="87">
                  <c:v>31.3</c:v>
                </c:pt>
                <c:pt idx="88">
                  <c:v>23.6</c:v>
                </c:pt>
                <c:pt idx="89">
                  <c:v>20.8</c:v>
                </c:pt>
                <c:pt idx="90">
                  <c:v>90.2</c:v>
                </c:pt>
                <c:pt idx="91">
                  <c:v>61.8</c:v>
                </c:pt>
                <c:pt idx="92">
                  <c:v>74.599999999999994</c:v>
                </c:pt>
                <c:pt idx="93">
                  <c:v>96.9</c:v>
                </c:pt>
                <c:pt idx="94">
                  <c:v>86.4</c:v>
                </c:pt>
                <c:pt idx="95">
                  <c:v>16.2</c:v>
                </c:pt>
                <c:pt idx="96">
                  <c:v>35.4</c:v>
                </c:pt>
                <c:pt idx="97">
                  <c:v>98.9</c:v>
                </c:pt>
                <c:pt idx="98">
                  <c:v>51.1</c:v>
                </c:pt>
                <c:pt idx="99">
                  <c:v>16.600000000000001</c:v>
                </c:pt>
                <c:pt idx="100">
                  <c:v>99.7</c:v>
                </c:pt>
                <c:pt idx="101">
                  <c:v>67.3</c:v>
                </c:pt>
                <c:pt idx="102">
                  <c:v>13.8</c:v>
                </c:pt>
                <c:pt idx="103">
                  <c:v>7.8</c:v>
                </c:pt>
                <c:pt idx="104">
                  <c:v>83.2</c:v>
                </c:pt>
                <c:pt idx="105">
                  <c:v>97.5</c:v>
                </c:pt>
                <c:pt idx="106">
                  <c:v>33.200000000000003</c:v>
                </c:pt>
                <c:pt idx="107">
                  <c:v>92.2</c:v>
                </c:pt>
                <c:pt idx="108">
                  <c:v>90.6</c:v>
                </c:pt>
                <c:pt idx="109">
                  <c:v>66.900000000000006</c:v>
                </c:pt>
                <c:pt idx="110">
                  <c:v>88.6</c:v>
                </c:pt>
                <c:pt idx="111">
                  <c:v>28.2</c:v>
                </c:pt>
                <c:pt idx="112">
                  <c:v>15.7</c:v>
                </c:pt>
                <c:pt idx="113">
                  <c:v>73.3</c:v>
                </c:pt>
                <c:pt idx="114">
                  <c:v>91</c:v>
                </c:pt>
                <c:pt idx="115">
                  <c:v>75.3</c:v>
                </c:pt>
                <c:pt idx="116">
                  <c:v>23.2</c:v>
                </c:pt>
                <c:pt idx="117">
                  <c:v>63.3</c:v>
                </c:pt>
              </c:numCache>
            </c:numRef>
          </c:xVal>
          <c:yVal>
            <c:numRef>
              <c:f>'2.20 UsageChurnST'!$D$2:$D$119</c:f>
              <c:numCache>
                <c:formatCode>General</c:formatCode>
                <c:ptCount val="1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F7-3443-BCF9-7557F6FEC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115887"/>
        <c:axId val="1906277503"/>
      </c:scatterChart>
      <c:valAx>
        <c:axId val="55711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ServiceUsage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277503"/>
        <c:crosses val="autoZero"/>
        <c:crossBetween val="midCat"/>
      </c:valAx>
      <c:valAx>
        <c:axId val="190627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Churn</a:t>
                </a:r>
                <a:r>
                  <a:rPr lang="en-GB" baseline="0"/>
                  <a:t> (1/0)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115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Age by Churn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Age by Churn</a:t>
          </a:r>
        </a:p>
      </cx:txPr>
    </cx:title>
    <cx:plotArea>
      <cx:plotAreaRegion>
        <cx:series layoutId="boxWhisker" uniqueId="{7851DBEC-1997-DD45-BF48-B6E4317059D0}">
          <cx:tx>
            <cx:txData>
              <cx:f>_xlchart.v1.0</cx:f>
              <cx:v>NoChurn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BDCDE20F-294E-5F4F-BEAA-DBE4010C1080}">
          <cx:tx>
            <cx:txData>
              <cx:f>_xlchart.v1.2</cx:f>
              <cx:v>Churn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0">
      <cx:tx>
        <cx:txData>
          <cx:v>Tenure by Churn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Tenure by Churn</a:t>
          </a:r>
        </a:p>
      </cx:txPr>
    </cx:title>
    <cx:plotArea>
      <cx:plotAreaRegion>
        <cx:series layoutId="boxWhisker" uniqueId="{1995710A-1497-6F4E-857F-BBC0B2961C89}">
          <cx:tx>
            <cx:txData>
              <cx:f>_xlchart.v1.4</cx:f>
              <cx:v>NoChurn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1DF29679-84E2-554D-A762-C92F92324899}">
          <cx:tx>
            <cx:txData>
              <cx:f>_xlchart.v1.6</cx:f>
              <cx:v>Churn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</cx:chartData>
  <cx:chart>
    <cx:title pos="t" align="ctr" overlay="0">
      <cx:tx>
        <cx:txData>
          <cx:v>MonthlyCharge by Churn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MonthlyCharge by Churn</a:t>
          </a:r>
        </a:p>
      </cx:txPr>
    </cx:title>
    <cx:plotArea>
      <cx:plotAreaRegion>
        <cx:series layoutId="boxWhisker" uniqueId="{EA739F04-A46F-3B4E-8B6F-6BE95CDEC7D8}">
          <cx:tx>
            <cx:txData>
              <cx:f>_xlchart.v1.8</cx:f>
              <cx:v>NoChurn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658CF35B-7249-3F40-82A3-056E60EA8DFB}">
          <cx:tx>
            <cx:txData>
              <cx:f>_xlchart.v1.10</cx:f>
              <cx:v>Churn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</cx:chartData>
  <cx:chart>
    <cx:title pos="t" align="ctr" overlay="0">
      <cx:tx>
        <cx:txData>
          <cx:v>Support Ticket vs Churn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Support Ticket vs Churn</a:t>
          </a:r>
        </a:p>
      </cx:txPr>
    </cx:title>
    <cx:plotArea>
      <cx:plotAreaRegion>
        <cx:series layoutId="boxWhisker" uniqueId="{7CDF2575-0986-2440-9E73-80BAAAEB9CA4}">
          <cx:tx>
            <cx:txData>
              <cx:f>_xlchart.v1.12</cx:f>
              <cx:v>NoChurn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9667DCB7-A1E1-8145-A26C-B2F21691D731}">
          <cx:tx>
            <cx:txData>
              <cx:f>_xlchart.v1.14</cx:f>
              <cx:v>Churn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  <cx:data id="1">
      <cx:numDim type="val">
        <cx:f>_xlchart.v1.19</cx:f>
      </cx:numDim>
    </cx:data>
  </cx:chartData>
  <cx:chart>
    <cx:title pos="t" align="ctr" overlay="0">
      <cx:tx>
        <cx:txData>
          <cx:v>Usage by Churn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Usage by Churn</a:t>
          </a:r>
        </a:p>
      </cx:txPr>
    </cx:title>
    <cx:plotArea>
      <cx:plotAreaRegion>
        <cx:series layoutId="boxWhisker" uniqueId="{3BD27AF1-0623-954D-B7F0-53FB6BEFEF06}">
          <cx:tx>
            <cx:txData>
              <cx:f>_xlchart.v1.16</cx:f>
              <cx:v>NoChurn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F00F63BB-9EAB-EB49-B9D5-CBA92F7D8F72}">
          <cx:tx>
            <cx:txData>
              <cx:f>_xlchart.v1.18</cx:f>
              <cx:v>Churn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</cx:chartData>
  <cx:chart>
    <cx:title pos="t" align="ctr" overlay="0">
      <cx:tx>
        <cx:txData>
          <cx:v>Sas by churn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Sas by churn</a:t>
          </a:r>
        </a:p>
      </cx:txPr>
    </cx:title>
    <cx:plotArea>
      <cx:plotAreaRegion>
        <cx:series layoutId="boxWhisker" uniqueId="{29D81A2F-657B-4947-A30E-E6704464A6B0}">
          <cx:tx>
            <cx:txData>
              <cx:f>_xlchart.v1.20</cx:f>
              <cx:v>Nochurn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38AA2DAF-E16F-0743-9FEF-442E867D20E0}">
          <cx:tx>
            <cx:txData>
              <cx:f>_xlchart.v1.22</cx:f>
              <cx:v>Churn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  <cx:data id="1">
      <cx:numDim type="val">
        <cx:f>_xlchart.v1.27</cx:f>
      </cx:numDim>
    </cx:data>
  </cx:chartData>
  <cx:chart>
    <cx:title pos="t" align="ctr" overlay="0">
      <cx:tx>
        <cx:txData>
          <cx:v>Spend by Churn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Spend by Churn</a:t>
          </a:r>
        </a:p>
      </cx:txPr>
    </cx:title>
    <cx:plotArea>
      <cx:plotAreaRegion>
        <cx:series layoutId="boxWhisker" uniqueId="{91AE15F9-9BD8-9043-AB5B-7ADCBE51C023}">
          <cx:tx>
            <cx:txData>
              <cx:f>_xlchart.v1.24</cx:f>
              <cx:v>NoChurn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33E28848-3DD8-A44C-B459-16A23641A875}">
          <cx:tx>
            <cx:txData>
              <cx:f>_xlchart.v1.26</cx:f>
              <cx:v>Churn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27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28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29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30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31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222250</xdr:colOff>
      <xdr:row>4</xdr:row>
      <xdr:rowOff>50800</xdr:rowOff>
    </xdr:from>
    <xdr:to>
      <xdr:col>15</xdr:col>
      <xdr:colOff>533400</xdr:colOff>
      <xdr:row>12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B9C3E6-9E64-ADBB-1D5D-61D3D44C7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793750</xdr:colOff>
      <xdr:row>6</xdr:row>
      <xdr:rowOff>133350</xdr:rowOff>
    </xdr:from>
    <xdr:to>
      <xdr:col>8</xdr:col>
      <xdr:colOff>533400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60C3DD-ED65-F13C-5BA4-660834E68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704850</xdr:colOff>
      <xdr:row>6</xdr:row>
      <xdr:rowOff>107950</xdr:rowOff>
    </xdr:from>
    <xdr:to>
      <xdr:col>13</xdr:col>
      <xdr:colOff>647700</xdr:colOff>
      <xdr:row>19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0AA8AC-2DA0-7ADC-1A60-10E263360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19</xdr:row>
      <xdr:rowOff>25400</xdr:rowOff>
    </xdr:from>
    <xdr:to>
      <xdr:col>7</xdr:col>
      <xdr:colOff>190500</xdr:colOff>
      <xdr:row>33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D0CE03-970E-F0C7-0DB7-374F43B65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387350</xdr:colOff>
      <xdr:row>19</xdr:row>
      <xdr:rowOff>0</xdr:rowOff>
    </xdr:from>
    <xdr:to>
      <xdr:col>15</xdr:col>
      <xdr:colOff>647700</xdr:colOff>
      <xdr:row>33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52E652-8E25-5ED9-C3B4-3CB60CFC7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425450</xdr:colOff>
      <xdr:row>17</xdr:row>
      <xdr:rowOff>165100</xdr:rowOff>
    </xdr:from>
    <xdr:to>
      <xdr:col>25</xdr:col>
      <xdr:colOff>44450</xdr:colOff>
      <xdr:row>32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2E24D8-EA42-83CF-F474-9CD9CBF07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603250</xdr:colOff>
      <xdr:row>1</xdr:row>
      <xdr:rowOff>107951</xdr:rowOff>
    </xdr:from>
    <xdr:to>
      <xdr:col>13</xdr:col>
      <xdr:colOff>812800</xdr:colOff>
      <xdr:row>17</xdr:row>
      <xdr:rowOff>8467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F645AE-E7C1-913E-ACA9-03D69DBCC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392678</xdr:colOff>
      <xdr:row>1</xdr:row>
      <xdr:rowOff>29259</xdr:rowOff>
    </xdr:from>
    <xdr:to>
      <xdr:col>8</xdr:col>
      <xdr:colOff>804333</xdr:colOff>
      <xdr:row>15</xdr:row>
      <xdr:rowOff>115678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061E09C-7B0F-FE07-CDE9-80872560A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69850</xdr:colOff>
      <xdr:row>6</xdr:row>
      <xdr:rowOff>50800</xdr:rowOff>
    </xdr:from>
    <xdr:to>
      <xdr:col>9</xdr:col>
      <xdr:colOff>171450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AB4826-9CED-9B37-B1FB-46F84B634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120650</xdr:colOff>
      <xdr:row>14</xdr:row>
      <xdr:rowOff>12700</xdr:rowOff>
    </xdr:from>
    <xdr:to>
      <xdr:col>9</xdr:col>
      <xdr:colOff>565150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658765-E0A5-E867-BE23-B49706F29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63571</xdr:colOff>
      <xdr:row>0</xdr:row>
      <xdr:rowOff>183936</xdr:rowOff>
    </xdr:from>
    <xdr:to>
      <xdr:col>16</xdr:col>
      <xdr:colOff>508071</xdr:colOff>
      <xdr:row>15</xdr:row>
      <xdr:rowOff>74630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1A53D2-625A-22D7-C2F5-89C1EB0C4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144247</xdr:colOff>
      <xdr:row>17</xdr:row>
      <xdr:rowOff>102227</xdr:rowOff>
    </xdr:from>
    <xdr:to>
      <xdr:col>16</xdr:col>
      <xdr:colOff>561309</xdr:colOff>
      <xdr:row>32</xdr:row>
      <xdr:rowOff>23205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9638B8-FD62-BB0A-277A-91BE72304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107814</xdr:rowOff>
    </xdr:from>
    <xdr:to>
      <xdr:col>2</xdr:col>
      <xdr:colOff>360734</xdr:colOff>
      <xdr:row>40</xdr:row>
      <xdr:rowOff>40532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F3C5A5-C83C-B092-2D0E-BF4F9E223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382351</xdr:colOff>
      <xdr:row>29</xdr:row>
      <xdr:rowOff>121326</xdr:rowOff>
    </xdr:from>
    <xdr:to>
      <xdr:col>6</xdr:col>
      <xdr:colOff>162127</xdr:colOff>
      <xdr:row>40</xdr:row>
      <xdr:rowOff>54043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A8EC33-0A5A-9D01-4CD9-9DBBF3B77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4053</xdr:colOff>
      <xdr:row>28</xdr:row>
      <xdr:rowOff>182124</xdr:rowOff>
    </xdr:from>
    <xdr:to>
      <xdr:col>11</xdr:col>
      <xdr:colOff>432340</xdr:colOff>
      <xdr:row>40</xdr:row>
      <xdr:rowOff>54043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FA6CF2-CECA-9266-27E7-599679B10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598522</xdr:colOff>
      <xdr:row>28</xdr:row>
      <xdr:rowOff>155102</xdr:rowOff>
    </xdr:from>
    <xdr:to>
      <xdr:col>16</xdr:col>
      <xdr:colOff>40531</xdr:colOff>
      <xdr:row>40</xdr:row>
      <xdr:rowOff>67554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F5A2841-2CBF-7D62-549A-1851E3F62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0.07595</cdr:x>
      <cdr:y>0.34486</cdr:y>
    </cdr:from>
    <cdr:to>
      <cdr:x>0.96838</cdr:x>
      <cdr:y>0.34978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5A2E69FC-5EBE-4045-6880-1E96B61B4B44}"/>
            </a:ext>
          </a:extLst>
        </cdr:cNvPr>
        <cdr:cNvCxnSpPr/>
      </cdr:nvCxnSpPr>
      <cdr:spPr>
        <a:xfrm xmlns:a="http://schemas.openxmlformats.org/drawingml/2006/main" flipV="1">
          <a:off x="347223" y="946015"/>
          <a:ext cx="4080212" cy="13510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0.10504</cdr:x>
      <cdr:y>0.36231</cdr:y>
    </cdr:from>
    <cdr:to>
      <cdr:x>0.9507</cdr:x>
      <cdr:y>0.36231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E990E70A-3961-B9B8-4E56-74E570B69A88}"/>
            </a:ext>
          </a:extLst>
        </cdr:cNvPr>
        <cdr:cNvCxnSpPr/>
      </cdr:nvCxnSpPr>
      <cdr:spPr>
        <a:xfrm xmlns:a="http://schemas.openxmlformats.org/drawingml/2006/main">
          <a:off x="374244" y="790643"/>
          <a:ext cx="3012872" cy="0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1091259</xdr:colOff>
      <xdr:row>16</xdr:row>
      <xdr:rowOff>159926</xdr:rowOff>
    </xdr:from>
    <xdr:to>
      <xdr:col>24</xdr:col>
      <xdr:colOff>84667</xdr:colOff>
      <xdr:row>26</xdr:row>
      <xdr:rowOff>40452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69F78B-231A-1438-64AF-3AB011D35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235186</xdr:colOff>
      <xdr:row>16</xdr:row>
      <xdr:rowOff>159925</xdr:rowOff>
    </xdr:from>
    <xdr:to>
      <xdr:col>27</xdr:col>
      <xdr:colOff>762000</xdr:colOff>
      <xdr:row>26</xdr:row>
      <xdr:rowOff>59266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E0D830-0787-2BB5-80C4-7CA7A0427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329259</xdr:colOff>
      <xdr:row>16</xdr:row>
      <xdr:rowOff>110068</xdr:rowOff>
    </xdr:from>
    <xdr:to>
      <xdr:col>31</xdr:col>
      <xdr:colOff>667925</xdr:colOff>
      <xdr:row>26</xdr:row>
      <xdr:rowOff>131704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D7327B-CB75-0691-11D8-6DFD57D1D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790222</xdr:colOff>
      <xdr:row>16</xdr:row>
      <xdr:rowOff>150519</xdr:rowOff>
    </xdr:from>
    <xdr:to>
      <xdr:col>34</xdr:col>
      <xdr:colOff>301037</xdr:colOff>
      <xdr:row>26</xdr:row>
      <xdr:rowOff>2823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1D51537-17CB-1837-E420-1B571E142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0.11562</cdr:x>
      <cdr:y>0.47015</cdr:y>
    </cdr:from>
    <cdr:to>
      <cdr:x>0.95</cdr:x>
      <cdr:y>0.47015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408B2A38-476D-1D70-AF2A-302F1B71585C}"/>
            </a:ext>
          </a:extLst>
        </cdr:cNvPr>
        <cdr:cNvCxnSpPr/>
      </cdr:nvCxnSpPr>
      <cdr:spPr>
        <a:xfrm xmlns:a="http://schemas.openxmlformats.org/drawingml/2006/main">
          <a:off x="348073" y="837261"/>
          <a:ext cx="2511778" cy="0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0.1324</cdr:x>
      <cdr:y>0.40152</cdr:y>
    </cdr:from>
    <cdr:to>
      <cdr:x>0.9338</cdr:x>
      <cdr:y>0.40152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79E1CF58-2F55-8B9A-B17A-E74EDF9CC7D1}"/>
            </a:ext>
          </a:extLst>
        </cdr:cNvPr>
        <cdr:cNvCxnSpPr/>
      </cdr:nvCxnSpPr>
      <cdr:spPr>
        <a:xfrm xmlns:a="http://schemas.openxmlformats.org/drawingml/2006/main">
          <a:off x="357482" y="696148"/>
          <a:ext cx="2163703" cy="0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768350</xdr:colOff>
      <xdr:row>15</xdr:row>
      <xdr:rowOff>6350</xdr:rowOff>
    </xdr:from>
    <xdr:to>
      <xdr:col>18</xdr:col>
      <xdr:colOff>1181100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E8C183-388D-1800-73EF-33B248E8D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38100</xdr:colOff>
      <xdr:row>14</xdr:row>
      <xdr:rowOff>165100</xdr:rowOff>
    </xdr:from>
    <xdr:to>
      <xdr:col>23</xdr:col>
      <xdr:colOff>0</xdr:colOff>
      <xdr:row>25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39FDE1-64EA-7778-4C0B-5D8EB8278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19050</xdr:colOff>
      <xdr:row>13</xdr:row>
      <xdr:rowOff>133350</xdr:rowOff>
    </xdr:from>
    <xdr:to>
      <xdr:col>26</xdr:col>
      <xdr:colOff>1041400</xdr:colOff>
      <xdr:row>23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E46629-24A3-EDB7-FAFB-F7BAEE789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0</xdr:colOff>
      <xdr:row>13</xdr:row>
      <xdr:rowOff>139700</xdr:rowOff>
    </xdr:from>
    <xdr:to>
      <xdr:col>30</xdr:col>
      <xdr:colOff>228600</xdr:colOff>
      <xdr:row>24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7CC60D-C953-FF0E-69C7-C339FF6A3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0.10288</cdr:x>
      <cdr:y>0.39103</cdr:y>
    </cdr:from>
    <cdr:to>
      <cdr:x>0.95473</cdr:x>
      <cdr:y>0.39103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F443AFE2-863D-F6B0-45CE-8FD22632BC25}"/>
            </a:ext>
          </a:extLst>
        </cdr:cNvPr>
        <cdr:cNvCxnSpPr/>
      </cdr:nvCxnSpPr>
      <cdr:spPr>
        <a:xfrm xmlns:a="http://schemas.openxmlformats.org/drawingml/2006/main">
          <a:off x="317500" y="774700"/>
          <a:ext cx="2628900" cy="0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accent6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0</xdr:row>
      <xdr:rowOff>88900</xdr:rowOff>
    </xdr:from>
    <xdr:to>
      <xdr:col>12</xdr:col>
      <xdr:colOff>806450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7D3BFE-3D50-9C3A-B0E0-6EC788F61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704850</xdr:colOff>
      <xdr:row>1</xdr:row>
      <xdr:rowOff>44450</xdr:rowOff>
    </xdr:from>
    <xdr:to>
      <xdr:col>13</xdr:col>
      <xdr:colOff>323850</xdr:colOff>
      <xdr:row>15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DC3A79-F507-8922-867F-6962364E1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666750</xdr:colOff>
      <xdr:row>3</xdr:row>
      <xdr:rowOff>44450</xdr:rowOff>
    </xdr:from>
    <xdr:to>
      <xdr:col>13</xdr:col>
      <xdr:colOff>285750</xdr:colOff>
      <xdr:row>17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37C4A2-CE80-EFAE-8822-B162B07B6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501650</xdr:colOff>
      <xdr:row>3</xdr:row>
      <xdr:rowOff>146050</xdr:rowOff>
    </xdr:from>
    <xdr:to>
      <xdr:col>13</xdr:col>
      <xdr:colOff>120650</xdr:colOff>
      <xdr:row>18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159DAF-5FD4-6A7A-D4E8-7F684857A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641350</xdr:colOff>
      <xdr:row>1</xdr:row>
      <xdr:rowOff>158750</xdr:rowOff>
    </xdr:from>
    <xdr:to>
      <xdr:col>13</xdr:col>
      <xdr:colOff>260350</xdr:colOff>
      <xdr:row>16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719A21-FCFF-B545-6A2C-BC9CAB48B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12700</xdr:rowOff>
    </xdr:from>
    <xdr:to>
      <xdr:col>8</xdr:col>
      <xdr:colOff>444500</xdr:colOff>
      <xdr:row>15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2737F43-45D6-335A-C7E5-A6959E9006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4600" y="203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0</xdr:row>
      <xdr:rowOff>38100</xdr:rowOff>
    </xdr:from>
    <xdr:to>
      <xdr:col>9</xdr:col>
      <xdr:colOff>457200</xdr:colOff>
      <xdr:row>14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03EA71A-0151-ED40-12D8-2934DCFFB9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4700" y="381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717550</xdr:colOff>
      <xdr:row>1</xdr:row>
      <xdr:rowOff>12700</xdr:rowOff>
    </xdr:from>
    <xdr:to>
      <xdr:col>11</xdr:col>
      <xdr:colOff>336550</xdr:colOff>
      <xdr:row>15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7B8A9A-4436-B284-1772-4CBC6E629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2</xdr:row>
      <xdr:rowOff>152400</xdr:rowOff>
    </xdr:from>
    <xdr:to>
      <xdr:col>9</xdr:col>
      <xdr:colOff>654050</xdr:colOff>
      <xdr:row>17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C4188A-CC88-5797-381A-31531C6752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4</xdr:row>
      <xdr:rowOff>25400</xdr:rowOff>
    </xdr:from>
    <xdr:to>
      <xdr:col>11</xdr:col>
      <xdr:colOff>19050</xdr:colOff>
      <xdr:row>18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E5150-AB09-3091-A59F-E1A5411D9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482600</xdr:colOff>
      <xdr:row>2</xdr:row>
      <xdr:rowOff>25400</xdr:rowOff>
    </xdr:from>
    <xdr:to>
      <xdr:col>8</xdr:col>
      <xdr:colOff>101600</xdr:colOff>
      <xdr:row>16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71D144D-9560-258A-8079-C270A2BEC5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3600" y="406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0</xdr:row>
      <xdr:rowOff>76200</xdr:rowOff>
    </xdr:from>
    <xdr:to>
      <xdr:col>8</xdr:col>
      <xdr:colOff>520700</xdr:colOff>
      <xdr:row>14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564469A-F633-88A4-05F9-D7F1F170CF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52700" y="76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</xdr:colOff>
      <xdr:row>0</xdr:row>
      <xdr:rowOff>63500</xdr:rowOff>
    </xdr:from>
    <xdr:to>
      <xdr:col>9</xdr:col>
      <xdr:colOff>495300</xdr:colOff>
      <xdr:row>14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8EBEA13-EA6C-3721-A986-3301BA6E84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52800" y="63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0</xdr:row>
      <xdr:rowOff>0</xdr:rowOff>
    </xdr:from>
    <xdr:to>
      <xdr:col>8</xdr:col>
      <xdr:colOff>495300</xdr:colOff>
      <xdr:row>14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1856AB3-0D39-1198-4CC0-39F8427A0E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730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0</xdr:row>
      <xdr:rowOff>0</xdr:rowOff>
    </xdr:from>
    <xdr:to>
      <xdr:col>8</xdr:col>
      <xdr:colOff>381000</xdr:colOff>
      <xdr:row>14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8891AAB-B65A-860B-D646-353BE51045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300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Nhung%20Hoang_Churn%20Report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 Nhung" refreshedDate="45953.632576157404" createdVersion="8" refreshedVersion="8" minRefreshableVersion="3" recordCount="250" xr:uid="{53AB3C66-B749-024E-9984-61CD4445EA27}">
  <cacheSource type="worksheet">
    <worksheetSource ref="A1:L251" sheet="1. Raw Data"/>
  </cacheSource>
  <cacheFields count="12">
    <cacheField name="CustomerID" numFmtId="0">
      <sharedItems containsSemiMixedTypes="0" containsString="0" containsNumber="1" containsInteger="1" minValue="1" maxValue="250"/>
    </cacheField>
    <cacheField name="Age" numFmtId="0">
      <sharedItems containsSemiMixedTypes="0" containsString="0" containsNumber="1" containsInteger="1" minValue="18" maxValue="69"/>
    </cacheField>
    <cacheField name="Gender" numFmtId="0">
      <sharedItems/>
    </cacheField>
    <cacheField name="Tenure" numFmtId="0">
      <sharedItems containsSemiMixedTypes="0" containsString="0" containsNumber="1" containsInteger="1" minValue="1" maxValue="71"/>
    </cacheField>
    <cacheField name="MonthlyCharges" numFmtId="0">
      <sharedItems containsSemiMixedTypes="0" containsString="0" containsNumber="1" minValue="20.260000000000002" maxValue="119.77"/>
    </cacheField>
    <cacheField name="ContractType" numFmtId="0">
      <sharedItems count="3">
        <s v="1-Year"/>
        <s v="Month-to-Month"/>
        <s v="2-Year"/>
      </sharedItems>
    </cacheField>
    <cacheField name="PaymentMethod" numFmtId="0">
      <sharedItems count="3">
        <s v="Credit Card"/>
        <s v="Bank Transfer"/>
        <s v="PayPal"/>
      </sharedItems>
    </cacheField>
    <cacheField name="SupportTickets" numFmtId="0">
      <sharedItems containsSemiMixedTypes="0" containsString="0" containsNumber="1" containsInteger="1" minValue="0" maxValue="6"/>
    </cacheField>
    <cacheField name="ServiceUsage" numFmtId="0">
      <sharedItems containsSemiMixedTypes="0" containsString="0" containsNumber="1" minValue="5.2" maxValue="99.7"/>
    </cacheField>
    <cacheField name="SatisfactionScore" numFmtId="0">
      <sharedItems containsSemiMixedTypes="0" containsString="0" containsNumber="1" containsInteger="1" minValue="1" maxValue="10"/>
    </cacheField>
    <cacheField name="TotalSpend" numFmtId="0">
      <sharedItems containsSemiMixedTypes="0" containsString="0" containsNumber="1" minValue="35.729999999999997" maxValue="7782.69"/>
    </cacheField>
    <cacheField name="Chur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 Nhung" refreshedDate="45953.864664699075" createdVersion="8" refreshedVersion="8" minRefreshableVersion="3" recordCount="250" xr:uid="{5995EDB0-AF1E-0944-9225-4B0505C57A44}">
  <cacheSource type="worksheet">
    <worksheetSource ref="A1:P251" sheet="Diagnostic" r:id="rId2"/>
  </cacheSource>
  <cacheFields count="16">
    <cacheField name="CustomerID" numFmtId="0">
      <sharedItems containsSemiMixedTypes="0" containsString="0" containsNumber="1" containsInteger="1" minValue="1" maxValue="250" count="2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</sharedItems>
    </cacheField>
    <cacheField name="Age" numFmtId="0">
      <sharedItems containsSemiMixedTypes="0" containsString="0" containsNumber="1" containsInteger="1" minValue="18" maxValue="69"/>
    </cacheField>
    <cacheField name="Gender" numFmtId="0">
      <sharedItems/>
    </cacheField>
    <cacheField name="Tenure" numFmtId="0">
      <sharedItems containsSemiMixedTypes="0" containsString="0" containsNumber="1" containsInteger="1" minValue="1" maxValue="71"/>
    </cacheField>
    <cacheField name="MonthlyCharges" numFmtId="0">
      <sharedItems containsSemiMixedTypes="0" containsString="0" containsNumber="1" minValue="20.260000000000002" maxValue="119.77"/>
    </cacheField>
    <cacheField name="ContractType" numFmtId="0">
      <sharedItems count="3">
        <s v="1-Year"/>
        <s v="Month-to-Month"/>
        <s v="2-Year"/>
      </sharedItems>
    </cacheField>
    <cacheField name="PaymentMethod" numFmtId="0">
      <sharedItems/>
    </cacheField>
    <cacheField name="SupportTickets" numFmtId="0">
      <sharedItems containsSemiMixedTypes="0" containsString="0" containsNumber="1" containsInteger="1" minValue="0" maxValue="6"/>
    </cacheField>
    <cacheField name="ServiceUsage" numFmtId="0">
      <sharedItems containsSemiMixedTypes="0" containsString="0" containsNumber="1" minValue="5.2" maxValue="99.7"/>
    </cacheField>
    <cacheField name="SatisfactionScore" numFmtId="0">
      <sharedItems containsSemiMixedTypes="0" containsString="0" containsNumber="1" containsInteger="1" minValue="1" maxValue="10" count="10">
        <n v="6"/>
        <n v="1"/>
        <n v="5"/>
        <n v="3"/>
        <n v="4"/>
        <n v="2"/>
        <n v="8"/>
        <n v="7"/>
        <n v="9"/>
        <n v="10"/>
      </sharedItems>
    </cacheField>
    <cacheField name="TotalSpend" numFmtId="0">
      <sharedItems containsSemiMixedTypes="0" containsString="0" containsNumber="1" minValue="35.729999999999997" maxValue="7782.69"/>
    </cacheField>
    <cacheField name="Churn" numFmtId="0">
      <sharedItems containsSemiMixedTypes="0" containsString="0" containsNumber="1" containsInteger="1" minValue="0" maxValue="1" count="2">
        <n v="1"/>
        <n v="0"/>
      </sharedItems>
    </cacheField>
    <cacheField name="TenureBand" numFmtId="0">
      <sharedItems count="5">
        <s v="&gt;24m"/>
        <s v="13–24m"/>
        <s v="7–12m"/>
        <s v="4–6m"/>
        <s v="0–3m"/>
      </sharedItems>
    </cacheField>
    <cacheField name="SatBand" numFmtId="0">
      <sharedItems count="4">
        <s v="5–6"/>
        <s v="1–4"/>
        <s v="7–8"/>
        <s v="9–10"/>
      </sharedItems>
    </cacheField>
    <cacheField name="UsageBand" numFmtId="0">
      <sharedItems count="3">
        <s v="Mid-High"/>
        <s v="Low"/>
        <s v="High"/>
      </sharedItems>
    </cacheField>
    <cacheField name="ChargeBand" numFmtId="0">
      <sharedItems count="3">
        <s v="Low"/>
        <s v="High"/>
        <s v="Mid-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 Nhung" refreshedDate="45954.498335879631" createdVersion="8" refreshedVersion="8" minRefreshableVersion="3" recordCount="250" xr:uid="{9275C85B-E0FD-8046-B38C-DADA1BD23B06}">
  <cacheSource type="worksheet">
    <worksheetSource ref="A1:P251" sheet="2.9Diagnostic - MonthlyQ,UsageQ"/>
  </cacheSource>
  <cacheFields count="16">
    <cacheField name="CustomerID" numFmtId="0">
      <sharedItems containsSemiMixedTypes="0" containsString="0" containsNumber="1" containsInteger="1" minValue="1" maxValue="250"/>
    </cacheField>
    <cacheField name="Age" numFmtId="0">
      <sharedItems containsSemiMixedTypes="0" containsString="0" containsNumber="1" containsInteger="1" minValue="18" maxValue="69"/>
    </cacheField>
    <cacheField name="Gender" numFmtId="0">
      <sharedItems/>
    </cacheField>
    <cacheField name="Tenure" numFmtId="0">
      <sharedItems containsSemiMixedTypes="0" containsString="0" containsNumber="1" containsInteger="1" minValue="1" maxValue="71"/>
    </cacheField>
    <cacheField name="MonthlyCharges" numFmtId="0">
      <sharedItems containsSemiMixedTypes="0" containsString="0" containsNumber="1" minValue="20.260000000000002" maxValue="119.77"/>
    </cacheField>
    <cacheField name="ContractType" numFmtId="0">
      <sharedItems/>
    </cacheField>
    <cacheField name="PaymentMethod" numFmtId="0">
      <sharedItems/>
    </cacheField>
    <cacheField name="SupportTickets" numFmtId="0">
      <sharedItems containsSemiMixedTypes="0" containsString="0" containsNumber="1" containsInteger="1" minValue="0" maxValue="6"/>
    </cacheField>
    <cacheField name="ServiceUsage" numFmtId="0">
      <sharedItems containsSemiMixedTypes="0" containsString="0" containsNumber="1" minValue="5.2" maxValue="99.7"/>
    </cacheField>
    <cacheField name="SatisfactionScore" numFmtId="0">
      <sharedItems containsSemiMixedTypes="0" containsString="0" containsNumber="1" containsInteger="1" minValue="1" maxValue="10"/>
    </cacheField>
    <cacheField name="TotalSpend" numFmtId="0">
      <sharedItems containsSemiMixedTypes="0" containsString="0" containsNumber="1" minValue="35.729999999999997" maxValue="7782.69"/>
    </cacheField>
    <cacheField name="Churn" numFmtId="0">
      <sharedItems containsSemiMixedTypes="0" containsString="0" containsNumber="1" containsInteger="1" minValue="0" maxValue="1"/>
    </cacheField>
    <cacheField name="TenureBand" numFmtId="0">
      <sharedItems/>
    </cacheField>
    <cacheField name="SatBand" numFmtId="0">
      <sharedItems/>
    </cacheField>
    <cacheField name="UsageBand" numFmtId="0">
      <sharedItems count="3">
        <s v="Mid-High"/>
        <s v="Low"/>
        <s v="High"/>
      </sharedItems>
    </cacheField>
    <cacheField name="MonthQ" numFmtId="0">
      <sharedItems count="4">
        <s v="Q1"/>
        <s v="Q4"/>
        <s v="Q3"/>
        <s v="Q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 Nhung" refreshedDate="45954.537138310188" createdVersion="8" refreshedVersion="8" minRefreshableVersion="3" recordCount="250" xr:uid="{A96A6E64-8277-0B43-9817-0A80C9AB9E3D}">
  <cacheSource type="worksheet">
    <worksheetSource ref="A1:P251" sheet="2.10 Diagnostic-Contractype"/>
  </cacheSource>
  <cacheFields count="16">
    <cacheField name="CustomerID" numFmtId="0">
      <sharedItems containsSemiMixedTypes="0" containsString="0" containsNumber="1" containsInteger="1" minValue="1" maxValue="250"/>
    </cacheField>
    <cacheField name="Age" numFmtId="0">
      <sharedItems containsSemiMixedTypes="0" containsString="0" containsNumber="1" containsInteger="1" minValue="18" maxValue="69"/>
    </cacheField>
    <cacheField name="Gender" numFmtId="0">
      <sharedItems/>
    </cacheField>
    <cacheField name="Tenure" numFmtId="0">
      <sharedItems containsSemiMixedTypes="0" containsString="0" containsNumber="1" containsInteger="1" minValue="1" maxValue="71"/>
    </cacheField>
    <cacheField name="MonthlyCharges" numFmtId="0">
      <sharedItems containsSemiMixedTypes="0" containsString="0" containsNumber="1" minValue="20.260000000000002" maxValue="119.77"/>
    </cacheField>
    <cacheField name="ContractType" numFmtId="0">
      <sharedItems count="3">
        <s v="1-Year"/>
        <s v="Month-to-Month"/>
        <s v="2-Year"/>
      </sharedItems>
    </cacheField>
    <cacheField name="PaymentMethod" numFmtId="0">
      <sharedItems count="3">
        <s v="Credit Card"/>
        <s v="Bank Transfer"/>
        <s v="PayPal"/>
      </sharedItems>
    </cacheField>
    <cacheField name="SupportTickets" numFmtId="0">
      <sharedItems containsSemiMixedTypes="0" containsString="0" containsNumber="1" containsInteger="1" minValue="0" maxValue="6"/>
    </cacheField>
    <cacheField name="ServiceUsage" numFmtId="0">
      <sharedItems containsSemiMixedTypes="0" containsString="0" containsNumber="1" minValue="5.2" maxValue="99.7"/>
    </cacheField>
    <cacheField name="SatisfactionScore" numFmtId="0">
      <sharedItems containsSemiMixedTypes="0" containsString="0" containsNumber="1" containsInteger="1" minValue="1" maxValue="10"/>
    </cacheField>
    <cacheField name="TotalSpend" numFmtId="0">
      <sharedItems containsSemiMixedTypes="0" containsString="0" containsNumber="1" minValue="35.729999999999997" maxValue="7782.69"/>
    </cacheField>
    <cacheField name="Churn" numFmtId="0">
      <sharedItems containsSemiMixedTypes="0" containsString="0" containsNumber="1" containsInteger="1" minValue="0" maxValue="1"/>
    </cacheField>
    <cacheField name="TenureBand" numFmtId="0">
      <sharedItems/>
    </cacheField>
    <cacheField name="SatBand" numFmtId="0">
      <sharedItems/>
    </cacheField>
    <cacheField name="UsageBand" numFmtId="0">
      <sharedItems count="4">
        <s v="Mid-High"/>
        <s v="Low"/>
        <s v="Mid-Low"/>
        <s v="High"/>
      </sharedItems>
    </cacheField>
    <cacheField name="MonthQ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 Nhung" refreshedDate="45954.702284606479" createdVersion="8" refreshedVersion="8" minRefreshableVersion="3" recordCount="250" xr:uid="{4BB1186E-456D-6E4B-A3BC-17CD92B8F3C4}">
  <cacheSource type="worksheet">
    <worksheetSource ref="A1:Q251" sheet="3. Predictive"/>
  </cacheSource>
  <cacheFields count="17">
    <cacheField name="CustomerID" numFmtId="0">
      <sharedItems containsSemiMixedTypes="0" containsString="0" containsNumber="1" containsInteger="1" minValue="1" maxValue="250"/>
    </cacheField>
    <cacheField name="Age" numFmtId="0">
      <sharedItems containsSemiMixedTypes="0" containsString="0" containsNumber="1" containsInteger="1" minValue="18" maxValue="69"/>
    </cacheField>
    <cacheField name="Gender" numFmtId="0">
      <sharedItems/>
    </cacheField>
    <cacheField name="Tenure" numFmtId="0">
      <sharedItems containsSemiMixedTypes="0" containsString="0" containsNumber="1" containsInteger="1" minValue="1" maxValue="71"/>
    </cacheField>
    <cacheField name="MonthlyCharges" numFmtId="0">
      <sharedItems containsSemiMixedTypes="0" containsString="0" containsNumber="1" minValue="20.260000000000002" maxValue="119.77"/>
    </cacheField>
    <cacheField name="ContractType" numFmtId="0">
      <sharedItems count="3">
        <s v="1-Year"/>
        <s v="Month-to-Month"/>
        <s v="2-Year"/>
      </sharedItems>
    </cacheField>
    <cacheField name="PaymentMethod" numFmtId="0">
      <sharedItems/>
    </cacheField>
    <cacheField name="SupportTickets" numFmtId="0">
      <sharedItems containsSemiMixedTypes="0" containsString="0" containsNumber="1" containsInteger="1" minValue="0" maxValue="6"/>
    </cacheField>
    <cacheField name="ServiceUsage" numFmtId="0">
      <sharedItems containsSemiMixedTypes="0" containsString="0" containsNumber="1" minValue="5.2" maxValue="99.7"/>
    </cacheField>
    <cacheField name="SatisfactionScore" numFmtId="0">
      <sharedItems containsSemiMixedTypes="0" containsString="0" containsNumber="1" containsInteger="1" minValue="1" maxValue="10"/>
    </cacheField>
    <cacheField name="TotalSpend" numFmtId="0">
      <sharedItems containsSemiMixedTypes="0" containsString="0" containsNumber="1" minValue="35.729999999999997" maxValue="7782.69"/>
    </cacheField>
    <cacheField name="Churn" numFmtId="0">
      <sharedItems containsSemiMixedTypes="0" containsString="0" containsNumber="1" containsInteger="1" minValue="0" maxValue="1"/>
    </cacheField>
    <cacheField name="Split" numFmtId="0">
      <sharedItems count="2">
        <s v="Test"/>
        <s v="Train"/>
      </sharedItems>
    </cacheField>
    <cacheField name="Tenure_Bin" numFmtId="0">
      <sharedItems count="4">
        <s v="&gt;=24"/>
        <s v="12-24"/>
        <s v="6-12"/>
        <s v="&lt;6"/>
      </sharedItems>
    </cacheField>
    <cacheField name="Monthly_Bin" numFmtId="0">
      <sharedItems count="4">
        <s v="&lt;30"/>
        <s v="&gt;=90"/>
        <s v="60-90"/>
        <s v="30-60"/>
      </sharedItems>
    </cacheField>
    <cacheField name="Satis_Bin" numFmtId="0">
      <sharedItems count="3">
        <s v="4-6"/>
        <s v="1-3"/>
        <s v="7-10"/>
      </sharedItems>
    </cacheField>
    <cacheField name="Usage_Bin" numFmtId="0">
      <sharedItems count="4">
        <s v="40-80"/>
        <s v="&lt;20"/>
        <s v="20-40"/>
        <s v="&gt;=8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 Nhung" refreshedDate="45956.511255439815" createdVersion="8" refreshedVersion="8" minRefreshableVersion="3" recordCount="681" xr:uid="{53806291-C42D-A248-BC53-03660F2989CE}">
  <cacheSource type="worksheet">
    <worksheetSource ref="A1:AI682" sheet="3.1 Classifer"/>
  </cacheSource>
  <cacheFields count="35">
    <cacheField name="CustomerID" numFmtId="0">
      <sharedItems containsString="0" containsBlank="1" containsNumber="1" containsInteger="1" minValue="2" maxValue="249"/>
    </cacheField>
    <cacheField name="Age" numFmtId="0">
      <sharedItems containsString="0" containsBlank="1" containsNumber="1" containsInteger="1" minValue="18" maxValue="69"/>
    </cacheField>
    <cacheField name="Gender" numFmtId="0">
      <sharedItems containsBlank="1"/>
    </cacheField>
    <cacheField name="Tenure" numFmtId="0">
      <sharedItems containsString="0" containsBlank="1" containsNumber="1" containsInteger="1" minValue="1" maxValue="71"/>
    </cacheField>
    <cacheField name="MonthlyCharges" numFmtId="0">
      <sharedItems containsString="0" containsBlank="1" containsNumber="1" minValue="20.260000000000002" maxValue="119.77"/>
    </cacheField>
    <cacheField name="ContractType" numFmtId="0">
      <sharedItems containsBlank="1" count="4">
        <s v="1-Year"/>
        <s v="Month-to-Month"/>
        <s v="2-Year"/>
        <m/>
      </sharedItems>
    </cacheField>
    <cacheField name="PaymentMethod" numFmtId="0">
      <sharedItems containsBlank="1"/>
    </cacheField>
    <cacheField name="SupportTickets" numFmtId="0">
      <sharedItems containsString="0" containsBlank="1" containsNumber="1" containsInteger="1" minValue="0" maxValue="6"/>
    </cacheField>
    <cacheField name="ServiceUsage" numFmtId="0">
      <sharedItems containsString="0" containsBlank="1" containsNumber="1" minValue="5.7" maxValue="99.7"/>
    </cacheField>
    <cacheField name="SatisfactionScore" numFmtId="0">
      <sharedItems containsString="0" containsBlank="1" containsNumber="1" containsInteger="1" minValue="1" maxValue="10"/>
    </cacheField>
    <cacheField name="TotalSpend" numFmtId="0">
      <sharedItems containsString="0" containsBlank="1" containsNumber="1" minValue="35.729999999999997" maxValue="7426.03"/>
    </cacheField>
    <cacheField name="Churn" numFmtId="0">
      <sharedItems containsString="0" containsBlank="1" containsNumber="1" containsInteger="1" minValue="0" maxValue="1"/>
    </cacheField>
    <cacheField name="Split" numFmtId="0">
      <sharedItems containsBlank="1"/>
    </cacheField>
    <cacheField name="Tenure_Bin" numFmtId="0">
      <sharedItems containsBlank="1" count="5">
        <s v="&gt;=24"/>
        <s v="12-24"/>
        <s v="6-12"/>
        <s v="&lt;6"/>
        <m/>
      </sharedItems>
    </cacheField>
    <cacheField name="Monthly_Bin" numFmtId="0">
      <sharedItems containsBlank="1" count="5">
        <s v="&gt;=90"/>
        <s v="30-60"/>
        <s v="60-90"/>
        <s v="&lt;30"/>
        <m/>
      </sharedItems>
    </cacheField>
    <cacheField name="Satis_Bin" numFmtId="0">
      <sharedItems containsBlank="1" count="4">
        <s v="1-3"/>
        <s v="4-6"/>
        <s v="7-10"/>
        <m/>
      </sharedItems>
    </cacheField>
    <cacheField name="Usage_Bin" numFmtId="0">
      <sharedItems containsBlank="1" count="5">
        <s v="&lt;20"/>
        <s v="40-80"/>
        <s v="20-40"/>
        <s v="&gt;=80"/>
        <m/>
      </sharedItems>
    </cacheField>
    <cacheField name="Contract_Key" numFmtId="0">
      <sharedItems containsBlank="1"/>
    </cacheField>
    <cacheField name="Tenure_Key " numFmtId="0">
      <sharedItems containsBlank="1"/>
    </cacheField>
    <cacheField name="Satis_Key  " numFmtId="0">
      <sharedItems containsBlank="1"/>
    </cacheField>
    <cacheField name="Monthly_Key" numFmtId="0">
      <sharedItems containsBlank="1"/>
    </cacheField>
    <cacheField name="Usage_Key  " numFmtId="0">
      <sharedItems containsBlank="1"/>
    </cacheField>
    <cacheField name="Contract_Pts" numFmtId="0">
      <sharedItems containsString="0" containsBlank="1" containsNumber="1" containsInteger="1" minValue="0" maxValue="3"/>
    </cacheField>
    <cacheField name="Tenure_Pts" numFmtId="0">
      <sharedItems containsString="0" containsBlank="1" containsNumber="1" containsInteger="1" minValue="0" maxValue="3"/>
    </cacheField>
    <cacheField name="Satis_Pts " numFmtId="0">
      <sharedItems containsString="0" containsBlank="1" containsNumber="1" containsInteger="1" minValue="0" maxValue="4"/>
    </cacheField>
    <cacheField name="Monthly_Pts " numFmtId="0">
      <sharedItems containsString="0" containsBlank="1" containsNumber="1" containsInteger="1" minValue="0" maxValue="2"/>
    </cacheField>
    <cacheField name="Usage_Pts " numFmtId="0">
      <sharedItems containsString="0" containsBlank="1" containsNumber="1" containsInteger="1" minValue="0" maxValue="2"/>
    </cacheField>
    <cacheField name="TotalScore " numFmtId="0">
      <sharedItems containsString="0" containsBlank="1" containsNumber="1" containsInteger="1" minValue="1" maxValue="13"/>
    </cacheField>
    <cacheField name="PredictedClass" numFmtId="0">
      <sharedItems containsBlank="1"/>
    </cacheField>
    <cacheField name="PredictedChurn" numFmtId="0">
      <sharedItems containsBlank="1"/>
    </cacheField>
    <cacheField name="PredFlag" numFmtId="0">
      <sharedItems containsString="0" containsBlank="1" containsNumber="1" containsInteger="1" minValue="0" maxValue="1"/>
    </cacheField>
    <cacheField name="PredictedProb" numFmtId="0">
      <sharedItems containsString="0" containsBlank="1" containsNumber="1" minValue="0.25" maxValue="0.8"/>
    </cacheField>
    <cacheField name="PredictedChurn2" numFmtId="0">
      <sharedItems/>
    </cacheField>
    <cacheField name="RiskTier" numFmtId="0">
      <sharedItems count="3">
        <s v="Medium"/>
        <s v="High"/>
        <s v="Low"/>
      </sharedItems>
    </cacheField>
    <cacheField name="Customer Risk Lis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n v="1"/>
    <n v="56"/>
    <s v="Female"/>
    <n v="58"/>
    <n v="28.27"/>
    <x v="0"/>
    <x v="0"/>
    <n v="2"/>
    <n v="52.7"/>
    <n v="6"/>
    <n v="1614.09"/>
    <n v="1"/>
  </r>
  <r>
    <n v="2"/>
    <n v="69"/>
    <s v="Female"/>
    <n v="63"/>
    <n v="107.67"/>
    <x v="0"/>
    <x v="0"/>
    <n v="1"/>
    <n v="16.8"/>
    <n v="1"/>
    <n v="6505.15"/>
    <n v="1"/>
  </r>
  <r>
    <n v="3"/>
    <n v="46"/>
    <s v="Female"/>
    <n v="62"/>
    <n v="75.16"/>
    <x v="1"/>
    <x v="1"/>
    <n v="1"/>
    <n v="41.6"/>
    <n v="5"/>
    <n v="4646.87"/>
    <n v="0"/>
  </r>
  <r>
    <n v="4"/>
    <n v="32"/>
    <s v="Male"/>
    <n v="22"/>
    <n v="36.479999999999997"/>
    <x v="1"/>
    <x v="2"/>
    <n v="1"/>
    <n v="66.099999999999994"/>
    <n v="3"/>
    <n v="814.95"/>
    <n v="1"/>
  </r>
  <r>
    <n v="5"/>
    <n v="60"/>
    <s v="Male"/>
    <n v="58"/>
    <n v="61.13"/>
    <x v="0"/>
    <x v="1"/>
    <n v="3"/>
    <n v="79.099999999999994"/>
    <n v="1"/>
    <n v="3222"/>
    <n v="1"/>
  </r>
  <r>
    <n v="6"/>
    <n v="25"/>
    <s v="Female"/>
    <n v="58"/>
    <n v="97.76"/>
    <x v="1"/>
    <x v="2"/>
    <n v="2"/>
    <n v="25.6"/>
    <n v="4"/>
    <n v="5242.5600000000004"/>
    <n v="1"/>
  </r>
  <r>
    <n v="7"/>
    <n v="38"/>
    <s v="Female"/>
    <n v="49"/>
    <n v="68.040000000000006"/>
    <x v="0"/>
    <x v="0"/>
    <n v="2"/>
    <n v="18.100000000000001"/>
    <n v="2"/>
    <n v="3373.06"/>
    <n v="1"/>
  </r>
  <r>
    <n v="8"/>
    <n v="56"/>
    <s v="Male"/>
    <n v="52"/>
    <n v="118.53"/>
    <x v="1"/>
    <x v="2"/>
    <n v="3"/>
    <n v="68"/>
    <n v="2"/>
    <n v="5970.23"/>
    <n v="0"/>
  </r>
  <r>
    <n v="9"/>
    <n v="36"/>
    <s v="Male"/>
    <n v="42"/>
    <n v="57.67"/>
    <x v="1"/>
    <x v="1"/>
    <n v="0"/>
    <n v="5.2"/>
    <n v="3"/>
    <n v="2533.16"/>
    <n v="1"/>
  </r>
  <r>
    <n v="10"/>
    <n v="40"/>
    <s v="Female"/>
    <n v="70"/>
    <n v="94.96"/>
    <x v="1"/>
    <x v="0"/>
    <n v="5"/>
    <n v="21.9"/>
    <n v="8"/>
    <n v="6849.66"/>
    <n v="0"/>
  </r>
  <r>
    <n v="11"/>
    <n v="28"/>
    <s v="Male"/>
    <n v="15"/>
    <n v="59.3"/>
    <x v="1"/>
    <x v="1"/>
    <n v="1"/>
    <n v="7.8"/>
    <n v="8"/>
    <n v="950.98"/>
    <n v="0"/>
  </r>
  <r>
    <n v="12"/>
    <n v="28"/>
    <s v="Female"/>
    <n v="54"/>
    <n v="102.92"/>
    <x v="0"/>
    <x v="1"/>
    <n v="3"/>
    <n v="20.9"/>
    <n v="7"/>
    <n v="5771.64"/>
    <n v="0"/>
  </r>
  <r>
    <n v="13"/>
    <n v="41"/>
    <s v="Female"/>
    <n v="60"/>
    <n v="76.91"/>
    <x v="1"/>
    <x v="2"/>
    <n v="0"/>
    <n v="22.2"/>
    <n v="6"/>
    <n v="4549.93"/>
    <n v="0"/>
  </r>
  <r>
    <n v="14"/>
    <n v="53"/>
    <s v="Male"/>
    <n v="8"/>
    <n v="26.35"/>
    <x v="1"/>
    <x v="1"/>
    <n v="1"/>
    <n v="41.8"/>
    <n v="9"/>
    <n v="218.09"/>
    <n v="1"/>
  </r>
  <r>
    <n v="15"/>
    <n v="57"/>
    <s v="Male"/>
    <n v="53"/>
    <n v="23.68"/>
    <x v="1"/>
    <x v="2"/>
    <n v="1"/>
    <n v="43.2"/>
    <n v="4"/>
    <n v="1198.6600000000001"/>
    <n v="0"/>
  </r>
  <r>
    <n v="16"/>
    <n v="41"/>
    <s v="Female"/>
    <n v="60"/>
    <n v="33.39"/>
    <x v="1"/>
    <x v="0"/>
    <n v="3"/>
    <n v="88.1"/>
    <n v="1"/>
    <n v="1925.79"/>
    <n v="1"/>
  </r>
  <r>
    <n v="17"/>
    <n v="20"/>
    <s v="Female"/>
    <n v="5"/>
    <n v="21.37"/>
    <x v="0"/>
    <x v="2"/>
    <n v="3"/>
    <n v="53.5"/>
    <n v="8"/>
    <n v="113.03"/>
    <n v="0"/>
  </r>
  <r>
    <n v="18"/>
    <n v="39"/>
    <s v="Male"/>
    <n v="68"/>
    <n v="27.54"/>
    <x v="1"/>
    <x v="0"/>
    <n v="2"/>
    <n v="73.7"/>
    <n v="7"/>
    <n v="1852.65"/>
    <n v="0"/>
  </r>
  <r>
    <n v="19"/>
    <n v="19"/>
    <s v="Female"/>
    <n v="6"/>
    <n v="89.17"/>
    <x v="1"/>
    <x v="2"/>
    <n v="6"/>
    <n v="14.9"/>
    <n v="7"/>
    <n v="566.95000000000005"/>
    <n v="1"/>
  </r>
  <r>
    <n v="20"/>
    <n v="41"/>
    <s v="Male"/>
    <n v="47"/>
    <n v="73.430000000000007"/>
    <x v="1"/>
    <x v="1"/>
    <n v="3"/>
    <n v="26.4"/>
    <n v="3"/>
    <n v="3673.76"/>
    <n v="1"/>
  </r>
  <r>
    <n v="21"/>
    <n v="61"/>
    <s v="Female"/>
    <n v="55"/>
    <n v="94.99"/>
    <x v="0"/>
    <x v="2"/>
    <n v="4"/>
    <n v="71.8"/>
    <n v="4"/>
    <n v="5598.06"/>
    <n v="0"/>
  </r>
  <r>
    <n v="22"/>
    <n v="47"/>
    <s v="Male"/>
    <n v="40"/>
    <n v="111.32"/>
    <x v="1"/>
    <x v="2"/>
    <n v="1"/>
    <n v="10"/>
    <n v="10"/>
    <n v="4823.84"/>
    <n v="1"/>
  </r>
  <r>
    <n v="23"/>
    <n v="55"/>
    <s v="Male"/>
    <n v="52"/>
    <n v="78.510000000000005"/>
    <x v="0"/>
    <x v="0"/>
    <n v="0"/>
    <n v="51.2"/>
    <n v="9"/>
    <n v="4026.17"/>
    <n v="1"/>
  </r>
  <r>
    <n v="24"/>
    <n v="19"/>
    <s v="Male"/>
    <n v="16"/>
    <n v="92.61"/>
    <x v="2"/>
    <x v="1"/>
    <n v="1"/>
    <n v="61.9"/>
    <n v="6"/>
    <n v="1428.08"/>
    <n v="0"/>
  </r>
  <r>
    <n v="25"/>
    <n v="38"/>
    <s v="Female"/>
    <n v="13"/>
    <n v="95.71"/>
    <x v="1"/>
    <x v="2"/>
    <n v="1"/>
    <n v="62.2"/>
    <n v="5"/>
    <n v="1264.68"/>
    <n v="0"/>
  </r>
  <r>
    <n v="26"/>
    <n v="50"/>
    <s v="Female"/>
    <n v="30"/>
    <n v="57.79"/>
    <x v="1"/>
    <x v="1"/>
    <n v="4"/>
    <n v="7.2"/>
    <n v="3"/>
    <n v="1689.03"/>
    <n v="0"/>
  </r>
  <r>
    <n v="27"/>
    <n v="29"/>
    <s v="Male"/>
    <n v="19"/>
    <n v="44.11"/>
    <x v="1"/>
    <x v="2"/>
    <n v="1"/>
    <n v="35.6"/>
    <n v="9"/>
    <n v="855.03"/>
    <n v="0"/>
  </r>
  <r>
    <n v="28"/>
    <n v="39"/>
    <s v="Female"/>
    <n v="17"/>
    <n v="40.5"/>
    <x v="1"/>
    <x v="2"/>
    <n v="2"/>
    <n v="65.5"/>
    <n v="5"/>
    <n v="716.81"/>
    <n v="0"/>
  </r>
  <r>
    <n v="29"/>
    <n v="61"/>
    <s v="Male"/>
    <n v="63"/>
    <n v="45.14"/>
    <x v="0"/>
    <x v="1"/>
    <n v="1"/>
    <n v="19.2"/>
    <n v="5"/>
    <n v="2950.98"/>
    <n v="0"/>
  </r>
  <r>
    <n v="30"/>
    <n v="42"/>
    <s v="Male"/>
    <n v="19"/>
    <n v="47.47"/>
    <x v="2"/>
    <x v="2"/>
    <n v="1"/>
    <n v="71.099999999999994"/>
    <n v="4"/>
    <n v="879.3"/>
    <n v="1"/>
  </r>
  <r>
    <n v="31"/>
    <n v="66"/>
    <s v="Female"/>
    <n v="58"/>
    <n v="40.72"/>
    <x v="1"/>
    <x v="1"/>
    <n v="2"/>
    <n v="75.900000000000006"/>
    <n v="4"/>
    <n v="2204.4"/>
    <n v="1"/>
  </r>
  <r>
    <n v="32"/>
    <n v="44"/>
    <s v="Female"/>
    <n v="55"/>
    <n v="107.82"/>
    <x v="1"/>
    <x v="2"/>
    <n v="2"/>
    <n v="98.3"/>
    <n v="1"/>
    <n v="5847.71"/>
    <n v="0"/>
  </r>
  <r>
    <n v="33"/>
    <n v="59"/>
    <s v="Male"/>
    <n v="62"/>
    <n v="95.7"/>
    <x v="1"/>
    <x v="0"/>
    <n v="4"/>
    <n v="24.9"/>
    <n v="7"/>
    <n v="5509.27"/>
    <n v="0"/>
  </r>
  <r>
    <n v="34"/>
    <n v="45"/>
    <s v="Female"/>
    <n v="23"/>
    <n v="24.69"/>
    <x v="0"/>
    <x v="1"/>
    <n v="5"/>
    <n v="83.4"/>
    <n v="9"/>
    <n v="612.16999999999996"/>
    <n v="1"/>
  </r>
  <r>
    <n v="35"/>
    <n v="33"/>
    <s v="Female"/>
    <n v="9"/>
    <n v="46.87"/>
    <x v="1"/>
    <x v="2"/>
    <n v="0"/>
    <n v="54.4"/>
    <n v="3"/>
    <n v="408.83"/>
    <n v="1"/>
  </r>
  <r>
    <n v="36"/>
    <n v="32"/>
    <s v="Male"/>
    <n v="12"/>
    <n v="22.22"/>
    <x v="1"/>
    <x v="2"/>
    <n v="1"/>
    <n v="40.5"/>
    <n v="2"/>
    <n v="248.21"/>
    <n v="0"/>
  </r>
  <r>
    <n v="37"/>
    <n v="64"/>
    <s v="Male"/>
    <n v="1"/>
    <n v="69.819999999999993"/>
    <x v="2"/>
    <x v="0"/>
    <n v="1"/>
    <n v="16.600000000000001"/>
    <n v="3"/>
    <n v="63.19"/>
    <n v="0"/>
  </r>
  <r>
    <n v="38"/>
    <n v="68"/>
    <s v="Female"/>
    <n v="58"/>
    <n v="67.62"/>
    <x v="0"/>
    <x v="1"/>
    <n v="3"/>
    <n v="74.900000000000006"/>
    <n v="1"/>
    <n v="4036.34"/>
    <n v="0"/>
  </r>
  <r>
    <n v="39"/>
    <n v="61"/>
    <s v="Male"/>
    <n v="1"/>
    <n v="103.14"/>
    <x v="1"/>
    <x v="2"/>
    <n v="2"/>
    <n v="27.4"/>
    <n v="6"/>
    <n v="105.96"/>
    <n v="1"/>
  </r>
  <r>
    <n v="40"/>
    <n v="69"/>
    <s v="Male"/>
    <n v="34"/>
    <n v="50.78"/>
    <x v="0"/>
    <x v="0"/>
    <n v="2"/>
    <n v="40.299999999999997"/>
    <n v="7"/>
    <n v="1671.48"/>
    <n v="0"/>
  </r>
  <r>
    <n v="41"/>
    <n v="20"/>
    <s v="Female"/>
    <n v="48"/>
    <n v="101.64"/>
    <x v="0"/>
    <x v="2"/>
    <n v="3"/>
    <n v="10.9"/>
    <n v="2"/>
    <n v="4460.82"/>
    <n v="1"/>
  </r>
  <r>
    <n v="42"/>
    <n v="54"/>
    <s v="Male"/>
    <n v="1"/>
    <n v="116.8"/>
    <x v="1"/>
    <x v="1"/>
    <n v="0"/>
    <n v="81.099999999999994"/>
    <n v="8"/>
    <n v="114.69"/>
    <n v="1"/>
  </r>
  <r>
    <n v="43"/>
    <n v="68"/>
    <s v="Male"/>
    <n v="16"/>
    <n v="28.84"/>
    <x v="1"/>
    <x v="2"/>
    <n v="2"/>
    <n v="77.8"/>
    <n v="6"/>
    <n v="444.02"/>
    <n v="1"/>
  </r>
  <r>
    <n v="44"/>
    <n v="24"/>
    <s v="Female"/>
    <n v="61"/>
    <n v="99.18"/>
    <x v="1"/>
    <x v="2"/>
    <n v="4"/>
    <n v="74.7"/>
    <n v="4"/>
    <n v="6264.3"/>
    <n v="0"/>
  </r>
  <r>
    <n v="45"/>
    <n v="38"/>
    <s v="Female"/>
    <n v="64"/>
    <n v="79"/>
    <x v="1"/>
    <x v="2"/>
    <n v="5"/>
    <n v="33.4"/>
    <n v="5"/>
    <n v="5162.96"/>
    <n v="1"/>
  </r>
  <r>
    <n v="46"/>
    <n v="26"/>
    <s v="Male"/>
    <n v="63"/>
    <n v="68"/>
    <x v="0"/>
    <x v="2"/>
    <n v="4"/>
    <n v="21.5"/>
    <n v="8"/>
    <n v="4167.9799999999996"/>
    <n v="0"/>
  </r>
  <r>
    <n v="47"/>
    <n v="56"/>
    <s v="Male"/>
    <n v="69"/>
    <n v="62.05"/>
    <x v="2"/>
    <x v="0"/>
    <n v="0"/>
    <n v="65.599999999999994"/>
    <n v="3"/>
    <n v="4039.88"/>
    <n v="0"/>
  </r>
  <r>
    <n v="48"/>
    <n v="35"/>
    <s v="Female"/>
    <n v="22"/>
    <n v="98.47"/>
    <x v="1"/>
    <x v="0"/>
    <n v="1"/>
    <n v="52.1"/>
    <n v="3"/>
    <n v="2377.79"/>
    <n v="1"/>
  </r>
  <r>
    <n v="49"/>
    <n v="21"/>
    <s v="Female"/>
    <n v="67"/>
    <n v="83.94"/>
    <x v="1"/>
    <x v="1"/>
    <n v="3"/>
    <n v="21.9"/>
    <n v="4"/>
    <n v="5572.24"/>
    <n v="0"/>
  </r>
  <r>
    <n v="50"/>
    <n v="42"/>
    <s v="Female"/>
    <n v="26"/>
    <n v="100.5"/>
    <x v="1"/>
    <x v="0"/>
    <n v="2"/>
    <n v="70.2"/>
    <n v="1"/>
    <n v="2711.39"/>
    <n v="1"/>
  </r>
  <r>
    <n v="51"/>
    <n v="31"/>
    <s v="Female"/>
    <n v="16"/>
    <n v="110.32"/>
    <x v="1"/>
    <x v="0"/>
    <n v="3"/>
    <n v="99.2"/>
    <n v="9"/>
    <n v="1638.23"/>
    <n v="0"/>
  </r>
  <r>
    <n v="52"/>
    <n v="67"/>
    <s v="Male"/>
    <n v="51"/>
    <n v="81.73"/>
    <x v="0"/>
    <x v="1"/>
    <n v="1"/>
    <n v="76"/>
    <n v="8"/>
    <n v="4156.22"/>
    <n v="0"/>
  </r>
  <r>
    <n v="53"/>
    <n v="26"/>
    <s v="Female"/>
    <n v="57"/>
    <n v="118.05"/>
    <x v="1"/>
    <x v="0"/>
    <n v="2"/>
    <n v="75.3"/>
    <n v="8"/>
    <n v="6093.02"/>
    <n v="0"/>
  </r>
  <r>
    <n v="54"/>
    <n v="43"/>
    <s v="Female"/>
    <n v="29"/>
    <n v="80.81"/>
    <x v="1"/>
    <x v="0"/>
    <n v="1"/>
    <n v="95.3"/>
    <n v="10"/>
    <n v="2346.0500000000002"/>
    <n v="0"/>
  </r>
  <r>
    <n v="55"/>
    <n v="19"/>
    <s v="Male"/>
    <n v="69"/>
    <n v="83.66"/>
    <x v="1"/>
    <x v="1"/>
    <n v="1"/>
    <n v="24.3"/>
    <n v="6"/>
    <n v="6308.25"/>
    <n v="1"/>
  </r>
  <r>
    <n v="56"/>
    <n v="37"/>
    <s v="Female"/>
    <n v="47"/>
    <n v="75.48"/>
    <x v="0"/>
    <x v="1"/>
    <n v="1"/>
    <n v="58.7"/>
    <n v="7"/>
    <n v="3465.4"/>
    <n v="1"/>
  </r>
  <r>
    <n v="57"/>
    <n v="45"/>
    <s v="Male"/>
    <n v="62"/>
    <n v="29.1"/>
    <x v="1"/>
    <x v="1"/>
    <n v="3"/>
    <n v="98.1"/>
    <n v="6"/>
    <n v="1637.85"/>
    <n v="0"/>
  </r>
  <r>
    <n v="58"/>
    <n v="64"/>
    <s v="Female"/>
    <n v="69"/>
    <n v="92.64"/>
    <x v="0"/>
    <x v="2"/>
    <n v="5"/>
    <n v="20.7"/>
    <n v="9"/>
    <n v="5792.52"/>
    <n v="0"/>
  </r>
  <r>
    <n v="59"/>
    <n v="24"/>
    <s v="Female"/>
    <n v="16"/>
    <n v="74.739999999999995"/>
    <x v="1"/>
    <x v="2"/>
    <n v="2"/>
    <n v="71.5"/>
    <n v="3"/>
    <n v="1169.05"/>
    <n v="1"/>
  </r>
  <r>
    <n v="60"/>
    <n v="61"/>
    <s v="Female"/>
    <n v="48"/>
    <n v="65.09"/>
    <x v="0"/>
    <x v="1"/>
    <n v="3"/>
    <n v="60.7"/>
    <n v="3"/>
    <n v="2911.88"/>
    <n v="0"/>
  </r>
  <r>
    <n v="61"/>
    <n v="25"/>
    <s v="Male"/>
    <n v="39"/>
    <n v="111.05"/>
    <x v="0"/>
    <x v="1"/>
    <n v="3"/>
    <n v="60.7"/>
    <n v="3"/>
    <n v="3918.08"/>
    <n v="1"/>
  </r>
  <r>
    <n v="62"/>
    <n v="64"/>
    <s v="Male"/>
    <n v="33"/>
    <n v="49.8"/>
    <x v="1"/>
    <x v="1"/>
    <n v="3"/>
    <n v="71.3"/>
    <n v="10"/>
    <n v="1727.61"/>
    <n v="0"/>
  </r>
  <r>
    <n v="63"/>
    <n v="52"/>
    <s v="Female"/>
    <n v="23"/>
    <n v="72.36"/>
    <x v="1"/>
    <x v="2"/>
    <n v="3"/>
    <n v="93.3"/>
    <n v="3"/>
    <n v="1650.47"/>
    <n v="1"/>
  </r>
  <r>
    <n v="64"/>
    <n v="31"/>
    <s v="Male"/>
    <n v="10"/>
    <n v="89.76"/>
    <x v="2"/>
    <x v="2"/>
    <n v="2"/>
    <n v="79.3"/>
    <n v="9"/>
    <n v="859.77"/>
    <n v="0"/>
  </r>
  <r>
    <n v="65"/>
    <n v="34"/>
    <s v="Male"/>
    <n v="69"/>
    <n v="99.65"/>
    <x v="2"/>
    <x v="0"/>
    <n v="0"/>
    <n v="10.3"/>
    <n v="4"/>
    <n v="7426.03"/>
    <n v="1"/>
  </r>
  <r>
    <n v="66"/>
    <n v="53"/>
    <s v="Male"/>
    <n v="34"/>
    <n v="65.930000000000007"/>
    <x v="1"/>
    <x v="0"/>
    <n v="1"/>
    <n v="86"/>
    <n v="7"/>
    <n v="2069.5300000000002"/>
    <n v="1"/>
  </r>
  <r>
    <n v="67"/>
    <n v="67"/>
    <s v="Male"/>
    <n v="52"/>
    <n v="104.21"/>
    <x v="1"/>
    <x v="1"/>
    <n v="3"/>
    <n v="26.4"/>
    <n v="9"/>
    <n v="5913.04"/>
    <n v="1"/>
  </r>
  <r>
    <n v="68"/>
    <n v="57"/>
    <s v="Male"/>
    <n v="10"/>
    <n v="96.89"/>
    <x v="2"/>
    <x v="2"/>
    <n v="0"/>
    <n v="40.799999999999997"/>
    <n v="7"/>
    <n v="932.85"/>
    <n v="1"/>
  </r>
  <r>
    <n v="69"/>
    <n v="21"/>
    <s v="Male"/>
    <n v="19"/>
    <n v="26.62"/>
    <x v="1"/>
    <x v="2"/>
    <n v="2"/>
    <n v="48.9"/>
    <n v="9"/>
    <n v="545.07000000000005"/>
    <n v="0"/>
  </r>
  <r>
    <n v="70"/>
    <n v="19"/>
    <s v="Female"/>
    <n v="58"/>
    <n v="24.59"/>
    <x v="1"/>
    <x v="2"/>
    <n v="1"/>
    <n v="50.7"/>
    <n v="3"/>
    <n v="1455.58"/>
    <n v="1"/>
  </r>
  <r>
    <n v="71"/>
    <n v="23"/>
    <s v="Female"/>
    <n v="1"/>
    <n v="82.08"/>
    <x v="2"/>
    <x v="1"/>
    <n v="3"/>
    <n v="46.3"/>
    <n v="4"/>
    <n v="87.44"/>
    <n v="0"/>
  </r>
  <r>
    <n v="72"/>
    <n v="59"/>
    <s v="Male"/>
    <n v="69"/>
    <n v="54.74"/>
    <x v="1"/>
    <x v="0"/>
    <n v="2"/>
    <n v="94"/>
    <n v="8"/>
    <n v="4142.6899999999996"/>
    <n v="1"/>
  </r>
  <r>
    <n v="73"/>
    <n v="21"/>
    <s v="Female"/>
    <n v="4"/>
    <n v="40.909999999999997"/>
    <x v="1"/>
    <x v="1"/>
    <n v="2"/>
    <n v="72.099999999999994"/>
    <n v="6"/>
    <n v="156.71"/>
    <n v="1"/>
  </r>
  <r>
    <n v="74"/>
    <n v="46"/>
    <s v="Female"/>
    <n v="16"/>
    <n v="77.959999999999994"/>
    <x v="1"/>
    <x v="0"/>
    <n v="1"/>
    <n v="65"/>
    <n v="5"/>
    <n v="1362.4"/>
    <n v="1"/>
  </r>
  <r>
    <n v="75"/>
    <n v="35"/>
    <s v="Female"/>
    <n v="24"/>
    <n v="54.16"/>
    <x v="1"/>
    <x v="0"/>
    <n v="3"/>
    <n v="9.6999999999999993"/>
    <n v="4"/>
    <n v="1271.1099999999999"/>
    <n v="1"/>
  </r>
  <r>
    <n v="76"/>
    <n v="43"/>
    <s v="Female"/>
    <n v="2"/>
    <n v="73.73"/>
    <x v="1"/>
    <x v="1"/>
    <n v="2"/>
    <n v="90.9"/>
    <n v="8"/>
    <n v="144.08000000000001"/>
    <n v="1"/>
  </r>
  <r>
    <n v="77"/>
    <n v="61"/>
    <s v="Male"/>
    <n v="32"/>
    <n v="66.010000000000005"/>
    <x v="0"/>
    <x v="0"/>
    <n v="3"/>
    <n v="91.4"/>
    <n v="1"/>
    <n v="2044.89"/>
    <n v="0"/>
  </r>
  <r>
    <n v="78"/>
    <n v="51"/>
    <s v="Female"/>
    <n v="24"/>
    <n v="78.48"/>
    <x v="1"/>
    <x v="0"/>
    <n v="3"/>
    <n v="79.099999999999994"/>
    <n v="9"/>
    <n v="1899.12"/>
    <n v="0"/>
  </r>
  <r>
    <n v="79"/>
    <n v="27"/>
    <s v="Female"/>
    <n v="12"/>
    <n v="60.03"/>
    <x v="1"/>
    <x v="2"/>
    <n v="1"/>
    <n v="5.7"/>
    <n v="1"/>
    <n v="670.53"/>
    <n v="1"/>
  </r>
  <r>
    <n v="80"/>
    <n v="53"/>
    <s v="Male"/>
    <n v="50"/>
    <n v="89.77"/>
    <x v="1"/>
    <x v="0"/>
    <n v="1"/>
    <n v="10.4"/>
    <n v="8"/>
    <n v="4536.72"/>
    <n v="0"/>
  </r>
  <r>
    <n v="81"/>
    <n v="31"/>
    <s v="Male"/>
    <n v="35"/>
    <n v="38.01"/>
    <x v="1"/>
    <x v="1"/>
    <n v="2"/>
    <n v="26.4"/>
    <n v="4"/>
    <n v="1341.45"/>
    <n v="1"/>
  </r>
  <r>
    <n v="82"/>
    <n v="48"/>
    <s v="Female"/>
    <n v="33"/>
    <n v="89.65"/>
    <x v="2"/>
    <x v="1"/>
    <n v="0"/>
    <n v="17.5"/>
    <n v="9"/>
    <n v="3113.41"/>
    <n v="1"/>
  </r>
  <r>
    <n v="83"/>
    <n v="65"/>
    <s v="Female"/>
    <n v="33"/>
    <n v="61.17"/>
    <x v="1"/>
    <x v="0"/>
    <n v="0"/>
    <n v="42.9"/>
    <n v="5"/>
    <n v="2153.31"/>
    <n v="0"/>
  </r>
  <r>
    <n v="84"/>
    <n v="32"/>
    <s v="Female"/>
    <n v="61"/>
    <n v="107.43"/>
    <x v="1"/>
    <x v="2"/>
    <n v="3"/>
    <n v="92.6"/>
    <n v="3"/>
    <n v="6475.17"/>
    <n v="0"/>
  </r>
  <r>
    <n v="85"/>
    <n v="25"/>
    <s v="Female"/>
    <n v="51"/>
    <n v="71.52"/>
    <x v="2"/>
    <x v="2"/>
    <n v="1"/>
    <n v="49.8"/>
    <n v="9"/>
    <n v="3503.32"/>
    <n v="0"/>
  </r>
  <r>
    <n v="86"/>
    <n v="31"/>
    <s v="Female"/>
    <n v="43"/>
    <n v="117.31"/>
    <x v="1"/>
    <x v="0"/>
    <n v="3"/>
    <n v="6.3"/>
    <n v="9"/>
    <n v="4801.53"/>
    <n v="0"/>
  </r>
  <r>
    <n v="87"/>
    <n v="40"/>
    <s v="Female"/>
    <n v="12"/>
    <n v="80.19"/>
    <x v="1"/>
    <x v="0"/>
    <n v="2"/>
    <n v="31.9"/>
    <n v="4"/>
    <n v="903.51"/>
    <n v="1"/>
  </r>
  <r>
    <n v="88"/>
    <n v="57"/>
    <s v="Male"/>
    <n v="67"/>
    <n v="42.38"/>
    <x v="1"/>
    <x v="1"/>
    <n v="0"/>
    <n v="9.1999999999999993"/>
    <n v="4"/>
    <n v="2588.25"/>
    <n v="0"/>
  </r>
  <r>
    <n v="89"/>
    <n v="38"/>
    <s v="Female"/>
    <n v="65"/>
    <n v="102.18"/>
    <x v="1"/>
    <x v="0"/>
    <n v="0"/>
    <n v="8.4"/>
    <n v="8"/>
    <n v="6432.42"/>
    <n v="0"/>
  </r>
  <r>
    <n v="90"/>
    <n v="33"/>
    <s v="Female"/>
    <n v="33"/>
    <n v="54.51"/>
    <x v="1"/>
    <x v="2"/>
    <n v="1"/>
    <n v="31.2"/>
    <n v="2"/>
    <n v="1716.17"/>
    <n v="1"/>
  </r>
  <r>
    <n v="91"/>
    <n v="62"/>
    <s v="Male"/>
    <n v="40"/>
    <n v="54.76"/>
    <x v="1"/>
    <x v="0"/>
    <n v="1"/>
    <n v="31.2"/>
    <n v="9"/>
    <n v="2394.73"/>
    <n v="0"/>
  </r>
  <r>
    <n v="92"/>
    <n v="35"/>
    <s v="Male"/>
    <n v="43"/>
    <n v="23.18"/>
    <x v="0"/>
    <x v="1"/>
    <n v="2"/>
    <n v="79.8"/>
    <n v="6"/>
    <n v="1008.24"/>
    <n v="1"/>
  </r>
  <r>
    <n v="93"/>
    <n v="64"/>
    <s v="Male"/>
    <n v="44"/>
    <n v="74.87"/>
    <x v="1"/>
    <x v="1"/>
    <n v="2"/>
    <n v="97.6"/>
    <n v="9"/>
    <n v="3193.66"/>
    <n v="1"/>
  </r>
  <r>
    <n v="94"/>
    <n v="41"/>
    <s v="Male"/>
    <n v="29"/>
    <n v="73.44"/>
    <x v="1"/>
    <x v="1"/>
    <n v="3"/>
    <n v="40.299999999999997"/>
    <n v="8"/>
    <n v="2164.04"/>
    <n v="0"/>
  </r>
  <r>
    <n v="95"/>
    <n v="43"/>
    <s v="Female"/>
    <n v="13"/>
    <n v="55.6"/>
    <x v="0"/>
    <x v="1"/>
    <n v="3"/>
    <n v="45.7"/>
    <n v="7"/>
    <n v="670.64"/>
    <n v="0"/>
  </r>
  <r>
    <n v="96"/>
    <n v="42"/>
    <s v="Female"/>
    <n v="12"/>
    <n v="109.42"/>
    <x v="1"/>
    <x v="1"/>
    <n v="0"/>
    <n v="85.3"/>
    <n v="1"/>
    <n v="1298.3499999999999"/>
    <n v="1"/>
  </r>
  <r>
    <n v="97"/>
    <n v="62"/>
    <s v="Female"/>
    <n v="46"/>
    <n v="32.869999999999997"/>
    <x v="0"/>
    <x v="0"/>
    <n v="6"/>
    <n v="30.5"/>
    <n v="3"/>
    <n v="1550.19"/>
    <n v="1"/>
  </r>
  <r>
    <n v="98"/>
    <n v="58"/>
    <s v="Female"/>
    <n v="2"/>
    <n v="53.01"/>
    <x v="1"/>
    <x v="0"/>
    <n v="1"/>
    <n v="19.899999999999999"/>
    <n v="2"/>
    <n v="105.78"/>
    <n v="1"/>
  </r>
  <r>
    <n v="99"/>
    <n v="46"/>
    <s v="Female"/>
    <n v="35"/>
    <n v="52.16"/>
    <x v="1"/>
    <x v="0"/>
    <n v="4"/>
    <n v="86"/>
    <n v="5"/>
    <n v="1789.74"/>
    <n v="1"/>
  </r>
  <r>
    <n v="100"/>
    <n v="32"/>
    <s v="Female"/>
    <n v="8"/>
    <n v="29.23"/>
    <x v="0"/>
    <x v="0"/>
    <n v="0"/>
    <n v="9.4"/>
    <n v="5"/>
    <n v="256.94"/>
    <n v="0"/>
  </r>
  <r>
    <n v="101"/>
    <n v="62"/>
    <s v="Male"/>
    <n v="26"/>
    <n v="68.11"/>
    <x v="1"/>
    <x v="1"/>
    <n v="1"/>
    <n v="63.9"/>
    <n v="5"/>
    <n v="1905.56"/>
    <n v="0"/>
  </r>
  <r>
    <n v="102"/>
    <n v="18"/>
    <s v="Female"/>
    <n v="34"/>
    <n v="88.78"/>
    <x v="1"/>
    <x v="2"/>
    <n v="6"/>
    <n v="58.4"/>
    <n v="4"/>
    <n v="3093.02"/>
    <n v="1"/>
  </r>
  <r>
    <n v="103"/>
    <n v="42"/>
    <s v="Male"/>
    <n v="7"/>
    <n v="71.17"/>
    <x v="1"/>
    <x v="0"/>
    <n v="2"/>
    <n v="37.9"/>
    <n v="5"/>
    <n v="505.1"/>
    <n v="1"/>
  </r>
  <r>
    <n v="104"/>
    <n v="24"/>
    <s v="Male"/>
    <n v="68"/>
    <n v="35.700000000000003"/>
    <x v="1"/>
    <x v="2"/>
    <n v="2"/>
    <n v="34.9"/>
    <n v="3"/>
    <n v="2486.1799999999998"/>
    <n v="1"/>
  </r>
  <r>
    <n v="105"/>
    <n v="26"/>
    <s v="Female"/>
    <n v="58"/>
    <n v="57.73"/>
    <x v="0"/>
    <x v="0"/>
    <n v="2"/>
    <n v="78.3"/>
    <n v="1"/>
    <n v="3148.32"/>
    <n v="1"/>
  </r>
  <r>
    <n v="106"/>
    <n v="41"/>
    <s v="Male"/>
    <n v="29"/>
    <n v="20.260000000000002"/>
    <x v="1"/>
    <x v="0"/>
    <n v="3"/>
    <n v="13.2"/>
    <n v="5"/>
    <n v="575.22"/>
    <n v="0"/>
  </r>
  <r>
    <n v="107"/>
    <n v="18"/>
    <s v="Female"/>
    <n v="36"/>
    <n v="106.83"/>
    <x v="1"/>
    <x v="2"/>
    <n v="0"/>
    <n v="27.5"/>
    <n v="9"/>
    <n v="3491.64"/>
    <n v="0"/>
  </r>
  <r>
    <n v="108"/>
    <n v="61"/>
    <s v="Male"/>
    <n v="21"/>
    <n v="28.45"/>
    <x v="1"/>
    <x v="1"/>
    <n v="1"/>
    <n v="74.599999999999994"/>
    <n v="9"/>
    <n v="594.53"/>
    <n v="0"/>
  </r>
  <r>
    <n v="109"/>
    <n v="25"/>
    <s v="Female"/>
    <n v="36"/>
    <n v="79.73"/>
    <x v="0"/>
    <x v="0"/>
    <n v="3"/>
    <n v="57.1"/>
    <n v="4"/>
    <n v="2894.98"/>
    <n v="1"/>
  </r>
  <r>
    <n v="110"/>
    <n v="41"/>
    <s v="Male"/>
    <n v="10"/>
    <n v="118.63"/>
    <x v="1"/>
    <x v="0"/>
    <n v="4"/>
    <n v="17.2"/>
    <n v="3"/>
    <n v="1121.71"/>
    <n v="0"/>
  </r>
  <r>
    <n v="111"/>
    <n v="28"/>
    <s v="Female"/>
    <n v="24"/>
    <n v="73.66"/>
    <x v="2"/>
    <x v="0"/>
    <n v="1"/>
    <n v="88.8"/>
    <n v="1"/>
    <n v="1931.91"/>
    <n v="0"/>
  </r>
  <r>
    <n v="112"/>
    <n v="68"/>
    <s v="Female"/>
    <n v="64"/>
    <n v="112.4"/>
    <x v="1"/>
    <x v="2"/>
    <n v="1"/>
    <n v="42.4"/>
    <n v="2"/>
    <n v="7782.69"/>
    <n v="0"/>
  </r>
  <r>
    <n v="113"/>
    <n v="34"/>
    <s v="Female"/>
    <n v="49"/>
    <n v="43.61"/>
    <x v="0"/>
    <x v="1"/>
    <n v="3"/>
    <n v="83.6"/>
    <n v="8"/>
    <n v="2231.83"/>
    <n v="0"/>
  </r>
  <r>
    <n v="114"/>
    <n v="25"/>
    <s v="Female"/>
    <n v="36"/>
    <n v="96"/>
    <x v="2"/>
    <x v="2"/>
    <n v="4"/>
    <n v="79.8"/>
    <n v="1"/>
    <n v="3479.08"/>
    <n v="1"/>
  </r>
  <r>
    <n v="115"/>
    <n v="52"/>
    <s v="Female"/>
    <n v="24"/>
    <n v="73.13"/>
    <x v="0"/>
    <x v="2"/>
    <n v="3"/>
    <n v="64.3"/>
    <n v="8"/>
    <n v="1884.99"/>
    <n v="0"/>
  </r>
  <r>
    <n v="116"/>
    <n v="52"/>
    <s v="Male"/>
    <n v="23"/>
    <n v="92.05"/>
    <x v="2"/>
    <x v="1"/>
    <n v="1"/>
    <n v="52"/>
    <n v="7"/>
    <n v="1960.76"/>
    <n v="1"/>
  </r>
  <r>
    <n v="117"/>
    <n v="50"/>
    <s v="Male"/>
    <n v="62"/>
    <n v="26.23"/>
    <x v="1"/>
    <x v="2"/>
    <n v="1"/>
    <n v="98.1"/>
    <n v="8"/>
    <n v="1720.75"/>
    <n v="1"/>
  </r>
  <r>
    <n v="118"/>
    <n v="22"/>
    <s v="Male"/>
    <n v="37"/>
    <n v="34.770000000000003"/>
    <x v="1"/>
    <x v="1"/>
    <n v="4"/>
    <n v="18.8"/>
    <n v="6"/>
    <n v="1189.96"/>
    <n v="1"/>
  </r>
  <r>
    <n v="119"/>
    <n v="59"/>
    <s v="Female"/>
    <n v="12"/>
    <n v="33.31"/>
    <x v="1"/>
    <x v="0"/>
    <n v="0"/>
    <n v="73.900000000000006"/>
    <n v="9"/>
    <n v="423.24"/>
    <n v="0"/>
  </r>
  <r>
    <n v="120"/>
    <n v="56"/>
    <s v="Male"/>
    <n v="55"/>
    <n v="88.72"/>
    <x v="1"/>
    <x v="1"/>
    <n v="4"/>
    <n v="23.2"/>
    <n v="3"/>
    <n v="4660.7700000000004"/>
    <n v="0"/>
  </r>
  <r>
    <n v="121"/>
    <n v="58"/>
    <s v="Female"/>
    <n v="13"/>
    <n v="104.44"/>
    <x v="1"/>
    <x v="0"/>
    <n v="0"/>
    <n v="37.1"/>
    <n v="10"/>
    <n v="1460.12"/>
    <n v="0"/>
  </r>
  <r>
    <n v="122"/>
    <n v="45"/>
    <s v="Female"/>
    <n v="23"/>
    <n v="94.96"/>
    <x v="1"/>
    <x v="2"/>
    <n v="2"/>
    <n v="34.299999999999997"/>
    <n v="4"/>
    <n v="2378.04"/>
    <n v="1"/>
  </r>
  <r>
    <n v="123"/>
    <n v="24"/>
    <s v="Male"/>
    <n v="30"/>
    <n v="23.05"/>
    <x v="1"/>
    <x v="2"/>
    <n v="2"/>
    <n v="95"/>
    <n v="6"/>
    <n v="642.92999999999995"/>
    <n v="0"/>
  </r>
  <r>
    <n v="124"/>
    <n v="26"/>
    <s v="Male"/>
    <n v="17"/>
    <n v="106.72"/>
    <x v="1"/>
    <x v="0"/>
    <n v="2"/>
    <n v="96.9"/>
    <n v="8"/>
    <n v="1800.7"/>
    <n v="0"/>
  </r>
  <r>
    <n v="125"/>
    <n v="25"/>
    <s v="Female"/>
    <n v="62"/>
    <n v="55.41"/>
    <x v="2"/>
    <x v="2"/>
    <n v="3"/>
    <n v="22.4"/>
    <n v="5"/>
    <n v="3765.9"/>
    <n v="0"/>
  </r>
  <r>
    <n v="126"/>
    <n v="29"/>
    <s v="Male"/>
    <n v="13"/>
    <n v="59.72"/>
    <x v="1"/>
    <x v="1"/>
    <n v="0"/>
    <n v="7.1"/>
    <n v="3"/>
    <n v="773.78"/>
    <n v="0"/>
  </r>
  <r>
    <n v="127"/>
    <n v="51"/>
    <s v="Female"/>
    <n v="59"/>
    <n v="30.49"/>
    <x v="0"/>
    <x v="0"/>
    <n v="4"/>
    <n v="73.400000000000006"/>
    <n v="6"/>
    <n v="1929.71"/>
    <n v="0"/>
  </r>
  <r>
    <n v="128"/>
    <n v="50"/>
    <s v="Female"/>
    <n v="19"/>
    <n v="93.74"/>
    <x v="0"/>
    <x v="2"/>
    <n v="1"/>
    <n v="44.7"/>
    <n v="4"/>
    <n v="1812.67"/>
    <n v="0"/>
  </r>
  <r>
    <n v="129"/>
    <n v="65"/>
    <s v="Female"/>
    <n v="49"/>
    <n v="38.229999999999997"/>
    <x v="2"/>
    <x v="0"/>
    <n v="3"/>
    <n v="13.4"/>
    <n v="9"/>
    <n v="1826.56"/>
    <n v="1"/>
  </r>
  <r>
    <n v="130"/>
    <n v="40"/>
    <s v="Female"/>
    <n v="12"/>
    <n v="76.400000000000006"/>
    <x v="0"/>
    <x v="1"/>
    <n v="3"/>
    <n v="70"/>
    <n v="3"/>
    <n v="877.52"/>
    <n v="1"/>
  </r>
  <r>
    <n v="131"/>
    <n v="41"/>
    <s v="Female"/>
    <n v="61"/>
    <n v="104.07"/>
    <x v="0"/>
    <x v="1"/>
    <n v="2"/>
    <n v="56.8"/>
    <n v="4"/>
    <n v="5971.47"/>
    <n v="1"/>
  </r>
  <r>
    <n v="132"/>
    <n v="54"/>
    <s v="Male"/>
    <n v="19"/>
    <n v="28.92"/>
    <x v="2"/>
    <x v="2"/>
    <n v="1"/>
    <n v="98.1"/>
    <n v="7"/>
    <n v="578.25"/>
    <n v="1"/>
  </r>
  <r>
    <n v="133"/>
    <n v="52"/>
    <s v="Male"/>
    <n v="9"/>
    <n v="73.53"/>
    <x v="2"/>
    <x v="1"/>
    <n v="2"/>
    <n v="26.6"/>
    <n v="7"/>
    <n v="646.75"/>
    <n v="1"/>
  </r>
  <r>
    <n v="134"/>
    <n v="61"/>
    <s v="Female"/>
    <n v="71"/>
    <n v="43.32"/>
    <x v="1"/>
    <x v="0"/>
    <n v="1"/>
    <n v="43.4"/>
    <n v="4"/>
    <n v="3082.66"/>
    <n v="1"/>
  </r>
  <r>
    <n v="135"/>
    <n v="57"/>
    <s v="Female"/>
    <n v="28"/>
    <n v="54.29"/>
    <x v="1"/>
    <x v="1"/>
    <n v="1"/>
    <n v="56.5"/>
    <n v="6"/>
    <n v="1517.79"/>
    <n v="0"/>
  </r>
  <r>
    <n v="136"/>
    <n v="39"/>
    <s v="Male"/>
    <n v="52"/>
    <n v="67.400000000000006"/>
    <x v="1"/>
    <x v="0"/>
    <n v="1"/>
    <n v="80.2"/>
    <n v="3"/>
    <n v="3558.97"/>
    <n v="1"/>
  </r>
  <r>
    <n v="137"/>
    <n v="44"/>
    <s v="Male"/>
    <n v="16"/>
    <n v="55.51"/>
    <x v="1"/>
    <x v="0"/>
    <n v="2"/>
    <n v="57.1"/>
    <n v="6"/>
    <n v="953.1"/>
    <n v="1"/>
  </r>
  <r>
    <n v="138"/>
    <n v="52"/>
    <s v="Female"/>
    <n v="69"/>
    <n v="84.88"/>
    <x v="0"/>
    <x v="1"/>
    <n v="1"/>
    <n v="63.2"/>
    <n v="2"/>
    <n v="6419.83"/>
    <n v="0"/>
  </r>
  <r>
    <n v="139"/>
    <n v="18"/>
    <s v="Male"/>
    <n v="12"/>
    <n v="67.959999999999994"/>
    <x v="0"/>
    <x v="2"/>
    <n v="3"/>
    <n v="26.5"/>
    <n v="8"/>
    <n v="800.45"/>
    <n v="0"/>
  </r>
  <r>
    <n v="140"/>
    <n v="52"/>
    <s v="Female"/>
    <n v="25"/>
    <n v="78.42"/>
    <x v="0"/>
    <x v="1"/>
    <n v="1"/>
    <n v="85.5"/>
    <n v="2"/>
    <n v="2088.92"/>
    <n v="1"/>
  </r>
  <r>
    <n v="141"/>
    <n v="54"/>
    <s v="Male"/>
    <n v="52"/>
    <n v="93.68"/>
    <x v="1"/>
    <x v="0"/>
    <n v="3"/>
    <n v="45.7"/>
    <n v="7"/>
    <n v="5129.08"/>
    <n v="0"/>
  </r>
  <r>
    <n v="142"/>
    <n v="64"/>
    <s v="Female"/>
    <n v="53"/>
    <n v="75.77"/>
    <x v="2"/>
    <x v="0"/>
    <n v="3"/>
    <n v="18.399999999999999"/>
    <n v="9"/>
    <n v="4074.87"/>
    <n v="0"/>
  </r>
  <r>
    <n v="143"/>
    <n v="31"/>
    <s v="Male"/>
    <n v="23"/>
    <n v="78.650000000000006"/>
    <x v="0"/>
    <x v="1"/>
    <n v="2"/>
    <n v="68.099999999999994"/>
    <n v="1"/>
    <n v="1973.94"/>
    <n v="1"/>
  </r>
  <r>
    <n v="144"/>
    <n v="20"/>
    <s v="Female"/>
    <n v="16"/>
    <n v="76.45"/>
    <x v="0"/>
    <x v="2"/>
    <n v="2"/>
    <n v="25.5"/>
    <n v="8"/>
    <n v="1149.92"/>
    <n v="0"/>
  </r>
  <r>
    <n v="145"/>
    <n v="18"/>
    <s v="Male"/>
    <n v="57"/>
    <n v="57.88"/>
    <x v="2"/>
    <x v="2"/>
    <n v="2"/>
    <n v="14.3"/>
    <n v="7"/>
    <n v="3041.34"/>
    <n v="0"/>
  </r>
  <r>
    <n v="146"/>
    <n v="22"/>
    <s v="Male"/>
    <n v="39"/>
    <n v="53.74"/>
    <x v="0"/>
    <x v="0"/>
    <n v="2"/>
    <n v="86.9"/>
    <n v="6"/>
    <n v="2244.23"/>
    <n v="0"/>
  </r>
  <r>
    <n v="147"/>
    <n v="43"/>
    <s v="Female"/>
    <n v="53"/>
    <n v="109.96"/>
    <x v="1"/>
    <x v="0"/>
    <n v="2"/>
    <n v="48.7"/>
    <n v="6"/>
    <n v="5756.95"/>
    <n v="0"/>
  </r>
  <r>
    <n v="148"/>
    <n v="31"/>
    <s v="Male"/>
    <n v="42"/>
    <n v="80.760000000000005"/>
    <x v="0"/>
    <x v="2"/>
    <n v="1"/>
    <n v="76.2"/>
    <n v="6"/>
    <n v="3627.3"/>
    <n v="0"/>
  </r>
  <r>
    <n v="149"/>
    <n v="56"/>
    <s v="Female"/>
    <n v="58"/>
    <n v="44.44"/>
    <x v="1"/>
    <x v="1"/>
    <n v="3"/>
    <n v="32.6"/>
    <n v="9"/>
    <n v="2780.16"/>
    <n v="1"/>
  </r>
  <r>
    <n v="150"/>
    <n v="44"/>
    <s v="Male"/>
    <n v="39"/>
    <n v="69.819999999999993"/>
    <x v="1"/>
    <x v="0"/>
    <n v="2"/>
    <n v="79.8"/>
    <n v="2"/>
    <n v="2484.6999999999998"/>
    <n v="1"/>
  </r>
  <r>
    <n v="151"/>
    <n v="26"/>
    <s v="Female"/>
    <n v="14"/>
    <n v="53.03"/>
    <x v="0"/>
    <x v="0"/>
    <n v="3"/>
    <n v="15.6"/>
    <n v="1"/>
    <n v="799.36"/>
    <n v="1"/>
  </r>
  <r>
    <n v="152"/>
    <n v="32"/>
    <s v="Male"/>
    <n v="5"/>
    <n v="113.37"/>
    <x v="1"/>
    <x v="2"/>
    <n v="3"/>
    <n v="38.799999999999997"/>
    <n v="6"/>
    <n v="560.99"/>
    <n v="0"/>
  </r>
  <r>
    <n v="153"/>
    <n v="32"/>
    <s v="Female"/>
    <n v="35"/>
    <n v="20.75"/>
    <x v="0"/>
    <x v="1"/>
    <n v="3"/>
    <n v="97.9"/>
    <n v="10"/>
    <n v="727.77"/>
    <n v="0"/>
  </r>
  <r>
    <n v="154"/>
    <n v="43"/>
    <s v="Male"/>
    <n v="18"/>
    <n v="42.53"/>
    <x v="1"/>
    <x v="2"/>
    <n v="0"/>
    <n v="80.400000000000006"/>
    <n v="8"/>
    <n v="784.92"/>
    <n v="1"/>
  </r>
  <r>
    <n v="155"/>
    <n v="59"/>
    <s v="Female"/>
    <n v="9"/>
    <n v="56.54"/>
    <x v="2"/>
    <x v="1"/>
    <n v="1"/>
    <n v="52.2"/>
    <n v="3"/>
    <n v="552.25"/>
    <n v="0"/>
  </r>
  <r>
    <n v="156"/>
    <n v="30"/>
    <s v="Male"/>
    <n v="58"/>
    <n v="68.78"/>
    <x v="1"/>
    <x v="1"/>
    <n v="3"/>
    <n v="37.299999999999997"/>
    <n v="10"/>
    <n v="3605.57"/>
    <n v="0"/>
  </r>
  <r>
    <n v="157"/>
    <n v="68"/>
    <s v="Female"/>
    <n v="17"/>
    <n v="105.08"/>
    <x v="2"/>
    <x v="1"/>
    <n v="0"/>
    <n v="87.9"/>
    <n v="1"/>
    <n v="1778.09"/>
    <n v="1"/>
  </r>
  <r>
    <n v="158"/>
    <n v="49"/>
    <s v="Female"/>
    <n v="7"/>
    <n v="28.79"/>
    <x v="0"/>
    <x v="0"/>
    <n v="3"/>
    <n v="56.8"/>
    <n v="9"/>
    <n v="209.1"/>
    <n v="0"/>
  </r>
  <r>
    <n v="159"/>
    <n v="56"/>
    <s v="Female"/>
    <n v="46"/>
    <n v="100.59"/>
    <x v="1"/>
    <x v="2"/>
    <n v="1"/>
    <n v="77.099999999999994"/>
    <n v="1"/>
    <n v="4833.24"/>
    <n v="0"/>
  </r>
  <r>
    <n v="160"/>
    <n v="66"/>
    <s v="Male"/>
    <n v="13"/>
    <n v="25.57"/>
    <x v="1"/>
    <x v="2"/>
    <n v="0"/>
    <n v="76.599999999999994"/>
    <n v="3"/>
    <n v="345.21"/>
    <n v="1"/>
  </r>
  <r>
    <n v="161"/>
    <n v="69"/>
    <s v="Female"/>
    <n v="40"/>
    <n v="104.23"/>
    <x v="2"/>
    <x v="1"/>
    <n v="0"/>
    <n v="6.7"/>
    <n v="8"/>
    <n v="3864.38"/>
    <n v="0"/>
  </r>
  <r>
    <n v="162"/>
    <n v="49"/>
    <s v="Male"/>
    <n v="42"/>
    <n v="25.16"/>
    <x v="1"/>
    <x v="0"/>
    <n v="1"/>
    <n v="17"/>
    <n v="3"/>
    <n v="1014.32"/>
    <n v="0"/>
  </r>
  <r>
    <n v="163"/>
    <n v="21"/>
    <s v="Female"/>
    <n v="9"/>
    <n v="21.82"/>
    <x v="1"/>
    <x v="0"/>
    <n v="1"/>
    <n v="67.7"/>
    <n v="4"/>
    <n v="190.83"/>
    <n v="1"/>
  </r>
  <r>
    <n v="164"/>
    <n v="47"/>
    <s v="Male"/>
    <n v="50"/>
    <n v="89.7"/>
    <x v="1"/>
    <x v="2"/>
    <n v="1"/>
    <n v="20.399999999999999"/>
    <n v="8"/>
    <n v="4758.08"/>
    <n v="0"/>
  </r>
  <r>
    <n v="165"/>
    <n v="54"/>
    <s v="Female"/>
    <n v="27"/>
    <n v="119.73"/>
    <x v="1"/>
    <x v="0"/>
    <n v="4"/>
    <n v="29.3"/>
    <n v="1"/>
    <n v="3089.67"/>
    <n v="1"/>
  </r>
  <r>
    <n v="166"/>
    <n v="40"/>
    <s v="Male"/>
    <n v="66"/>
    <n v="109.66"/>
    <x v="0"/>
    <x v="0"/>
    <n v="3"/>
    <n v="94.9"/>
    <n v="6"/>
    <n v="6818.8"/>
    <n v="1"/>
  </r>
  <r>
    <n v="167"/>
    <n v="56"/>
    <s v="Male"/>
    <n v="5"/>
    <n v="77.599999999999994"/>
    <x v="0"/>
    <x v="1"/>
    <n v="2"/>
    <n v="58.2"/>
    <n v="1"/>
    <n v="423.5"/>
    <n v="1"/>
  </r>
  <r>
    <n v="168"/>
    <n v="62"/>
    <s v="Female"/>
    <n v="29"/>
    <n v="111.74"/>
    <x v="1"/>
    <x v="0"/>
    <n v="4"/>
    <n v="76.3"/>
    <n v="1"/>
    <n v="2922.16"/>
    <n v="1"/>
  </r>
  <r>
    <n v="169"/>
    <n v="32"/>
    <s v="Male"/>
    <n v="37"/>
    <n v="20.53"/>
    <x v="1"/>
    <x v="1"/>
    <n v="2"/>
    <n v="58"/>
    <n v="8"/>
    <n v="835.24"/>
    <n v="1"/>
  </r>
  <r>
    <n v="170"/>
    <n v="60"/>
    <s v="Male"/>
    <n v="38"/>
    <n v="117.51"/>
    <x v="0"/>
    <x v="2"/>
    <n v="0"/>
    <n v="57.5"/>
    <n v="4"/>
    <n v="4623.29"/>
    <n v="1"/>
  </r>
  <r>
    <n v="171"/>
    <n v="46"/>
    <s v="Female"/>
    <n v="8"/>
    <n v="69.069999999999993"/>
    <x v="1"/>
    <x v="0"/>
    <n v="1"/>
    <n v="13.9"/>
    <n v="1"/>
    <n v="588.86"/>
    <n v="0"/>
  </r>
  <r>
    <n v="172"/>
    <n v="53"/>
    <s v="Male"/>
    <n v="65"/>
    <n v="92.29"/>
    <x v="1"/>
    <x v="2"/>
    <n v="5"/>
    <n v="37.6"/>
    <n v="10"/>
    <n v="5752.44"/>
    <n v="0"/>
  </r>
  <r>
    <n v="173"/>
    <n v="30"/>
    <s v="Male"/>
    <n v="17"/>
    <n v="102.09"/>
    <x v="2"/>
    <x v="2"/>
    <n v="1"/>
    <n v="31.8"/>
    <n v="7"/>
    <n v="1566.95"/>
    <n v="0"/>
  </r>
  <r>
    <n v="174"/>
    <n v="49"/>
    <s v="Male"/>
    <n v="71"/>
    <n v="91.85"/>
    <x v="0"/>
    <x v="0"/>
    <n v="5"/>
    <n v="42.1"/>
    <n v="5"/>
    <n v="6831.6"/>
    <n v="0"/>
  </r>
  <r>
    <n v="175"/>
    <n v="24"/>
    <s v="Female"/>
    <n v="45"/>
    <n v="73.5"/>
    <x v="0"/>
    <x v="0"/>
    <n v="0"/>
    <n v="80.8"/>
    <n v="5"/>
    <n v="3528.54"/>
    <n v="0"/>
  </r>
  <r>
    <n v="176"/>
    <n v="68"/>
    <s v="Male"/>
    <n v="4"/>
    <n v="67.66"/>
    <x v="0"/>
    <x v="2"/>
    <n v="2"/>
    <n v="40.299999999999997"/>
    <n v="1"/>
    <n v="283.66000000000003"/>
    <n v="0"/>
  </r>
  <r>
    <n v="177"/>
    <n v="39"/>
    <s v="Female"/>
    <n v="36"/>
    <n v="103.86"/>
    <x v="1"/>
    <x v="0"/>
    <n v="0"/>
    <n v="47.9"/>
    <n v="10"/>
    <n v="3471.89"/>
    <n v="1"/>
  </r>
  <r>
    <n v="178"/>
    <n v="45"/>
    <s v="Male"/>
    <n v="70"/>
    <n v="40.51"/>
    <x v="0"/>
    <x v="1"/>
    <n v="1"/>
    <n v="42.8"/>
    <n v="6"/>
    <n v="2979.43"/>
    <n v="0"/>
  </r>
  <r>
    <n v="179"/>
    <n v="19"/>
    <s v="Male"/>
    <n v="31"/>
    <n v="116.8"/>
    <x v="1"/>
    <x v="1"/>
    <n v="4"/>
    <n v="13.9"/>
    <n v="9"/>
    <n v="3815.54"/>
    <n v="0"/>
  </r>
  <r>
    <n v="180"/>
    <n v="59"/>
    <s v="Male"/>
    <n v="19"/>
    <n v="91.1"/>
    <x v="1"/>
    <x v="0"/>
    <n v="0"/>
    <n v="46.9"/>
    <n v="9"/>
    <n v="1785.78"/>
    <n v="0"/>
  </r>
  <r>
    <n v="181"/>
    <n v="62"/>
    <s v="Female"/>
    <n v="61"/>
    <n v="39.950000000000003"/>
    <x v="1"/>
    <x v="2"/>
    <n v="0"/>
    <n v="23.6"/>
    <n v="8"/>
    <n v="2566.65"/>
    <n v="0"/>
  </r>
  <r>
    <n v="182"/>
    <n v="23"/>
    <s v="Male"/>
    <n v="54"/>
    <n v="93.62"/>
    <x v="1"/>
    <x v="0"/>
    <n v="2"/>
    <n v="22.7"/>
    <n v="5"/>
    <n v="5405.24"/>
    <n v="0"/>
  </r>
  <r>
    <n v="183"/>
    <n v="45"/>
    <s v="Male"/>
    <n v="39"/>
    <n v="72.98"/>
    <x v="0"/>
    <x v="0"/>
    <n v="1"/>
    <n v="13.9"/>
    <n v="1"/>
    <n v="2910.89"/>
    <n v="1"/>
  </r>
  <r>
    <n v="184"/>
    <n v="45"/>
    <s v="Female"/>
    <n v="19"/>
    <n v="90.72"/>
    <x v="1"/>
    <x v="2"/>
    <n v="1"/>
    <n v="38.9"/>
    <n v="9"/>
    <n v="1581.86"/>
    <n v="1"/>
  </r>
  <r>
    <n v="185"/>
    <n v="61"/>
    <s v="Male"/>
    <n v="39"/>
    <n v="96.78"/>
    <x v="1"/>
    <x v="2"/>
    <n v="3"/>
    <n v="77"/>
    <n v="1"/>
    <n v="3765.08"/>
    <n v="1"/>
  </r>
  <r>
    <n v="186"/>
    <n v="61"/>
    <s v="Female"/>
    <n v="67"/>
    <n v="28.73"/>
    <x v="1"/>
    <x v="1"/>
    <n v="1"/>
    <n v="31.3"/>
    <n v="8"/>
    <n v="1762.31"/>
    <n v="1"/>
  </r>
  <r>
    <n v="187"/>
    <n v="37"/>
    <s v="Female"/>
    <n v="45"/>
    <n v="70.61"/>
    <x v="1"/>
    <x v="2"/>
    <n v="2"/>
    <n v="34.700000000000003"/>
    <n v="5"/>
    <n v="3118.69"/>
    <n v="0"/>
  </r>
  <r>
    <n v="188"/>
    <n v="47"/>
    <s v="Male"/>
    <n v="13"/>
    <n v="113.2"/>
    <x v="0"/>
    <x v="1"/>
    <n v="3"/>
    <n v="66.099999999999994"/>
    <n v="3"/>
    <n v="1444.26"/>
    <n v="0"/>
  </r>
  <r>
    <n v="189"/>
    <n v="28"/>
    <s v="Female"/>
    <n v="58"/>
    <n v="52.06"/>
    <x v="1"/>
    <x v="2"/>
    <n v="1"/>
    <n v="23.6"/>
    <n v="7"/>
    <n v="2757.4"/>
    <n v="1"/>
  </r>
  <r>
    <n v="190"/>
    <n v="45"/>
    <s v="Male"/>
    <n v="20"/>
    <n v="79.39"/>
    <x v="0"/>
    <x v="0"/>
    <n v="1"/>
    <n v="90.2"/>
    <n v="7"/>
    <n v="1539.79"/>
    <n v="0"/>
  </r>
  <r>
    <n v="191"/>
    <n v="42"/>
    <s v="Female"/>
    <n v="61"/>
    <n v="56.92"/>
    <x v="1"/>
    <x v="1"/>
    <n v="4"/>
    <n v="54.4"/>
    <n v="9"/>
    <n v="3201.99"/>
    <n v="0"/>
  </r>
  <r>
    <n v="192"/>
    <n v="56"/>
    <s v="Female"/>
    <n v="39"/>
    <n v="65.430000000000007"/>
    <x v="1"/>
    <x v="1"/>
    <n v="2"/>
    <n v="47.5"/>
    <n v="7"/>
    <n v="2709.08"/>
    <n v="0"/>
  </r>
  <r>
    <n v="193"/>
    <n v="50"/>
    <s v="Male"/>
    <n v="1"/>
    <n v="74.86"/>
    <x v="0"/>
    <x v="1"/>
    <n v="1"/>
    <n v="58"/>
    <n v="3"/>
    <n v="81.56"/>
    <n v="0"/>
  </r>
  <r>
    <n v="194"/>
    <n v="18"/>
    <s v="Female"/>
    <n v="3"/>
    <n v="74.89"/>
    <x v="1"/>
    <x v="0"/>
    <n v="2"/>
    <n v="20.8"/>
    <n v="1"/>
    <n v="205.45"/>
    <n v="1"/>
  </r>
  <r>
    <n v="195"/>
    <n v="44"/>
    <s v="Female"/>
    <n v="62"/>
    <n v="40.17"/>
    <x v="0"/>
    <x v="0"/>
    <n v="3"/>
    <n v="63.3"/>
    <n v="8"/>
    <n v="2717.24"/>
    <n v="0"/>
  </r>
  <r>
    <n v="196"/>
    <n v="69"/>
    <s v="Female"/>
    <n v="63"/>
    <n v="88.46"/>
    <x v="1"/>
    <x v="0"/>
    <n v="1"/>
    <n v="39.5"/>
    <n v="3"/>
    <n v="5598.14"/>
    <n v="0"/>
  </r>
  <r>
    <n v="197"/>
    <n v="30"/>
    <s v="Female"/>
    <n v="25"/>
    <n v="28.79"/>
    <x v="1"/>
    <x v="0"/>
    <n v="3"/>
    <n v="90.2"/>
    <n v="8"/>
    <n v="690.9"/>
    <n v="1"/>
  </r>
  <r>
    <n v="198"/>
    <n v="58"/>
    <s v="Female"/>
    <n v="56"/>
    <n v="33.880000000000003"/>
    <x v="2"/>
    <x v="0"/>
    <n v="0"/>
    <n v="21"/>
    <n v="8"/>
    <n v="1736.72"/>
    <n v="0"/>
  </r>
  <r>
    <n v="199"/>
    <n v="20"/>
    <s v="Male"/>
    <n v="33"/>
    <n v="20.27"/>
    <x v="1"/>
    <x v="1"/>
    <n v="0"/>
    <n v="53.2"/>
    <n v="5"/>
    <n v="668.99"/>
    <n v="0"/>
  </r>
  <r>
    <n v="200"/>
    <n v="56"/>
    <s v="Female"/>
    <n v="38"/>
    <n v="31.67"/>
    <x v="1"/>
    <x v="0"/>
    <n v="1"/>
    <n v="61.8"/>
    <n v="1"/>
    <n v="1274.3499999999999"/>
    <n v="1"/>
  </r>
  <r>
    <n v="201"/>
    <n v="23"/>
    <s v="Male"/>
    <n v="6"/>
    <n v="67.319999999999993"/>
    <x v="0"/>
    <x v="1"/>
    <n v="2"/>
    <n v="8.1999999999999993"/>
    <n v="10"/>
    <n v="420.65"/>
    <n v="0"/>
  </r>
  <r>
    <n v="202"/>
    <n v="25"/>
    <s v="Female"/>
    <n v="58"/>
    <n v="80.61"/>
    <x v="1"/>
    <x v="0"/>
    <n v="1"/>
    <n v="39.6"/>
    <n v="7"/>
    <n v="4254.8100000000004"/>
    <n v="0"/>
  </r>
  <r>
    <n v="203"/>
    <n v="44"/>
    <s v="Male"/>
    <n v="44"/>
    <n v="99.43"/>
    <x v="0"/>
    <x v="2"/>
    <n v="3"/>
    <n v="74.599999999999994"/>
    <n v="10"/>
    <n v="4001.22"/>
    <n v="1"/>
  </r>
  <r>
    <n v="204"/>
    <n v="26"/>
    <s v="Male"/>
    <n v="45"/>
    <n v="30.67"/>
    <x v="1"/>
    <x v="1"/>
    <n v="4"/>
    <n v="82.9"/>
    <n v="5"/>
    <n v="1353.34"/>
    <n v="0"/>
  </r>
  <r>
    <n v="205"/>
    <n v="54"/>
    <s v="Female"/>
    <n v="32"/>
    <n v="105.07"/>
    <x v="2"/>
    <x v="2"/>
    <n v="0"/>
    <n v="34.799999999999997"/>
    <n v="8"/>
    <n v="3224.58"/>
    <n v="0"/>
  </r>
  <r>
    <n v="206"/>
    <n v="50"/>
    <s v="Female"/>
    <n v="45"/>
    <n v="94.6"/>
    <x v="0"/>
    <x v="1"/>
    <n v="3"/>
    <n v="80.900000000000006"/>
    <n v="9"/>
    <n v="4029.15"/>
    <n v="0"/>
  </r>
  <r>
    <n v="207"/>
    <n v="68"/>
    <s v="Female"/>
    <n v="61"/>
    <n v="60.85"/>
    <x v="0"/>
    <x v="2"/>
    <n v="2"/>
    <n v="96.9"/>
    <n v="7"/>
    <n v="3549.27"/>
    <n v="1"/>
  </r>
  <r>
    <n v="208"/>
    <n v="59"/>
    <s v="Male"/>
    <n v="47"/>
    <n v="113.29"/>
    <x v="2"/>
    <x v="0"/>
    <n v="3"/>
    <n v="86.4"/>
    <n v="7"/>
    <n v="5647.82"/>
    <n v="1"/>
  </r>
  <r>
    <n v="209"/>
    <n v="61"/>
    <s v="Female"/>
    <n v="21"/>
    <n v="119.09"/>
    <x v="1"/>
    <x v="0"/>
    <n v="1"/>
    <n v="16.2"/>
    <n v="1"/>
    <n v="2715.58"/>
    <n v="1"/>
  </r>
  <r>
    <n v="210"/>
    <n v="41"/>
    <s v="Male"/>
    <n v="36"/>
    <n v="40.5"/>
    <x v="2"/>
    <x v="0"/>
    <n v="3"/>
    <n v="75.3"/>
    <n v="4"/>
    <n v="1430.33"/>
    <n v="0"/>
  </r>
  <r>
    <n v="211"/>
    <n v="32"/>
    <s v="Male"/>
    <n v="19"/>
    <n v="57.92"/>
    <x v="1"/>
    <x v="1"/>
    <n v="2"/>
    <n v="35.4"/>
    <n v="2"/>
    <n v="1189.8599999999999"/>
    <n v="1"/>
  </r>
  <r>
    <n v="212"/>
    <n v="49"/>
    <s v="Male"/>
    <n v="20"/>
    <n v="112.64"/>
    <x v="1"/>
    <x v="2"/>
    <n v="0"/>
    <n v="98.9"/>
    <n v="2"/>
    <n v="2172.37"/>
    <n v="1"/>
  </r>
  <r>
    <n v="213"/>
    <n v="49"/>
    <s v="Female"/>
    <n v="57"/>
    <n v="92.16"/>
    <x v="1"/>
    <x v="0"/>
    <n v="3"/>
    <n v="51.1"/>
    <n v="2"/>
    <n v="5228.3599999999997"/>
    <n v="1"/>
  </r>
  <r>
    <n v="214"/>
    <n v="41"/>
    <s v="Female"/>
    <n v="18"/>
    <n v="24.81"/>
    <x v="1"/>
    <x v="2"/>
    <n v="0"/>
    <n v="16.600000000000001"/>
    <n v="4"/>
    <n v="422.11"/>
    <n v="1"/>
  </r>
  <r>
    <n v="215"/>
    <n v="58"/>
    <s v="Male"/>
    <n v="47"/>
    <n v="98.15"/>
    <x v="1"/>
    <x v="2"/>
    <n v="2"/>
    <n v="73.900000000000006"/>
    <n v="1"/>
    <n v="4742.6499999999996"/>
    <n v="0"/>
  </r>
  <r>
    <n v="216"/>
    <n v="69"/>
    <s v="Male"/>
    <n v="49"/>
    <n v="102.79"/>
    <x v="0"/>
    <x v="0"/>
    <n v="5"/>
    <n v="35.700000000000003"/>
    <n v="4"/>
    <n v="5519.21"/>
    <n v="0"/>
  </r>
  <r>
    <n v="217"/>
    <n v="66"/>
    <s v="Female"/>
    <n v="14"/>
    <n v="95.05"/>
    <x v="0"/>
    <x v="0"/>
    <n v="2"/>
    <n v="99.7"/>
    <n v="2"/>
    <n v="1358.24"/>
    <n v="1"/>
  </r>
  <r>
    <n v="218"/>
    <n v="66"/>
    <s v="Male"/>
    <n v="15"/>
    <n v="99.95"/>
    <x v="2"/>
    <x v="2"/>
    <n v="1"/>
    <n v="98.1"/>
    <n v="5"/>
    <n v="1456.62"/>
    <n v="0"/>
  </r>
  <r>
    <n v="219"/>
    <n v="69"/>
    <s v="Female"/>
    <n v="31"/>
    <n v="102.51"/>
    <x v="1"/>
    <x v="0"/>
    <n v="3"/>
    <n v="67.3"/>
    <n v="3"/>
    <n v="3271.76"/>
    <n v="1"/>
  </r>
  <r>
    <n v="220"/>
    <n v="29"/>
    <s v="Male"/>
    <n v="1"/>
    <n v="38.64"/>
    <x v="0"/>
    <x v="0"/>
    <n v="2"/>
    <n v="17.3"/>
    <n v="8"/>
    <n v="35.729999999999997"/>
    <n v="0"/>
  </r>
  <r>
    <n v="221"/>
    <n v="56"/>
    <s v="Female"/>
    <n v="54"/>
    <n v="43.57"/>
    <x v="1"/>
    <x v="0"/>
    <n v="1"/>
    <n v="70.3"/>
    <n v="4"/>
    <n v="2535.67"/>
    <n v="0"/>
  </r>
  <r>
    <n v="222"/>
    <n v="19"/>
    <s v="Male"/>
    <n v="3"/>
    <n v="83.38"/>
    <x v="1"/>
    <x v="1"/>
    <n v="0"/>
    <n v="13.8"/>
    <n v="1"/>
    <n v="250.29"/>
    <n v="1"/>
  </r>
  <r>
    <n v="223"/>
    <n v="20"/>
    <s v="Female"/>
    <n v="16"/>
    <n v="110.79"/>
    <x v="1"/>
    <x v="2"/>
    <n v="3"/>
    <n v="7.8"/>
    <n v="1"/>
    <n v="1754.68"/>
    <n v="1"/>
  </r>
  <r>
    <n v="224"/>
    <n v="66"/>
    <s v="Male"/>
    <n v="57"/>
    <n v="51.62"/>
    <x v="1"/>
    <x v="2"/>
    <n v="0"/>
    <n v="83.2"/>
    <n v="10"/>
    <n v="2992.87"/>
    <n v="1"/>
  </r>
  <r>
    <n v="225"/>
    <n v="54"/>
    <s v="Female"/>
    <n v="12"/>
    <n v="78.83"/>
    <x v="0"/>
    <x v="1"/>
    <n v="1"/>
    <n v="24.9"/>
    <n v="3"/>
    <n v="969.57"/>
    <n v="0"/>
  </r>
  <r>
    <n v="226"/>
    <n v="66"/>
    <s v="Female"/>
    <n v="16"/>
    <n v="88.3"/>
    <x v="1"/>
    <x v="2"/>
    <n v="4"/>
    <n v="41"/>
    <n v="9"/>
    <n v="1291.8"/>
    <n v="0"/>
  </r>
  <r>
    <n v="227"/>
    <n v="34"/>
    <s v="Male"/>
    <n v="24"/>
    <n v="65.19"/>
    <x v="1"/>
    <x v="0"/>
    <n v="0"/>
    <n v="97.5"/>
    <n v="7"/>
    <n v="1621.7"/>
    <n v="1"/>
  </r>
  <r>
    <n v="228"/>
    <n v="66"/>
    <s v="Male"/>
    <n v="28"/>
    <n v="91.38"/>
    <x v="1"/>
    <x v="2"/>
    <n v="0"/>
    <n v="37"/>
    <n v="2"/>
    <n v="2426.58"/>
    <n v="0"/>
  </r>
  <r>
    <n v="229"/>
    <n v="19"/>
    <s v="Female"/>
    <n v="8"/>
    <n v="109.97"/>
    <x v="1"/>
    <x v="0"/>
    <n v="1"/>
    <n v="33.200000000000003"/>
    <n v="9"/>
    <n v="917.41"/>
    <n v="1"/>
  </r>
  <r>
    <n v="230"/>
    <n v="19"/>
    <s v="Male"/>
    <n v="36"/>
    <n v="82.41"/>
    <x v="1"/>
    <x v="1"/>
    <n v="2"/>
    <n v="92.2"/>
    <n v="10"/>
    <n v="3158.14"/>
    <n v="1"/>
  </r>
  <r>
    <n v="231"/>
    <n v="45"/>
    <s v="Female"/>
    <n v="8"/>
    <n v="73.98"/>
    <x v="2"/>
    <x v="0"/>
    <n v="1"/>
    <n v="15.5"/>
    <n v="2"/>
    <n v="627.82000000000005"/>
    <n v="0"/>
  </r>
  <r>
    <n v="232"/>
    <n v="40"/>
    <s v="Male"/>
    <n v="58"/>
    <n v="63.87"/>
    <x v="1"/>
    <x v="2"/>
    <n v="3"/>
    <n v="77.2"/>
    <n v="3"/>
    <n v="3743.36"/>
    <n v="0"/>
  </r>
  <r>
    <n v="233"/>
    <n v="54"/>
    <s v="Female"/>
    <n v="60"/>
    <n v="77.75"/>
    <x v="1"/>
    <x v="2"/>
    <n v="4"/>
    <n v="98.9"/>
    <n v="10"/>
    <n v="4683.82"/>
    <n v="0"/>
  </r>
  <r>
    <n v="234"/>
    <n v="49"/>
    <s v="Female"/>
    <n v="50"/>
    <n v="55.54"/>
    <x v="1"/>
    <x v="2"/>
    <n v="2"/>
    <n v="90.6"/>
    <n v="2"/>
    <n v="2578.65"/>
    <n v="1"/>
  </r>
  <r>
    <n v="235"/>
    <n v="50"/>
    <s v="Female"/>
    <n v="28"/>
    <n v="59.15"/>
    <x v="0"/>
    <x v="1"/>
    <n v="3"/>
    <n v="66.900000000000006"/>
    <n v="3"/>
    <n v="1747.41"/>
    <n v="1"/>
  </r>
  <r>
    <n v="236"/>
    <n v="18"/>
    <s v="Female"/>
    <n v="41"/>
    <n v="73.19"/>
    <x v="2"/>
    <x v="1"/>
    <n v="0"/>
    <n v="34.799999999999997"/>
    <n v="6"/>
    <n v="2863.6"/>
    <n v="0"/>
  </r>
  <r>
    <n v="237"/>
    <n v="36"/>
    <s v="Female"/>
    <n v="64"/>
    <n v="26.66"/>
    <x v="0"/>
    <x v="2"/>
    <n v="2"/>
    <n v="29.2"/>
    <n v="9"/>
    <n v="1705.11"/>
    <n v="0"/>
  </r>
  <r>
    <n v="238"/>
    <n v="19"/>
    <s v="Female"/>
    <n v="27"/>
    <n v="42.9"/>
    <x v="0"/>
    <x v="0"/>
    <n v="2"/>
    <n v="82.8"/>
    <n v="9"/>
    <n v="1108.32"/>
    <n v="0"/>
  </r>
  <r>
    <n v="239"/>
    <n v="61"/>
    <s v="Male"/>
    <n v="63"/>
    <n v="74.28"/>
    <x v="1"/>
    <x v="1"/>
    <n v="1"/>
    <n v="88.6"/>
    <n v="7"/>
    <n v="4336.93"/>
    <n v="1"/>
  </r>
  <r>
    <n v="240"/>
    <n v="43"/>
    <s v="Male"/>
    <n v="17"/>
    <n v="63.15"/>
    <x v="1"/>
    <x v="2"/>
    <n v="2"/>
    <n v="54.9"/>
    <n v="3"/>
    <n v="1101.3699999999999"/>
    <n v="0"/>
  </r>
  <r>
    <n v="241"/>
    <n v="49"/>
    <s v="Male"/>
    <n v="33"/>
    <n v="53.28"/>
    <x v="2"/>
    <x v="2"/>
    <n v="2"/>
    <n v="28.2"/>
    <n v="4"/>
    <n v="1601.52"/>
    <n v="1"/>
  </r>
  <r>
    <n v="242"/>
    <n v="23"/>
    <s v="Female"/>
    <n v="29"/>
    <n v="93.05"/>
    <x v="0"/>
    <x v="1"/>
    <n v="2"/>
    <n v="15.7"/>
    <n v="6"/>
    <n v="2832.64"/>
    <n v="1"/>
  </r>
  <r>
    <n v="243"/>
    <n v="49"/>
    <s v="Female"/>
    <n v="13"/>
    <n v="89.37"/>
    <x v="0"/>
    <x v="1"/>
    <n v="1"/>
    <n v="13.3"/>
    <n v="5"/>
    <n v="1119.42"/>
    <n v="0"/>
  </r>
  <r>
    <n v="244"/>
    <n v="21"/>
    <s v="Female"/>
    <n v="46"/>
    <n v="36.67"/>
    <x v="0"/>
    <x v="1"/>
    <n v="3"/>
    <n v="73.3"/>
    <n v="2"/>
    <n v="1518.18"/>
    <n v="1"/>
  </r>
  <r>
    <n v="245"/>
    <n v="28"/>
    <s v="Female"/>
    <n v="35"/>
    <n v="107.86"/>
    <x v="0"/>
    <x v="0"/>
    <n v="4"/>
    <n v="44.9"/>
    <n v="6"/>
    <n v="3783.5"/>
    <n v="0"/>
  </r>
  <r>
    <n v="246"/>
    <n v="34"/>
    <s v="Male"/>
    <n v="6"/>
    <n v="69.540000000000006"/>
    <x v="0"/>
    <x v="0"/>
    <n v="2"/>
    <n v="91"/>
    <n v="3"/>
    <n v="379.43"/>
    <n v="1"/>
  </r>
  <r>
    <n v="247"/>
    <n v="55"/>
    <s v="Male"/>
    <n v="69"/>
    <n v="94.15"/>
    <x v="2"/>
    <x v="2"/>
    <n v="3"/>
    <n v="75.3"/>
    <n v="8"/>
    <n v="6205.53"/>
    <n v="1"/>
  </r>
  <r>
    <n v="248"/>
    <n v="41"/>
    <s v="Female"/>
    <n v="47"/>
    <n v="77.319999999999993"/>
    <x v="2"/>
    <x v="1"/>
    <n v="3"/>
    <n v="23.2"/>
    <n v="2"/>
    <n v="3784.47"/>
    <n v="1"/>
  </r>
  <r>
    <n v="249"/>
    <n v="22"/>
    <s v="Male"/>
    <n v="25"/>
    <n v="119.77"/>
    <x v="0"/>
    <x v="0"/>
    <n v="3"/>
    <n v="63.3"/>
    <n v="1"/>
    <n v="2732.37"/>
    <n v="1"/>
  </r>
  <r>
    <n v="250"/>
    <n v="69"/>
    <s v="Male"/>
    <n v="66"/>
    <n v="95.24"/>
    <x v="0"/>
    <x v="1"/>
    <n v="5"/>
    <n v="46.4"/>
    <n v="9"/>
    <n v="6712.45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n v="56"/>
    <s v="Female"/>
    <n v="58"/>
    <n v="28.27"/>
    <x v="0"/>
    <s v="Credit Card"/>
    <n v="2"/>
    <n v="52.7"/>
    <x v="0"/>
    <n v="1614.09"/>
    <x v="0"/>
    <x v="0"/>
    <x v="0"/>
    <x v="0"/>
    <x v="0"/>
  </r>
  <r>
    <x v="1"/>
    <n v="69"/>
    <s v="Female"/>
    <n v="63"/>
    <n v="107.67"/>
    <x v="0"/>
    <s v="Credit Card"/>
    <n v="1"/>
    <n v="16.8"/>
    <x v="1"/>
    <n v="6505.15"/>
    <x v="0"/>
    <x v="0"/>
    <x v="1"/>
    <x v="0"/>
    <x v="1"/>
  </r>
  <r>
    <x v="2"/>
    <n v="46"/>
    <s v="Female"/>
    <n v="62"/>
    <n v="75.16"/>
    <x v="1"/>
    <s v="Bank Transfer"/>
    <n v="1"/>
    <n v="41.6"/>
    <x v="2"/>
    <n v="4646.87"/>
    <x v="1"/>
    <x v="0"/>
    <x v="0"/>
    <x v="1"/>
    <x v="2"/>
  </r>
  <r>
    <x v="3"/>
    <n v="32"/>
    <s v="Male"/>
    <n v="22"/>
    <n v="36.479999999999997"/>
    <x v="1"/>
    <s v="PayPal"/>
    <n v="1"/>
    <n v="66.099999999999994"/>
    <x v="3"/>
    <n v="814.95"/>
    <x v="0"/>
    <x v="1"/>
    <x v="1"/>
    <x v="0"/>
    <x v="1"/>
  </r>
  <r>
    <x v="4"/>
    <n v="60"/>
    <s v="Male"/>
    <n v="58"/>
    <n v="61.13"/>
    <x v="0"/>
    <s v="Bank Transfer"/>
    <n v="3"/>
    <n v="79.099999999999994"/>
    <x v="1"/>
    <n v="3222"/>
    <x v="0"/>
    <x v="0"/>
    <x v="1"/>
    <x v="2"/>
    <x v="0"/>
  </r>
  <r>
    <x v="5"/>
    <n v="25"/>
    <s v="Female"/>
    <n v="58"/>
    <n v="97.76"/>
    <x v="1"/>
    <s v="PayPal"/>
    <n v="2"/>
    <n v="25.6"/>
    <x v="4"/>
    <n v="5242.5600000000004"/>
    <x v="0"/>
    <x v="0"/>
    <x v="1"/>
    <x v="0"/>
    <x v="1"/>
  </r>
  <r>
    <x v="6"/>
    <n v="38"/>
    <s v="Female"/>
    <n v="49"/>
    <n v="68.040000000000006"/>
    <x v="0"/>
    <s v="Credit Card"/>
    <n v="2"/>
    <n v="18.100000000000001"/>
    <x v="5"/>
    <n v="3373.06"/>
    <x v="0"/>
    <x v="0"/>
    <x v="1"/>
    <x v="0"/>
    <x v="1"/>
  </r>
  <r>
    <x v="7"/>
    <n v="56"/>
    <s v="Male"/>
    <n v="52"/>
    <n v="118.53"/>
    <x v="1"/>
    <s v="PayPal"/>
    <n v="3"/>
    <n v="68"/>
    <x v="5"/>
    <n v="5970.23"/>
    <x v="1"/>
    <x v="0"/>
    <x v="1"/>
    <x v="0"/>
    <x v="1"/>
  </r>
  <r>
    <x v="8"/>
    <n v="36"/>
    <s v="Male"/>
    <n v="42"/>
    <n v="57.67"/>
    <x v="1"/>
    <s v="Bank Transfer"/>
    <n v="0"/>
    <n v="5.2"/>
    <x v="3"/>
    <n v="2533.16"/>
    <x v="0"/>
    <x v="0"/>
    <x v="1"/>
    <x v="1"/>
    <x v="1"/>
  </r>
  <r>
    <x v="9"/>
    <n v="40"/>
    <s v="Female"/>
    <n v="70"/>
    <n v="94.96"/>
    <x v="1"/>
    <s v="Credit Card"/>
    <n v="5"/>
    <n v="21.9"/>
    <x v="6"/>
    <n v="6849.66"/>
    <x v="1"/>
    <x v="0"/>
    <x v="2"/>
    <x v="1"/>
    <x v="1"/>
  </r>
  <r>
    <x v="10"/>
    <n v="28"/>
    <s v="Male"/>
    <n v="15"/>
    <n v="59.3"/>
    <x v="1"/>
    <s v="Bank Transfer"/>
    <n v="1"/>
    <n v="7.8"/>
    <x v="6"/>
    <n v="950.98"/>
    <x v="1"/>
    <x v="1"/>
    <x v="2"/>
    <x v="1"/>
    <x v="0"/>
  </r>
  <r>
    <x v="11"/>
    <n v="28"/>
    <s v="Female"/>
    <n v="54"/>
    <n v="102.92"/>
    <x v="0"/>
    <s v="Bank Transfer"/>
    <n v="3"/>
    <n v="20.9"/>
    <x v="7"/>
    <n v="5771.64"/>
    <x v="1"/>
    <x v="0"/>
    <x v="2"/>
    <x v="0"/>
    <x v="0"/>
  </r>
  <r>
    <x v="12"/>
    <n v="41"/>
    <s v="Female"/>
    <n v="60"/>
    <n v="76.91"/>
    <x v="1"/>
    <s v="PayPal"/>
    <n v="0"/>
    <n v="22.2"/>
    <x v="0"/>
    <n v="4549.93"/>
    <x v="1"/>
    <x v="0"/>
    <x v="0"/>
    <x v="2"/>
    <x v="0"/>
  </r>
  <r>
    <x v="13"/>
    <n v="53"/>
    <s v="Male"/>
    <n v="8"/>
    <n v="26.35"/>
    <x v="1"/>
    <s v="Bank Transfer"/>
    <n v="1"/>
    <n v="41.8"/>
    <x v="8"/>
    <n v="218.09"/>
    <x v="0"/>
    <x v="2"/>
    <x v="3"/>
    <x v="2"/>
    <x v="1"/>
  </r>
  <r>
    <x v="14"/>
    <n v="57"/>
    <s v="Male"/>
    <n v="53"/>
    <n v="23.68"/>
    <x v="1"/>
    <s v="PayPal"/>
    <n v="1"/>
    <n v="43.2"/>
    <x v="4"/>
    <n v="1198.6600000000001"/>
    <x v="1"/>
    <x v="0"/>
    <x v="1"/>
    <x v="0"/>
    <x v="1"/>
  </r>
  <r>
    <x v="15"/>
    <n v="41"/>
    <s v="Female"/>
    <n v="60"/>
    <n v="33.39"/>
    <x v="1"/>
    <s v="Credit Card"/>
    <n v="3"/>
    <n v="88.1"/>
    <x v="1"/>
    <n v="1925.79"/>
    <x v="0"/>
    <x v="0"/>
    <x v="1"/>
    <x v="2"/>
    <x v="2"/>
  </r>
  <r>
    <x v="16"/>
    <n v="20"/>
    <s v="Female"/>
    <n v="5"/>
    <n v="21.37"/>
    <x v="0"/>
    <s v="PayPal"/>
    <n v="3"/>
    <n v="53.5"/>
    <x v="6"/>
    <n v="113.03"/>
    <x v="1"/>
    <x v="3"/>
    <x v="2"/>
    <x v="0"/>
    <x v="0"/>
  </r>
  <r>
    <x v="17"/>
    <n v="39"/>
    <s v="Male"/>
    <n v="68"/>
    <n v="27.54"/>
    <x v="1"/>
    <s v="Credit Card"/>
    <n v="2"/>
    <n v="73.7"/>
    <x v="7"/>
    <n v="1852.65"/>
    <x v="1"/>
    <x v="0"/>
    <x v="2"/>
    <x v="0"/>
    <x v="0"/>
  </r>
  <r>
    <x v="18"/>
    <n v="19"/>
    <s v="Female"/>
    <n v="6"/>
    <n v="89.17"/>
    <x v="1"/>
    <s v="PayPal"/>
    <n v="6"/>
    <n v="14.9"/>
    <x v="7"/>
    <n v="566.95000000000005"/>
    <x v="0"/>
    <x v="3"/>
    <x v="2"/>
    <x v="1"/>
    <x v="1"/>
  </r>
  <r>
    <x v="19"/>
    <n v="41"/>
    <s v="Male"/>
    <n v="47"/>
    <n v="73.430000000000007"/>
    <x v="1"/>
    <s v="Bank Transfer"/>
    <n v="3"/>
    <n v="26.4"/>
    <x v="3"/>
    <n v="3673.76"/>
    <x v="0"/>
    <x v="0"/>
    <x v="1"/>
    <x v="1"/>
    <x v="1"/>
  </r>
  <r>
    <x v="20"/>
    <n v="61"/>
    <s v="Female"/>
    <n v="55"/>
    <n v="94.99"/>
    <x v="0"/>
    <s v="PayPal"/>
    <n v="4"/>
    <n v="71.8"/>
    <x v="4"/>
    <n v="5598.06"/>
    <x v="1"/>
    <x v="0"/>
    <x v="1"/>
    <x v="0"/>
    <x v="1"/>
  </r>
  <r>
    <x v="21"/>
    <n v="47"/>
    <s v="Male"/>
    <n v="40"/>
    <n v="111.32"/>
    <x v="1"/>
    <s v="PayPal"/>
    <n v="1"/>
    <n v="10"/>
    <x v="9"/>
    <n v="4823.84"/>
    <x v="0"/>
    <x v="0"/>
    <x v="3"/>
    <x v="1"/>
    <x v="1"/>
  </r>
  <r>
    <x v="22"/>
    <n v="55"/>
    <s v="Male"/>
    <n v="52"/>
    <n v="78.510000000000005"/>
    <x v="0"/>
    <s v="Credit Card"/>
    <n v="0"/>
    <n v="51.2"/>
    <x v="8"/>
    <n v="4026.17"/>
    <x v="0"/>
    <x v="0"/>
    <x v="3"/>
    <x v="1"/>
    <x v="2"/>
  </r>
  <r>
    <x v="23"/>
    <n v="19"/>
    <s v="Male"/>
    <n v="16"/>
    <n v="92.61"/>
    <x v="2"/>
    <s v="Bank Transfer"/>
    <n v="1"/>
    <n v="61.9"/>
    <x v="0"/>
    <n v="1428.08"/>
    <x v="1"/>
    <x v="1"/>
    <x v="0"/>
    <x v="2"/>
    <x v="2"/>
  </r>
  <r>
    <x v="24"/>
    <n v="38"/>
    <s v="Female"/>
    <n v="13"/>
    <n v="95.71"/>
    <x v="1"/>
    <s v="PayPal"/>
    <n v="1"/>
    <n v="62.2"/>
    <x v="2"/>
    <n v="1264.68"/>
    <x v="1"/>
    <x v="1"/>
    <x v="0"/>
    <x v="2"/>
    <x v="2"/>
  </r>
  <r>
    <x v="25"/>
    <n v="50"/>
    <s v="Female"/>
    <n v="30"/>
    <n v="57.79"/>
    <x v="1"/>
    <s v="Bank Transfer"/>
    <n v="4"/>
    <n v="7.2"/>
    <x v="3"/>
    <n v="1689.03"/>
    <x v="1"/>
    <x v="0"/>
    <x v="1"/>
    <x v="1"/>
    <x v="1"/>
  </r>
  <r>
    <x v="26"/>
    <n v="29"/>
    <s v="Male"/>
    <n v="19"/>
    <n v="44.11"/>
    <x v="1"/>
    <s v="PayPal"/>
    <n v="1"/>
    <n v="35.6"/>
    <x v="8"/>
    <n v="855.03"/>
    <x v="1"/>
    <x v="1"/>
    <x v="3"/>
    <x v="0"/>
    <x v="1"/>
  </r>
  <r>
    <x v="27"/>
    <n v="39"/>
    <s v="Female"/>
    <n v="17"/>
    <n v="40.5"/>
    <x v="1"/>
    <s v="PayPal"/>
    <n v="2"/>
    <n v="65.5"/>
    <x v="2"/>
    <n v="716.81"/>
    <x v="1"/>
    <x v="1"/>
    <x v="0"/>
    <x v="0"/>
    <x v="1"/>
  </r>
  <r>
    <x v="28"/>
    <n v="61"/>
    <s v="Male"/>
    <n v="63"/>
    <n v="45.14"/>
    <x v="0"/>
    <s v="Bank Transfer"/>
    <n v="1"/>
    <n v="19.2"/>
    <x v="2"/>
    <n v="2950.98"/>
    <x v="1"/>
    <x v="0"/>
    <x v="0"/>
    <x v="0"/>
    <x v="1"/>
  </r>
  <r>
    <x v="29"/>
    <n v="42"/>
    <s v="Male"/>
    <n v="19"/>
    <n v="47.47"/>
    <x v="2"/>
    <s v="PayPal"/>
    <n v="1"/>
    <n v="71.099999999999994"/>
    <x v="4"/>
    <n v="879.3"/>
    <x v="0"/>
    <x v="1"/>
    <x v="1"/>
    <x v="2"/>
    <x v="1"/>
  </r>
  <r>
    <x v="30"/>
    <n v="66"/>
    <s v="Female"/>
    <n v="58"/>
    <n v="40.72"/>
    <x v="1"/>
    <s v="Bank Transfer"/>
    <n v="2"/>
    <n v="75.900000000000006"/>
    <x v="4"/>
    <n v="2204.4"/>
    <x v="0"/>
    <x v="0"/>
    <x v="1"/>
    <x v="2"/>
    <x v="1"/>
  </r>
  <r>
    <x v="31"/>
    <n v="44"/>
    <s v="Female"/>
    <n v="55"/>
    <n v="107.82"/>
    <x v="1"/>
    <s v="PayPal"/>
    <n v="2"/>
    <n v="98.3"/>
    <x v="1"/>
    <n v="5847.71"/>
    <x v="1"/>
    <x v="0"/>
    <x v="1"/>
    <x v="2"/>
    <x v="1"/>
  </r>
  <r>
    <x v="32"/>
    <n v="59"/>
    <s v="Male"/>
    <n v="62"/>
    <n v="95.7"/>
    <x v="1"/>
    <s v="Credit Card"/>
    <n v="4"/>
    <n v="24.9"/>
    <x v="7"/>
    <n v="5509.27"/>
    <x v="1"/>
    <x v="0"/>
    <x v="2"/>
    <x v="0"/>
    <x v="1"/>
  </r>
  <r>
    <x v="33"/>
    <n v="45"/>
    <s v="Female"/>
    <n v="23"/>
    <n v="24.69"/>
    <x v="0"/>
    <s v="Bank Transfer"/>
    <n v="5"/>
    <n v="83.4"/>
    <x v="8"/>
    <n v="612.16999999999996"/>
    <x v="0"/>
    <x v="1"/>
    <x v="3"/>
    <x v="2"/>
    <x v="1"/>
  </r>
  <r>
    <x v="34"/>
    <n v="33"/>
    <s v="Female"/>
    <n v="9"/>
    <n v="46.87"/>
    <x v="1"/>
    <s v="PayPal"/>
    <n v="0"/>
    <n v="54.4"/>
    <x v="3"/>
    <n v="408.83"/>
    <x v="0"/>
    <x v="2"/>
    <x v="1"/>
    <x v="0"/>
    <x v="1"/>
  </r>
  <r>
    <x v="35"/>
    <n v="32"/>
    <s v="Male"/>
    <n v="12"/>
    <n v="22.22"/>
    <x v="1"/>
    <s v="PayPal"/>
    <n v="1"/>
    <n v="40.5"/>
    <x v="5"/>
    <n v="248.21"/>
    <x v="1"/>
    <x v="2"/>
    <x v="1"/>
    <x v="0"/>
    <x v="1"/>
  </r>
  <r>
    <x v="36"/>
    <n v="64"/>
    <s v="Male"/>
    <n v="1"/>
    <n v="69.819999999999993"/>
    <x v="2"/>
    <s v="Credit Card"/>
    <n v="1"/>
    <n v="16.600000000000001"/>
    <x v="3"/>
    <n v="63.19"/>
    <x v="1"/>
    <x v="4"/>
    <x v="1"/>
    <x v="0"/>
    <x v="1"/>
  </r>
  <r>
    <x v="37"/>
    <n v="68"/>
    <s v="Female"/>
    <n v="58"/>
    <n v="67.62"/>
    <x v="0"/>
    <s v="Bank Transfer"/>
    <n v="3"/>
    <n v="74.900000000000006"/>
    <x v="1"/>
    <n v="4036.34"/>
    <x v="1"/>
    <x v="0"/>
    <x v="1"/>
    <x v="0"/>
    <x v="1"/>
  </r>
  <r>
    <x v="38"/>
    <n v="61"/>
    <s v="Male"/>
    <n v="1"/>
    <n v="103.14"/>
    <x v="1"/>
    <s v="PayPal"/>
    <n v="2"/>
    <n v="27.4"/>
    <x v="0"/>
    <n v="105.96"/>
    <x v="0"/>
    <x v="4"/>
    <x v="0"/>
    <x v="0"/>
    <x v="1"/>
  </r>
  <r>
    <x v="39"/>
    <n v="69"/>
    <s v="Male"/>
    <n v="34"/>
    <n v="50.78"/>
    <x v="0"/>
    <s v="Credit Card"/>
    <n v="2"/>
    <n v="40.299999999999997"/>
    <x v="7"/>
    <n v="1671.48"/>
    <x v="1"/>
    <x v="0"/>
    <x v="2"/>
    <x v="0"/>
    <x v="1"/>
  </r>
  <r>
    <x v="40"/>
    <n v="20"/>
    <s v="Female"/>
    <n v="48"/>
    <n v="101.64"/>
    <x v="0"/>
    <s v="PayPal"/>
    <n v="3"/>
    <n v="10.9"/>
    <x v="5"/>
    <n v="4460.82"/>
    <x v="0"/>
    <x v="0"/>
    <x v="1"/>
    <x v="0"/>
    <x v="1"/>
  </r>
  <r>
    <x v="41"/>
    <n v="54"/>
    <s v="Male"/>
    <n v="1"/>
    <n v="116.8"/>
    <x v="1"/>
    <s v="Bank Transfer"/>
    <n v="0"/>
    <n v="81.099999999999994"/>
    <x v="6"/>
    <n v="114.69"/>
    <x v="0"/>
    <x v="4"/>
    <x v="2"/>
    <x v="2"/>
    <x v="1"/>
  </r>
  <r>
    <x v="42"/>
    <n v="68"/>
    <s v="Male"/>
    <n v="16"/>
    <n v="28.84"/>
    <x v="1"/>
    <s v="PayPal"/>
    <n v="2"/>
    <n v="77.8"/>
    <x v="0"/>
    <n v="444.02"/>
    <x v="0"/>
    <x v="1"/>
    <x v="0"/>
    <x v="2"/>
    <x v="1"/>
  </r>
  <r>
    <x v="43"/>
    <n v="24"/>
    <s v="Female"/>
    <n v="61"/>
    <n v="99.18"/>
    <x v="1"/>
    <s v="PayPal"/>
    <n v="4"/>
    <n v="74.7"/>
    <x v="4"/>
    <n v="6264.3"/>
    <x v="1"/>
    <x v="0"/>
    <x v="1"/>
    <x v="0"/>
    <x v="1"/>
  </r>
  <r>
    <x v="44"/>
    <n v="38"/>
    <s v="Female"/>
    <n v="64"/>
    <n v="79"/>
    <x v="1"/>
    <s v="PayPal"/>
    <n v="5"/>
    <n v="33.4"/>
    <x v="2"/>
    <n v="5162.96"/>
    <x v="0"/>
    <x v="0"/>
    <x v="0"/>
    <x v="0"/>
    <x v="1"/>
  </r>
  <r>
    <x v="45"/>
    <n v="26"/>
    <s v="Male"/>
    <n v="63"/>
    <n v="68"/>
    <x v="0"/>
    <s v="PayPal"/>
    <n v="4"/>
    <n v="21.5"/>
    <x v="6"/>
    <n v="4167.9799999999996"/>
    <x v="1"/>
    <x v="0"/>
    <x v="2"/>
    <x v="0"/>
    <x v="1"/>
  </r>
  <r>
    <x v="46"/>
    <n v="56"/>
    <s v="Male"/>
    <n v="69"/>
    <n v="62.05"/>
    <x v="2"/>
    <s v="Credit Card"/>
    <n v="0"/>
    <n v="65.599999999999994"/>
    <x v="3"/>
    <n v="4039.88"/>
    <x v="1"/>
    <x v="0"/>
    <x v="1"/>
    <x v="0"/>
    <x v="1"/>
  </r>
  <r>
    <x v="47"/>
    <n v="35"/>
    <s v="Female"/>
    <n v="22"/>
    <n v="98.47"/>
    <x v="1"/>
    <s v="Credit Card"/>
    <n v="1"/>
    <n v="52.1"/>
    <x v="3"/>
    <n v="2377.79"/>
    <x v="0"/>
    <x v="1"/>
    <x v="1"/>
    <x v="0"/>
    <x v="1"/>
  </r>
  <r>
    <x v="48"/>
    <n v="21"/>
    <s v="Female"/>
    <n v="67"/>
    <n v="83.94"/>
    <x v="1"/>
    <s v="Bank Transfer"/>
    <n v="3"/>
    <n v="21.9"/>
    <x v="4"/>
    <n v="5572.24"/>
    <x v="1"/>
    <x v="0"/>
    <x v="1"/>
    <x v="0"/>
    <x v="1"/>
  </r>
  <r>
    <x v="49"/>
    <n v="42"/>
    <s v="Female"/>
    <n v="26"/>
    <n v="100.5"/>
    <x v="1"/>
    <s v="Credit Card"/>
    <n v="2"/>
    <n v="70.2"/>
    <x v="1"/>
    <n v="2711.39"/>
    <x v="0"/>
    <x v="0"/>
    <x v="1"/>
    <x v="0"/>
    <x v="1"/>
  </r>
  <r>
    <x v="50"/>
    <n v="31"/>
    <s v="Female"/>
    <n v="16"/>
    <n v="110.32"/>
    <x v="1"/>
    <s v="Credit Card"/>
    <n v="3"/>
    <n v="99.2"/>
    <x v="8"/>
    <n v="1638.23"/>
    <x v="1"/>
    <x v="1"/>
    <x v="3"/>
    <x v="2"/>
    <x v="1"/>
  </r>
  <r>
    <x v="51"/>
    <n v="67"/>
    <s v="Male"/>
    <n v="51"/>
    <n v="81.73"/>
    <x v="0"/>
    <s v="Bank Transfer"/>
    <n v="1"/>
    <n v="76"/>
    <x v="6"/>
    <n v="4156.22"/>
    <x v="1"/>
    <x v="0"/>
    <x v="2"/>
    <x v="2"/>
    <x v="1"/>
  </r>
  <r>
    <x v="52"/>
    <n v="26"/>
    <s v="Female"/>
    <n v="57"/>
    <n v="118.05"/>
    <x v="1"/>
    <s v="Credit Card"/>
    <n v="2"/>
    <n v="75.3"/>
    <x v="6"/>
    <n v="6093.02"/>
    <x v="1"/>
    <x v="0"/>
    <x v="2"/>
    <x v="2"/>
    <x v="1"/>
  </r>
  <r>
    <x v="53"/>
    <n v="43"/>
    <s v="Female"/>
    <n v="29"/>
    <n v="80.81"/>
    <x v="1"/>
    <s v="Credit Card"/>
    <n v="1"/>
    <n v="95.3"/>
    <x v="9"/>
    <n v="2346.0500000000002"/>
    <x v="1"/>
    <x v="0"/>
    <x v="3"/>
    <x v="2"/>
    <x v="1"/>
  </r>
  <r>
    <x v="54"/>
    <n v="19"/>
    <s v="Male"/>
    <n v="69"/>
    <n v="83.66"/>
    <x v="1"/>
    <s v="Bank Transfer"/>
    <n v="1"/>
    <n v="24.3"/>
    <x v="0"/>
    <n v="6308.25"/>
    <x v="0"/>
    <x v="0"/>
    <x v="0"/>
    <x v="0"/>
    <x v="1"/>
  </r>
  <r>
    <x v="55"/>
    <n v="37"/>
    <s v="Female"/>
    <n v="47"/>
    <n v="75.48"/>
    <x v="0"/>
    <s v="Bank Transfer"/>
    <n v="1"/>
    <n v="58.7"/>
    <x v="7"/>
    <n v="3465.4"/>
    <x v="0"/>
    <x v="0"/>
    <x v="2"/>
    <x v="0"/>
    <x v="1"/>
  </r>
  <r>
    <x v="56"/>
    <n v="45"/>
    <s v="Male"/>
    <n v="62"/>
    <n v="29.1"/>
    <x v="1"/>
    <s v="Bank Transfer"/>
    <n v="3"/>
    <n v="98.1"/>
    <x v="0"/>
    <n v="1637.85"/>
    <x v="1"/>
    <x v="0"/>
    <x v="0"/>
    <x v="0"/>
    <x v="1"/>
  </r>
  <r>
    <x v="57"/>
    <n v="64"/>
    <s v="Female"/>
    <n v="69"/>
    <n v="92.64"/>
    <x v="0"/>
    <s v="PayPal"/>
    <n v="5"/>
    <n v="20.7"/>
    <x v="8"/>
    <n v="5792.52"/>
    <x v="1"/>
    <x v="0"/>
    <x v="3"/>
    <x v="0"/>
    <x v="1"/>
  </r>
  <r>
    <x v="58"/>
    <n v="24"/>
    <s v="Female"/>
    <n v="16"/>
    <n v="74.739999999999995"/>
    <x v="1"/>
    <s v="PayPal"/>
    <n v="2"/>
    <n v="71.5"/>
    <x v="3"/>
    <n v="1169.05"/>
    <x v="0"/>
    <x v="1"/>
    <x v="1"/>
    <x v="0"/>
    <x v="1"/>
  </r>
  <r>
    <x v="59"/>
    <n v="61"/>
    <s v="Female"/>
    <n v="48"/>
    <n v="65.09"/>
    <x v="0"/>
    <s v="Bank Transfer"/>
    <n v="3"/>
    <n v="60.7"/>
    <x v="3"/>
    <n v="2911.88"/>
    <x v="1"/>
    <x v="0"/>
    <x v="1"/>
    <x v="0"/>
    <x v="1"/>
  </r>
  <r>
    <x v="60"/>
    <n v="25"/>
    <s v="Male"/>
    <n v="39"/>
    <n v="111.05"/>
    <x v="0"/>
    <s v="Bank Transfer"/>
    <n v="3"/>
    <n v="60.7"/>
    <x v="3"/>
    <n v="3918.08"/>
    <x v="0"/>
    <x v="0"/>
    <x v="1"/>
    <x v="0"/>
    <x v="1"/>
  </r>
  <r>
    <x v="61"/>
    <n v="64"/>
    <s v="Male"/>
    <n v="33"/>
    <n v="49.8"/>
    <x v="1"/>
    <s v="Bank Transfer"/>
    <n v="3"/>
    <n v="71.3"/>
    <x v="9"/>
    <n v="1727.61"/>
    <x v="1"/>
    <x v="0"/>
    <x v="3"/>
    <x v="2"/>
    <x v="1"/>
  </r>
  <r>
    <x v="62"/>
    <n v="52"/>
    <s v="Female"/>
    <n v="23"/>
    <n v="72.36"/>
    <x v="1"/>
    <s v="PayPal"/>
    <n v="3"/>
    <n v="93.3"/>
    <x v="3"/>
    <n v="1650.47"/>
    <x v="0"/>
    <x v="1"/>
    <x v="1"/>
    <x v="0"/>
    <x v="1"/>
  </r>
  <r>
    <x v="63"/>
    <n v="31"/>
    <s v="Male"/>
    <n v="10"/>
    <n v="89.76"/>
    <x v="2"/>
    <s v="PayPal"/>
    <n v="2"/>
    <n v="79.3"/>
    <x v="8"/>
    <n v="859.77"/>
    <x v="1"/>
    <x v="2"/>
    <x v="3"/>
    <x v="0"/>
    <x v="1"/>
  </r>
  <r>
    <x v="64"/>
    <n v="34"/>
    <s v="Male"/>
    <n v="69"/>
    <n v="99.65"/>
    <x v="2"/>
    <s v="Credit Card"/>
    <n v="0"/>
    <n v="10.3"/>
    <x v="4"/>
    <n v="7426.03"/>
    <x v="0"/>
    <x v="0"/>
    <x v="1"/>
    <x v="0"/>
    <x v="1"/>
  </r>
  <r>
    <x v="65"/>
    <n v="53"/>
    <s v="Male"/>
    <n v="34"/>
    <n v="65.930000000000007"/>
    <x v="1"/>
    <s v="Credit Card"/>
    <n v="1"/>
    <n v="86"/>
    <x v="7"/>
    <n v="2069.5300000000002"/>
    <x v="0"/>
    <x v="0"/>
    <x v="2"/>
    <x v="2"/>
    <x v="1"/>
  </r>
  <r>
    <x v="66"/>
    <n v="67"/>
    <s v="Male"/>
    <n v="52"/>
    <n v="104.21"/>
    <x v="1"/>
    <s v="Bank Transfer"/>
    <n v="3"/>
    <n v="26.4"/>
    <x v="8"/>
    <n v="5913.04"/>
    <x v="0"/>
    <x v="0"/>
    <x v="3"/>
    <x v="0"/>
    <x v="1"/>
  </r>
  <r>
    <x v="67"/>
    <n v="57"/>
    <s v="Male"/>
    <n v="10"/>
    <n v="96.89"/>
    <x v="2"/>
    <s v="PayPal"/>
    <n v="0"/>
    <n v="40.799999999999997"/>
    <x v="7"/>
    <n v="932.85"/>
    <x v="0"/>
    <x v="2"/>
    <x v="2"/>
    <x v="0"/>
    <x v="1"/>
  </r>
  <r>
    <x v="68"/>
    <n v="21"/>
    <s v="Male"/>
    <n v="19"/>
    <n v="26.62"/>
    <x v="1"/>
    <s v="PayPal"/>
    <n v="2"/>
    <n v="48.9"/>
    <x v="8"/>
    <n v="545.07000000000005"/>
    <x v="1"/>
    <x v="1"/>
    <x v="3"/>
    <x v="2"/>
    <x v="1"/>
  </r>
  <r>
    <x v="69"/>
    <n v="19"/>
    <s v="Female"/>
    <n v="58"/>
    <n v="24.59"/>
    <x v="1"/>
    <s v="PayPal"/>
    <n v="1"/>
    <n v="50.7"/>
    <x v="3"/>
    <n v="1455.58"/>
    <x v="0"/>
    <x v="0"/>
    <x v="1"/>
    <x v="0"/>
    <x v="1"/>
  </r>
  <r>
    <x v="70"/>
    <n v="23"/>
    <s v="Female"/>
    <n v="1"/>
    <n v="82.08"/>
    <x v="2"/>
    <s v="Bank Transfer"/>
    <n v="3"/>
    <n v="46.3"/>
    <x v="4"/>
    <n v="87.44"/>
    <x v="1"/>
    <x v="4"/>
    <x v="1"/>
    <x v="0"/>
    <x v="1"/>
  </r>
  <r>
    <x v="71"/>
    <n v="59"/>
    <s v="Male"/>
    <n v="69"/>
    <n v="54.74"/>
    <x v="1"/>
    <s v="Credit Card"/>
    <n v="2"/>
    <n v="94"/>
    <x v="6"/>
    <n v="4142.6899999999996"/>
    <x v="0"/>
    <x v="0"/>
    <x v="2"/>
    <x v="2"/>
    <x v="1"/>
  </r>
  <r>
    <x v="72"/>
    <n v="21"/>
    <s v="Female"/>
    <n v="4"/>
    <n v="40.909999999999997"/>
    <x v="1"/>
    <s v="Bank Transfer"/>
    <n v="2"/>
    <n v="72.099999999999994"/>
    <x v="0"/>
    <n v="156.71"/>
    <x v="0"/>
    <x v="3"/>
    <x v="0"/>
    <x v="2"/>
    <x v="1"/>
  </r>
  <r>
    <x v="73"/>
    <n v="46"/>
    <s v="Female"/>
    <n v="16"/>
    <n v="77.959999999999994"/>
    <x v="1"/>
    <s v="Credit Card"/>
    <n v="1"/>
    <n v="65"/>
    <x v="2"/>
    <n v="1362.4"/>
    <x v="0"/>
    <x v="1"/>
    <x v="0"/>
    <x v="0"/>
    <x v="1"/>
  </r>
  <r>
    <x v="74"/>
    <n v="35"/>
    <s v="Female"/>
    <n v="24"/>
    <n v="54.16"/>
    <x v="1"/>
    <s v="Credit Card"/>
    <n v="3"/>
    <n v="9.6999999999999993"/>
    <x v="4"/>
    <n v="1271.1099999999999"/>
    <x v="0"/>
    <x v="1"/>
    <x v="1"/>
    <x v="0"/>
    <x v="1"/>
  </r>
  <r>
    <x v="75"/>
    <n v="43"/>
    <s v="Female"/>
    <n v="2"/>
    <n v="73.73"/>
    <x v="1"/>
    <s v="Bank Transfer"/>
    <n v="2"/>
    <n v="90.9"/>
    <x v="6"/>
    <n v="144.08000000000001"/>
    <x v="0"/>
    <x v="4"/>
    <x v="2"/>
    <x v="2"/>
    <x v="1"/>
  </r>
  <r>
    <x v="76"/>
    <n v="61"/>
    <s v="Male"/>
    <n v="32"/>
    <n v="66.010000000000005"/>
    <x v="0"/>
    <s v="Credit Card"/>
    <n v="3"/>
    <n v="91.4"/>
    <x v="1"/>
    <n v="2044.89"/>
    <x v="1"/>
    <x v="0"/>
    <x v="1"/>
    <x v="2"/>
    <x v="1"/>
  </r>
  <r>
    <x v="77"/>
    <n v="51"/>
    <s v="Female"/>
    <n v="24"/>
    <n v="78.48"/>
    <x v="1"/>
    <s v="Credit Card"/>
    <n v="3"/>
    <n v="79.099999999999994"/>
    <x v="8"/>
    <n v="1899.12"/>
    <x v="1"/>
    <x v="1"/>
    <x v="3"/>
    <x v="0"/>
    <x v="1"/>
  </r>
  <r>
    <x v="78"/>
    <n v="27"/>
    <s v="Female"/>
    <n v="12"/>
    <n v="60.03"/>
    <x v="1"/>
    <s v="PayPal"/>
    <n v="1"/>
    <n v="5.7"/>
    <x v="1"/>
    <n v="670.53"/>
    <x v="0"/>
    <x v="2"/>
    <x v="1"/>
    <x v="0"/>
    <x v="1"/>
  </r>
  <r>
    <x v="79"/>
    <n v="53"/>
    <s v="Male"/>
    <n v="50"/>
    <n v="89.77"/>
    <x v="1"/>
    <s v="Credit Card"/>
    <n v="1"/>
    <n v="10.4"/>
    <x v="6"/>
    <n v="4536.72"/>
    <x v="1"/>
    <x v="0"/>
    <x v="2"/>
    <x v="0"/>
    <x v="1"/>
  </r>
  <r>
    <x v="80"/>
    <n v="31"/>
    <s v="Male"/>
    <n v="35"/>
    <n v="38.01"/>
    <x v="1"/>
    <s v="Bank Transfer"/>
    <n v="2"/>
    <n v="26.4"/>
    <x v="4"/>
    <n v="1341.45"/>
    <x v="0"/>
    <x v="0"/>
    <x v="1"/>
    <x v="0"/>
    <x v="1"/>
  </r>
  <r>
    <x v="81"/>
    <n v="48"/>
    <s v="Female"/>
    <n v="33"/>
    <n v="89.65"/>
    <x v="2"/>
    <s v="Bank Transfer"/>
    <n v="0"/>
    <n v="17.5"/>
    <x v="8"/>
    <n v="3113.41"/>
    <x v="0"/>
    <x v="0"/>
    <x v="3"/>
    <x v="0"/>
    <x v="1"/>
  </r>
  <r>
    <x v="82"/>
    <n v="65"/>
    <s v="Female"/>
    <n v="33"/>
    <n v="61.17"/>
    <x v="1"/>
    <s v="Credit Card"/>
    <n v="0"/>
    <n v="42.9"/>
    <x v="2"/>
    <n v="2153.31"/>
    <x v="1"/>
    <x v="0"/>
    <x v="0"/>
    <x v="0"/>
    <x v="1"/>
  </r>
  <r>
    <x v="83"/>
    <n v="32"/>
    <s v="Female"/>
    <n v="61"/>
    <n v="107.43"/>
    <x v="1"/>
    <s v="PayPal"/>
    <n v="3"/>
    <n v="92.6"/>
    <x v="3"/>
    <n v="6475.17"/>
    <x v="1"/>
    <x v="0"/>
    <x v="1"/>
    <x v="2"/>
    <x v="1"/>
  </r>
  <r>
    <x v="84"/>
    <n v="25"/>
    <s v="Female"/>
    <n v="51"/>
    <n v="71.52"/>
    <x v="2"/>
    <s v="PayPal"/>
    <n v="1"/>
    <n v="49.8"/>
    <x v="8"/>
    <n v="3503.32"/>
    <x v="1"/>
    <x v="0"/>
    <x v="3"/>
    <x v="0"/>
    <x v="1"/>
  </r>
  <r>
    <x v="85"/>
    <n v="31"/>
    <s v="Female"/>
    <n v="43"/>
    <n v="117.31"/>
    <x v="1"/>
    <s v="Credit Card"/>
    <n v="3"/>
    <n v="6.3"/>
    <x v="8"/>
    <n v="4801.53"/>
    <x v="1"/>
    <x v="0"/>
    <x v="3"/>
    <x v="0"/>
    <x v="1"/>
  </r>
  <r>
    <x v="86"/>
    <n v="40"/>
    <s v="Female"/>
    <n v="12"/>
    <n v="80.19"/>
    <x v="1"/>
    <s v="Credit Card"/>
    <n v="2"/>
    <n v="31.9"/>
    <x v="4"/>
    <n v="903.51"/>
    <x v="0"/>
    <x v="2"/>
    <x v="1"/>
    <x v="0"/>
    <x v="1"/>
  </r>
  <r>
    <x v="87"/>
    <n v="57"/>
    <s v="Male"/>
    <n v="67"/>
    <n v="42.38"/>
    <x v="1"/>
    <s v="Bank Transfer"/>
    <n v="0"/>
    <n v="9.1999999999999993"/>
    <x v="4"/>
    <n v="2588.25"/>
    <x v="1"/>
    <x v="0"/>
    <x v="1"/>
    <x v="0"/>
    <x v="1"/>
  </r>
  <r>
    <x v="88"/>
    <n v="38"/>
    <s v="Female"/>
    <n v="65"/>
    <n v="102.18"/>
    <x v="1"/>
    <s v="Credit Card"/>
    <n v="0"/>
    <n v="8.4"/>
    <x v="6"/>
    <n v="6432.42"/>
    <x v="1"/>
    <x v="0"/>
    <x v="2"/>
    <x v="0"/>
    <x v="1"/>
  </r>
  <r>
    <x v="89"/>
    <n v="33"/>
    <s v="Female"/>
    <n v="33"/>
    <n v="54.51"/>
    <x v="1"/>
    <s v="PayPal"/>
    <n v="1"/>
    <n v="31.2"/>
    <x v="5"/>
    <n v="1716.17"/>
    <x v="0"/>
    <x v="0"/>
    <x v="1"/>
    <x v="0"/>
    <x v="1"/>
  </r>
  <r>
    <x v="90"/>
    <n v="62"/>
    <s v="Male"/>
    <n v="40"/>
    <n v="54.76"/>
    <x v="1"/>
    <s v="Credit Card"/>
    <n v="1"/>
    <n v="31.2"/>
    <x v="8"/>
    <n v="2394.73"/>
    <x v="1"/>
    <x v="0"/>
    <x v="3"/>
    <x v="0"/>
    <x v="1"/>
  </r>
  <r>
    <x v="91"/>
    <n v="35"/>
    <s v="Male"/>
    <n v="43"/>
    <n v="23.18"/>
    <x v="0"/>
    <s v="Bank Transfer"/>
    <n v="2"/>
    <n v="79.8"/>
    <x v="0"/>
    <n v="1008.24"/>
    <x v="0"/>
    <x v="0"/>
    <x v="0"/>
    <x v="0"/>
    <x v="1"/>
  </r>
  <r>
    <x v="92"/>
    <n v="64"/>
    <s v="Male"/>
    <n v="44"/>
    <n v="74.87"/>
    <x v="1"/>
    <s v="Bank Transfer"/>
    <n v="2"/>
    <n v="97.6"/>
    <x v="8"/>
    <n v="3193.66"/>
    <x v="0"/>
    <x v="0"/>
    <x v="3"/>
    <x v="2"/>
    <x v="1"/>
  </r>
  <r>
    <x v="93"/>
    <n v="41"/>
    <s v="Male"/>
    <n v="29"/>
    <n v="73.44"/>
    <x v="1"/>
    <s v="Bank Transfer"/>
    <n v="3"/>
    <n v="40.299999999999997"/>
    <x v="6"/>
    <n v="2164.04"/>
    <x v="1"/>
    <x v="0"/>
    <x v="2"/>
    <x v="0"/>
    <x v="1"/>
  </r>
  <r>
    <x v="94"/>
    <n v="43"/>
    <s v="Female"/>
    <n v="13"/>
    <n v="55.6"/>
    <x v="0"/>
    <s v="Bank Transfer"/>
    <n v="3"/>
    <n v="45.7"/>
    <x v="7"/>
    <n v="670.64"/>
    <x v="1"/>
    <x v="1"/>
    <x v="2"/>
    <x v="0"/>
    <x v="1"/>
  </r>
  <r>
    <x v="95"/>
    <n v="42"/>
    <s v="Female"/>
    <n v="12"/>
    <n v="109.42"/>
    <x v="1"/>
    <s v="Bank Transfer"/>
    <n v="0"/>
    <n v="85.3"/>
    <x v="1"/>
    <n v="1298.3499999999999"/>
    <x v="0"/>
    <x v="2"/>
    <x v="1"/>
    <x v="2"/>
    <x v="1"/>
  </r>
  <r>
    <x v="96"/>
    <n v="62"/>
    <s v="Female"/>
    <n v="46"/>
    <n v="32.869999999999997"/>
    <x v="0"/>
    <s v="Credit Card"/>
    <n v="6"/>
    <n v="30.5"/>
    <x v="3"/>
    <n v="1550.19"/>
    <x v="0"/>
    <x v="0"/>
    <x v="1"/>
    <x v="0"/>
    <x v="1"/>
  </r>
  <r>
    <x v="97"/>
    <n v="58"/>
    <s v="Female"/>
    <n v="2"/>
    <n v="53.01"/>
    <x v="1"/>
    <s v="Credit Card"/>
    <n v="1"/>
    <n v="19.899999999999999"/>
    <x v="5"/>
    <n v="105.78"/>
    <x v="0"/>
    <x v="4"/>
    <x v="1"/>
    <x v="0"/>
    <x v="1"/>
  </r>
  <r>
    <x v="98"/>
    <n v="46"/>
    <s v="Female"/>
    <n v="35"/>
    <n v="52.16"/>
    <x v="1"/>
    <s v="Credit Card"/>
    <n v="4"/>
    <n v="86"/>
    <x v="2"/>
    <n v="1789.74"/>
    <x v="0"/>
    <x v="0"/>
    <x v="0"/>
    <x v="2"/>
    <x v="1"/>
  </r>
  <r>
    <x v="99"/>
    <n v="32"/>
    <s v="Female"/>
    <n v="8"/>
    <n v="29.23"/>
    <x v="0"/>
    <s v="Credit Card"/>
    <n v="0"/>
    <n v="9.4"/>
    <x v="2"/>
    <n v="256.94"/>
    <x v="1"/>
    <x v="2"/>
    <x v="0"/>
    <x v="0"/>
    <x v="1"/>
  </r>
  <r>
    <x v="100"/>
    <n v="62"/>
    <s v="Male"/>
    <n v="26"/>
    <n v="68.11"/>
    <x v="1"/>
    <s v="Bank Transfer"/>
    <n v="1"/>
    <n v="63.9"/>
    <x v="2"/>
    <n v="1905.56"/>
    <x v="1"/>
    <x v="0"/>
    <x v="0"/>
    <x v="2"/>
    <x v="1"/>
  </r>
  <r>
    <x v="101"/>
    <n v="18"/>
    <s v="Female"/>
    <n v="34"/>
    <n v="88.78"/>
    <x v="1"/>
    <s v="PayPal"/>
    <n v="6"/>
    <n v="58.4"/>
    <x v="4"/>
    <n v="3093.02"/>
    <x v="0"/>
    <x v="0"/>
    <x v="1"/>
    <x v="2"/>
    <x v="1"/>
  </r>
  <r>
    <x v="102"/>
    <n v="42"/>
    <s v="Male"/>
    <n v="7"/>
    <n v="71.17"/>
    <x v="1"/>
    <s v="Credit Card"/>
    <n v="2"/>
    <n v="37.9"/>
    <x v="2"/>
    <n v="505.1"/>
    <x v="0"/>
    <x v="2"/>
    <x v="0"/>
    <x v="0"/>
    <x v="1"/>
  </r>
  <r>
    <x v="103"/>
    <n v="24"/>
    <s v="Male"/>
    <n v="68"/>
    <n v="35.700000000000003"/>
    <x v="1"/>
    <s v="PayPal"/>
    <n v="2"/>
    <n v="34.9"/>
    <x v="3"/>
    <n v="2486.1799999999998"/>
    <x v="0"/>
    <x v="0"/>
    <x v="1"/>
    <x v="2"/>
    <x v="1"/>
  </r>
  <r>
    <x v="104"/>
    <n v="26"/>
    <s v="Female"/>
    <n v="58"/>
    <n v="57.73"/>
    <x v="0"/>
    <s v="Credit Card"/>
    <n v="2"/>
    <n v="78.3"/>
    <x v="1"/>
    <n v="3148.32"/>
    <x v="0"/>
    <x v="0"/>
    <x v="1"/>
    <x v="0"/>
    <x v="1"/>
  </r>
  <r>
    <x v="105"/>
    <n v="41"/>
    <s v="Male"/>
    <n v="29"/>
    <n v="20.260000000000002"/>
    <x v="1"/>
    <s v="Credit Card"/>
    <n v="3"/>
    <n v="13.2"/>
    <x v="2"/>
    <n v="575.22"/>
    <x v="1"/>
    <x v="0"/>
    <x v="0"/>
    <x v="0"/>
    <x v="1"/>
  </r>
  <r>
    <x v="106"/>
    <n v="18"/>
    <s v="Female"/>
    <n v="36"/>
    <n v="106.83"/>
    <x v="1"/>
    <s v="PayPal"/>
    <n v="0"/>
    <n v="27.5"/>
    <x v="8"/>
    <n v="3491.64"/>
    <x v="1"/>
    <x v="0"/>
    <x v="3"/>
    <x v="0"/>
    <x v="1"/>
  </r>
  <r>
    <x v="107"/>
    <n v="61"/>
    <s v="Male"/>
    <n v="21"/>
    <n v="28.45"/>
    <x v="1"/>
    <s v="Bank Transfer"/>
    <n v="1"/>
    <n v="74.599999999999994"/>
    <x v="8"/>
    <n v="594.53"/>
    <x v="1"/>
    <x v="1"/>
    <x v="3"/>
    <x v="0"/>
    <x v="1"/>
  </r>
  <r>
    <x v="108"/>
    <n v="25"/>
    <s v="Female"/>
    <n v="36"/>
    <n v="79.73"/>
    <x v="0"/>
    <s v="Credit Card"/>
    <n v="3"/>
    <n v="57.1"/>
    <x v="4"/>
    <n v="2894.98"/>
    <x v="0"/>
    <x v="0"/>
    <x v="1"/>
    <x v="2"/>
    <x v="1"/>
  </r>
  <r>
    <x v="109"/>
    <n v="41"/>
    <s v="Male"/>
    <n v="10"/>
    <n v="118.63"/>
    <x v="1"/>
    <s v="Credit Card"/>
    <n v="4"/>
    <n v="17.2"/>
    <x v="3"/>
    <n v="1121.71"/>
    <x v="1"/>
    <x v="2"/>
    <x v="1"/>
    <x v="0"/>
    <x v="1"/>
  </r>
  <r>
    <x v="110"/>
    <n v="28"/>
    <s v="Female"/>
    <n v="24"/>
    <n v="73.66"/>
    <x v="2"/>
    <s v="Credit Card"/>
    <n v="1"/>
    <n v="88.8"/>
    <x v="1"/>
    <n v="1931.91"/>
    <x v="1"/>
    <x v="1"/>
    <x v="1"/>
    <x v="2"/>
    <x v="1"/>
  </r>
  <r>
    <x v="111"/>
    <n v="68"/>
    <s v="Female"/>
    <n v="64"/>
    <n v="112.4"/>
    <x v="1"/>
    <s v="PayPal"/>
    <n v="1"/>
    <n v="42.4"/>
    <x v="5"/>
    <n v="7782.69"/>
    <x v="1"/>
    <x v="0"/>
    <x v="1"/>
    <x v="0"/>
    <x v="1"/>
  </r>
  <r>
    <x v="112"/>
    <n v="34"/>
    <s v="Female"/>
    <n v="49"/>
    <n v="43.61"/>
    <x v="0"/>
    <s v="Bank Transfer"/>
    <n v="3"/>
    <n v="83.6"/>
    <x v="6"/>
    <n v="2231.83"/>
    <x v="1"/>
    <x v="0"/>
    <x v="2"/>
    <x v="2"/>
    <x v="1"/>
  </r>
  <r>
    <x v="113"/>
    <n v="25"/>
    <s v="Female"/>
    <n v="36"/>
    <n v="96"/>
    <x v="2"/>
    <s v="PayPal"/>
    <n v="4"/>
    <n v="79.8"/>
    <x v="1"/>
    <n v="3479.08"/>
    <x v="0"/>
    <x v="0"/>
    <x v="1"/>
    <x v="2"/>
    <x v="1"/>
  </r>
  <r>
    <x v="114"/>
    <n v="52"/>
    <s v="Female"/>
    <n v="24"/>
    <n v="73.13"/>
    <x v="0"/>
    <s v="PayPal"/>
    <n v="3"/>
    <n v="64.3"/>
    <x v="6"/>
    <n v="1884.99"/>
    <x v="1"/>
    <x v="1"/>
    <x v="2"/>
    <x v="2"/>
    <x v="1"/>
  </r>
  <r>
    <x v="115"/>
    <n v="52"/>
    <s v="Male"/>
    <n v="23"/>
    <n v="92.05"/>
    <x v="2"/>
    <s v="Bank Transfer"/>
    <n v="1"/>
    <n v="52"/>
    <x v="7"/>
    <n v="1960.76"/>
    <x v="0"/>
    <x v="1"/>
    <x v="2"/>
    <x v="0"/>
    <x v="1"/>
  </r>
  <r>
    <x v="116"/>
    <n v="50"/>
    <s v="Male"/>
    <n v="62"/>
    <n v="26.23"/>
    <x v="1"/>
    <s v="PayPal"/>
    <n v="1"/>
    <n v="98.1"/>
    <x v="6"/>
    <n v="1720.75"/>
    <x v="0"/>
    <x v="0"/>
    <x v="2"/>
    <x v="0"/>
    <x v="1"/>
  </r>
  <r>
    <x v="117"/>
    <n v="22"/>
    <s v="Male"/>
    <n v="37"/>
    <n v="34.770000000000003"/>
    <x v="1"/>
    <s v="Bank Transfer"/>
    <n v="4"/>
    <n v="18.8"/>
    <x v="0"/>
    <n v="1189.96"/>
    <x v="0"/>
    <x v="0"/>
    <x v="0"/>
    <x v="0"/>
    <x v="1"/>
  </r>
  <r>
    <x v="118"/>
    <n v="59"/>
    <s v="Female"/>
    <n v="12"/>
    <n v="33.31"/>
    <x v="1"/>
    <s v="Credit Card"/>
    <n v="0"/>
    <n v="73.900000000000006"/>
    <x v="8"/>
    <n v="423.24"/>
    <x v="1"/>
    <x v="2"/>
    <x v="3"/>
    <x v="2"/>
    <x v="1"/>
  </r>
  <r>
    <x v="119"/>
    <n v="56"/>
    <s v="Male"/>
    <n v="55"/>
    <n v="88.72"/>
    <x v="1"/>
    <s v="Bank Transfer"/>
    <n v="4"/>
    <n v="23.2"/>
    <x v="3"/>
    <n v="4660.7700000000004"/>
    <x v="1"/>
    <x v="0"/>
    <x v="1"/>
    <x v="0"/>
    <x v="1"/>
  </r>
  <r>
    <x v="120"/>
    <n v="58"/>
    <s v="Female"/>
    <n v="13"/>
    <n v="104.44"/>
    <x v="1"/>
    <s v="Credit Card"/>
    <n v="0"/>
    <n v="37.1"/>
    <x v="9"/>
    <n v="1460.12"/>
    <x v="1"/>
    <x v="1"/>
    <x v="3"/>
    <x v="0"/>
    <x v="1"/>
  </r>
  <r>
    <x v="121"/>
    <n v="45"/>
    <s v="Female"/>
    <n v="23"/>
    <n v="94.96"/>
    <x v="1"/>
    <s v="PayPal"/>
    <n v="2"/>
    <n v="34.299999999999997"/>
    <x v="4"/>
    <n v="2378.04"/>
    <x v="0"/>
    <x v="1"/>
    <x v="1"/>
    <x v="0"/>
    <x v="1"/>
  </r>
  <r>
    <x v="122"/>
    <n v="24"/>
    <s v="Male"/>
    <n v="30"/>
    <n v="23.05"/>
    <x v="1"/>
    <s v="PayPal"/>
    <n v="2"/>
    <n v="95"/>
    <x v="0"/>
    <n v="642.92999999999995"/>
    <x v="1"/>
    <x v="0"/>
    <x v="0"/>
    <x v="2"/>
    <x v="1"/>
  </r>
  <r>
    <x v="123"/>
    <n v="26"/>
    <s v="Male"/>
    <n v="17"/>
    <n v="106.72"/>
    <x v="1"/>
    <s v="Credit Card"/>
    <n v="2"/>
    <n v="96.9"/>
    <x v="6"/>
    <n v="1800.7"/>
    <x v="1"/>
    <x v="1"/>
    <x v="2"/>
    <x v="2"/>
    <x v="1"/>
  </r>
  <r>
    <x v="124"/>
    <n v="25"/>
    <s v="Female"/>
    <n v="62"/>
    <n v="55.41"/>
    <x v="2"/>
    <s v="PayPal"/>
    <n v="3"/>
    <n v="22.4"/>
    <x v="2"/>
    <n v="3765.9"/>
    <x v="1"/>
    <x v="0"/>
    <x v="0"/>
    <x v="0"/>
    <x v="1"/>
  </r>
  <r>
    <x v="125"/>
    <n v="29"/>
    <s v="Male"/>
    <n v="13"/>
    <n v="59.72"/>
    <x v="1"/>
    <s v="Bank Transfer"/>
    <n v="0"/>
    <n v="7.1"/>
    <x v="3"/>
    <n v="773.78"/>
    <x v="1"/>
    <x v="1"/>
    <x v="1"/>
    <x v="0"/>
    <x v="1"/>
  </r>
  <r>
    <x v="126"/>
    <n v="51"/>
    <s v="Female"/>
    <n v="59"/>
    <n v="30.49"/>
    <x v="0"/>
    <s v="Credit Card"/>
    <n v="4"/>
    <n v="73.400000000000006"/>
    <x v="0"/>
    <n v="1929.71"/>
    <x v="1"/>
    <x v="0"/>
    <x v="0"/>
    <x v="0"/>
    <x v="1"/>
  </r>
  <r>
    <x v="127"/>
    <n v="50"/>
    <s v="Female"/>
    <n v="19"/>
    <n v="93.74"/>
    <x v="0"/>
    <s v="PayPal"/>
    <n v="1"/>
    <n v="44.7"/>
    <x v="4"/>
    <n v="1812.67"/>
    <x v="1"/>
    <x v="1"/>
    <x v="1"/>
    <x v="2"/>
    <x v="1"/>
  </r>
  <r>
    <x v="128"/>
    <n v="65"/>
    <s v="Female"/>
    <n v="49"/>
    <n v="38.229999999999997"/>
    <x v="2"/>
    <s v="Credit Card"/>
    <n v="3"/>
    <n v="13.4"/>
    <x v="8"/>
    <n v="1826.56"/>
    <x v="0"/>
    <x v="0"/>
    <x v="3"/>
    <x v="0"/>
    <x v="1"/>
  </r>
  <r>
    <x v="129"/>
    <n v="40"/>
    <s v="Female"/>
    <n v="12"/>
    <n v="76.400000000000006"/>
    <x v="0"/>
    <s v="Bank Transfer"/>
    <n v="3"/>
    <n v="70"/>
    <x v="3"/>
    <n v="877.52"/>
    <x v="0"/>
    <x v="2"/>
    <x v="1"/>
    <x v="2"/>
    <x v="1"/>
  </r>
  <r>
    <x v="130"/>
    <n v="41"/>
    <s v="Female"/>
    <n v="61"/>
    <n v="104.07"/>
    <x v="0"/>
    <s v="Bank Transfer"/>
    <n v="2"/>
    <n v="56.8"/>
    <x v="4"/>
    <n v="5971.47"/>
    <x v="0"/>
    <x v="0"/>
    <x v="1"/>
    <x v="2"/>
    <x v="1"/>
  </r>
  <r>
    <x v="131"/>
    <n v="54"/>
    <s v="Male"/>
    <n v="19"/>
    <n v="28.92"/>
    <x v="2"/>
    <s v="PayPal"/>
    <n v="1"/>
    <n v="98.1"/>
    <x v="7"/>
    <n v="578.25"/>
    <x v="0"/>
    <x v="1"/>
    <x v="2"/>
    <x v="2"/>
    <x v="1"/>
  </r>
  <r>
    <x v="132"/>
    <n v="52"/>
    <s v="Male"/>
    <n v="9"/>
    <n v="73.53"/>
    <x v="2"/>
    <s v="Bank Transfer"/>
    <n v="2"/>
    <n v="26.6"/>
    <x v="7"/>
    <n v="646.75"/>
    <x v="0"/>
    <x v="2"/>
    <x v="2"/>
    <x v="0"/>
    <x v="1"/>
  </r>
  <r>
    <x v="133"/>
    <n v="61"/>
    <s v="Female"/>
    <n v="71"/>
    <n v="43.32"/>
    <x v="1"/>
    <s v="Credit Card"/>
    <n v="1"/>
    <n v="43.4"/>
    <x v="4"/>
    <n v="3082.66"/>
    <x v="0"/>
    <x v="0"/>
    <x v="1"/>
    <x v="0"/>
    <x v="1"/>
  </r>
  <r>
    <x v="134"/>
    <n v="57"/>
    <s v="Female"/>
    <n v="28"/>
    <n v="54.29"/>
    <x v="1"/>
    <s v="Bank Transfer"/>
    <n v="1"/>
    <n v="56.5"/>
    <x v="0"/>
    <n v="1517.79"/>
    <x v="1"/>
    <x v="0"/>
    <x v="0"/>
    <x v="0"/>
    <x v="1"/>
  </r>
  <r>
    <x v="135"/>
    <n v="39"/>
    <s v="Male"/>
    <n v="52"/>
    <n v="67.400000000000006"/>
    <x v="1"/>
    <s v="Credit Card"/>
    <n v="1"/>
    <n v="80.2"/>
    <x v="3"/>
    <n v="3558.97"/>
    <x v="0"/>
    <x v="0"/>
    <x v="1"/>
    <x v="2"/>
    <x v="1"/>
  </r>
  <r>
    <x v="136"/>
    <n v="44"/>
    <s v="Male"/>
    <n v="16"/>
    <n v="55.51"/>
    <x v="1"/>
    <s v="Credit Card"/>
    <n v="2"/>
    <n v="57.1"/>
    <x v="0"/>
    <n v="953.1"/>
    <x v="0"/>
    <x v="1"/>
    <x v="0"/>
    <x v="0"/>
    <x v="1"/>
  </r>
  <r>
    <x v="137"/>
    <n v="52"/>
    <s v="Female"/>
    <n v="69"/>
    <n v="84.88"/>
    <x v="0"/>
    <s v="Bank Transfer"/>
    <n v="1"/>
    <n v="63.2"/>
    <x v="5"/>
    <n v="6419.83"/>
    <x v="1"/>
    <x v="0"/>
    <x v="1"/>
    <x v="0"/>
    <x v="1"/>
  </r>
  <r>
    <x v="138"/>
    <n v="18"/>
    <s v="Male"/>
    <n v="12"/>
    <n v="67.959999999999994"/>
    <x v="0"/>
    <s v="PayPal"/>
    <n v="3"/>
    <n v="26.5"/>
    <x v="6"/>
    <n v="800.45"/>
    <x v="1"/>
    <x v="2"/>
    <x v="2"/>
    <x v="0"/>
    <x v="1"/>
  </r>
  <r>
    <x v="139"/>
    <n v="52"/>
    <s v="Female"/>
    <n v="25"/>
    <n v="78.42"/>
    <x v="0"/>
    <s v="Bank Transfer"/>
    <n v="1"/>
    <n v="85.5"/>
    <x v="5"/>
    <n v="2088.92"/>
    <x v="0"/>
    <x v="0"/>
    <x v="1"/>
    <x v="2"/>
    <x v="1"/>
  </r>
  <r>
    <x v="140"/>
    <n v="54"/>
    <s v="Male"/>
    <n v="52"/>
    <n v="93.68"/>
    <x v="1"/>
    <s v="Credit Card"/>
    <n v="3"/>
    <n v="45.7"/>
    <x v="7"/>
    <n v="5129.08"/>
    <x v="1"/>
    <x v="0"/>
    <x v="2"/>
    <x v="0"/>
    <x v="1"/>
  </r>
  <r>
    <x v="141"/>
    <n v="64"/>
    <s v="Female"/>
    <n v="53"/>
    <n v="75.77"/>
    <x v="2"/>
    <s v="Credit Card"/>
    <n v="3"/>
    <n v="18.399999999999999"/>
    <x v="8"/>
    <n v="4074.87"/>
    <x v="1"/>
    <x v="0"/>
    <x v="3"/>
    <x v="0"/>
    <x v="1"/>
  </r>
  <r>
    <x v="142"/>
    <n v="31"/>
    <s v="Male"/>
    <n v="23"/>
    <n v="78.650000000000006"/>
    <x v="0"/>
    <s v="Bank Transfer"/>
    <n v="2"/>
    <n v="68.099999999999994"/>
    <x v="1"/>
    <n v="1973.94"/>
    <x v="0"/>
    <x v="1"/>
    <x v="1"/>
    <x v="0"/>
    <x v="1"/>
  </r>
  <r>
    <x v="143"/>
    <n v="20"/>
    <s v="Female"/>
    <n v="16"/>
    <n v="76.45"/>
    <x v="0"/>
    <s v="PayPal"/>
    <n v="2"/>
    <n v="25.5"/>
    <x v="6"/>
    <n v="1149.92"/>
    <x v="1"/>
    <x v="1"/>
    <x v="2"/>
    <x v="0"/>
    <x v="1"/>
  </r>
  <r>
    <x v="144"/>
    <n v="18"/>
    <s v="Male"/>
    <n v="57"/>
    <n v="57.88"/>
    <x v="2"/>
    <s v="PayPal"/>
    <n v="2"/>
    <n v="14.3"/>
    <x v="7"/>
    <n v="3041.34"/>
    <x v="1"/>
    <x v="0"/>
    <x v="2"/>
    <x v="0"/>
    <x v="1"/>
  </r>
  <r>
    <x v="145"/>
    <n v="22"/>
    <s v="Male"/>
    <n v="39"/>
    <n v="53.74"/>
    <x v="0"/>
    <s v="Credit Card"/>
    <n v="2"/>
    <n v="86.9"/>
    <x v="0"/>
    <n v="2244.23"/>
    <x v="1"/>
    <x v="0"/>
    <x v="0"/>
    <x v="2"/>
    <x v="1"/>
  </r>
  <r>
    <x v="146"/>
    <n v="43"/>
    <s v="Female"/>
    <n v="53"/>
    <n v="109.96"/>
    <x v="1"/>
    <s v="Credit Card"/>
    <n v="2"/>
    <n v="48.7"/>
    <x v="0"/>
    <n v="5756.95"/>
    <x v="1"/>
    <x v="0"/>
    <x v="0"/>
    <x v="0"/>
    <x v="1"/>
  </r>
  <r>
    <x v="147"/>
    <n v="31"/>
    <s v="Male"/>
    <n v="42"/>
    <n v="80.760000000000005"/>
    <x v="0"/>
    <s v="PayPal"/>
    <n v="1"/>
    <n v="76.2"/>
    <x v="0"/>
    <n v="3627.3"/>
    <x v="1"/>
    <x v="0"/>
    <x v="0"/>
    <x v="0"/>
    <x v="1"/>
  </r>
  <r>
    <x v="148"/>
    <n v="56"/>
    <s v="Female"/>
    <n v="58"/>
    <n v="44.44"/>
    <x v="1"/>
    <s v="Bank Transfer"/>
    <n v="3"/>
    <n v="32.6"/>
    <x v="8"/>
    <n v="2780.16"/>
    <x v="0"/>
    <x v="0"/>
    <x v="3"/>
    <x v="2"/>
    <x v="1"/>
  </r>
  <r>
    <x v="149"/>
    <n v="44"/>
    <s v="Male"/>
    <n v="39"/>
    <n v="69.819999999999993"/>
    <x v="1"/>
    <s v="Credit Card"/>
    <n v="2"/>
    <n v="79.8"/>
    <x v="5"/>
    <n v="2484.6999999999998"/>
    <x v="0"/>
    <x v="0"/>
    <x v="1"/>
    <x v="2"/>
    <x v="1"/>
  </r>
  <r>
    <x v="150"/>
    <n v="26"/>
    <s v="Female"/>
    <n v="14"/>
    <n v="53.03"/>
    <x v="0"/>
    <s v="Credit Card"/>
    <n v="3"/>
    <n v="15.6"/>
    <x v="1"/>
    <n v="799.36"/>
    <x v="0"/>
    <x v="1"/>
    <x v="1"/>
    <x v="0"/>
    <x v="1"/>
  </r>
  <r>
    <x v="151"/>
    <n v="32"/>
    <s v="Male"/>
    <n v="5"/>
    <n v="113.37"/>
    <x v="1"/>
    <s v="PayPal"/>
    <n v="3"/>
    <n v="38.799999999999997"/>
    <x v="0"/>
    <n v="560.99"/>
    <x v="1"/>
    <x v="3"/>
    <x v="0"/>
    <x v="0"/>
    <x v="1"/>
  </r>
  <r>
    <x v="152"/>
    <n v="32"/>
    <s v="Female"/>
    <n v="35"/>
    <n v="20.75"/>
    <x v="0"/>
    <s v="Bank Transfer"/>
    <n v="3"/>
    <n v="97.9"/>
    <x v="9"/>
    <n v="727.77"/>
    <x v="1"/>
    <x v="0"/>
    <x v="3"/>
    <x v="0"/>
    <x v="1"/>
  </r>
  <r>
    <x v="153"/>
    <n v="43"/>
    <s v="Male"/>
    <n v="18"/>
    <n v="42.53"/>
    <x v="1"/>
    <s v="PayPal"/>
    <n v="0"/>
    <n v="80.400000000000006"/>
    <x v="6"/>
    <n v="784.92"/>
    <x v="0"/>
    <x v="1"/>
    <x v="2"/>
    <x v="2"/>
    <x v="1"/>
  </r>
  <r>
    <x v="154"/>
    <n v="59"/>
    <s v="Female"/>
    <n v="9"/>
    <n v="56.54"/>
    <x v="2"/>
    <s v="Bank Transfer"/>
    <n v="1"/>
    <n v="52.2"/>
    <x v="3"/>
    <n v="552.25"/>
    <x v="1"/>
    <x v="2"/>
    <x v="1"/>
    <x v="0"/>
    <x v="1"/>
  </r>
  <r>
    <x v="155"/>
    <n v="30"/>
    <s v="Male"/>
    <n v="58"/>
    <n v="68.78"/>
    <x v="1"/>
    <s v="Bank Transfer"/>
    <n v="3"/>
    <n v="37.299999999999997"/>
    <x v="9"/>
    <n v="3605.57"/>
    <x v="1"/>
    <x v="0"/>
    <x v="3"/>
    <x v="2"/>
    <x v="1"/>
  </r>
  <r>
    <x v="156"/>
    <n v="68"/>
    <s v="Female"/>
    <n v="17"/>
    <n v="105.08"/>
    <x v="2"/>
    <s v="Bank Transfer"/>
    <n v="0"/>
    <n v="87.9"/>
    <x v="1"/>
    <n v="1778.09"/>
    <x v="0"/>
    <x v="1"/>
    <x v="1"/>
    <x v="0"/>
    <x v="1"/>
  </r>
  <r>
    <x v="157"/>
    <n v="49"/>
    <s v="Female"/>
    <n v="7"/>
    <n v="28.79"/>
    <x v="0"/>
    <s v="Credit Card"/>
    <n v="3"/>
    <n v="56.8"/>
    <x v="8"/>
    <n v="209.1"/>
    <x v="1"/>
    <x v="2"/>
    <x v="3"/>
    <x v="2"/>
    <x v="1"/>
  </r>
  <r>
    <x v="158"/>
    <n v="56"/>
    <s v="Female"/>
    <n v="46"/>
    <n v="100.59"/>
    <x v="1"/>
    <s v="PayPal"/>
    <n v="1"/>
    <n v="77.099999999999994"/>
    <x v="1"/>
    <n v="4833.24"/>
    <x v="1"/>
    <x v="0"/>
    <x v="1"/>
    <x v="2"/>
    <x v="1"/>
  </r>
  <r>
    <x v="159"/>
    <n v="66"/>
    <s v="Male"/>
    <n v="13"/>
    <n v="25.57"/>
    <x v="1"/>
    <s v="PayPal"/>
    <n v="0"/>
    <n v="76.599999999999994"/>
    <x v="3"/>
    <n v="345.21"/>
    <x v="0"/>
    <x v="1"/>
    <x v="1"/>
    <x v="0"/>
    <x v="1"/>
  </r>
  <r>
    <x v="160"/>
    <n v="69"/>
    <s v="Female"/>
    <n v="40"/>
    <n v="104.23"/>
    <x v="2"/>
    <s v="Bank Transfer"/>
    <n v="0"/>
    <n v="6.7"/>
    <x v="6"/>
    <n v="3864.38"/>
    <x v="1"/>
    <x v="0"/>
    <x v="2"/>
    <x v="0"/>
    <x v="1"/>
  </r>
  <r>
    <x v="161"/>
    <n v="49"/>
    <s v="Male"/>
    <n v="42"/>
    <n v="25.16"/>
    <x v="1"/>
    <s v="Credit Card"/>
    <n v="1"/>
    <n v="17"/>
    <x v="3"/>
    <n v="1014.32"/>
    <x v="1"/>
    <x v="0"/>
    <x v="1"/>
    <x v="0"/>
    <x v="1"/>
  </r>
  <r>
    <x v="162"/>
    <n v="21"/>
    <s v="Female"/>
    <n v="9"/>
    <n v="21.82"/>
    <x v="1"/>
    <s v="Credit Card"/>
    <n v="1"/>
    <n v="67.7"/>
    <x v="4"/>
    <n v="190.83"/>
    <x v="0"/>
    <x v="2"/>
    <x v="1"/>
    <x v="0"/>
    <x v="1"/>
  </r>
  <r>
    <x v="163"/>
    <n v="47"/>
    <s v="Male"/>
    <n v="50"/>
    <n v="89.7"/>
    <x v="1"/>
    <s v="PayPal"/>
    <n v="1"/>
    <n v="20.399999999999999"/>
    <x v="6"/>
    <n v="4758.08"/>
    <x v="1"/>
    <x v="0"/>
    <x v="2"/>
    <x v="0"/>
    <x v="1"/>
  </r>
  <r>
    <x v="164"/>
    <n v="54"/>
    <s v="Female"/>
    <n v="27"/>
    <n v="119.73"/>
    <x v="1"/>
    <s v="Credit Card"/>
    <n v="4"/>
    <n v="29.3"/>
    <x v="1"/>
    <n v="3089.67"/>
    <x v="0"/>
    <x v="0"/>
    <x v="1"/>
    <x v="2"/>
    <x v="1"/>
  </r>
  <r>
    <x v="165"/>
    <n v="40"/>
    <s v="Male"/>
    <n v="66"/>
    <n v="109.66"/>
    <x v="0"/>
    <s v="Credit Card"/>
    <n v="3"/>
    <n v="94.9"/>
    <x v="0"/>
    <n v="6818.8"/>
    <x v="0"/>
    <x v="0"/>
    <x v="0"/>
    <x v="0"/>
    <x v="1"/>
  </r>
  <r>
    <x v="166"/>
    <n v="56"/>
    <s v="Male"/>
    <n v="5"/>
    <n v="77.599999999999994"/>
    <x v="0"/>
    <s v="Bank Transfer"/>
    <n v="2"/>
    <n v="58.2"/>
    <x v="1"/>
    <n v="423.5"/>
    <x v="0"/>
    <x v="3"/>
    <x v="1"/>
    <x v="0"/>
    <x v="1"/>
  </r>
  <r>
    <x v="167"/>
    <n v="62"/>
    <s v="Female"/>
    <n v="29"/>
    <n v="111.74"/>
    <x v="1"/>
    <s v="Credit Card"/>
    <n v="4"/>
    <n v="76.3"/>
    <x v="1"/>
    <n v="2922.16"/>
    <x v="0"/>
    <x v="0"/>
    <x v="1"/>
    <x v="0"/>
    <x v="1"/>
  </r>
  <r>
    <x v="168"/>
    <n v="32"/>
    <s v="Male"/>
    <n v="37"/>
    <n v="20.53"/>
    <x v="1"/>
    <s v="Bank Transfer"/>
    <n v="2"/>
    <n v="58"/>
    <x v="6"/>
    <n v="835.24"/>
    <x v="0"/>
    <x v="0"/>
    <x v="2"/>
    <x v="0"/>
    <x v="1"/>
  </r>
  <r>
    <x v="169"/>
    <n v="60"/>
    <s v="Male"/>
    <n v="38"/>
    <n v="117.51"/>
    <x v="0"/>
    <s v="PayPal"/>
    <n v="0"/>
    <n v="57.5"/>
    <x v="4"/>
    <n v="4623.29"/>
    <x v="0"/>
    <x v="0"/>
    <x v="1"/>
    <x v="0"/>
    <x v="1"/>
  </r>
  <r>
    <x v="170"/>
    <n v="46"/>
    <s v="Female"/>
    <n v="8"/>
    <n v="69.069999999999993"/>
    <x v="1"/>
    <s v="Credit Card"/>
    <n v="1"/>
    <n v="13.9"/>
    <x v="1"/>
    <n v="588.86"/>
    <x v="1"/>
    <x v="2"/>
    <x v="1"/>
    <x v="0"/>
    <x v="1"/>
  </r>
  <r>
    <x v="171"/>
    <n v="53"/>
    <s v="Male"/>
    <n v="65"/>
    <n v="92.29"/>
    <x v="1"/>
    <s v="PayPal"/>
    <n v="5"/>
    <n v="37.6"/>
    <x v="9"/>
    <n v="5752.44"/>
    <x v="1"/>
    <x v="0"/>
    <x v="3"/>
    <x v="0"/>
    <x v="1"/>
  </r>
  <r>
    <x v="172"/>
    <n v="30"/>
    <s v="Male"/>
    <n v="17"/>
    <n v="102.09"/>
    <x v="2"/>
    <s v="PayPal"/>
    <n v="1"/>
    <n v="31.8"/>
    <x v="7"/>
    <n v="1566.95"/>
    <x v="1"/>
    <x v="1"/>
    <x v="2"/>
    <x v="0"/>
    <x v="1"/>
  </r>
  <r>
    <x v="173"/>
    <n v="49"/>
    <s v="Male"/>
    <n v="71"/>
    <n v="91.85"/>
    <x v="0"/>
    <s v="Credit Card"/>
    <n v="5"/>
    <n v="42.1"/>
    <x v="2"/>
    <n v="6831.6"/>
    <x v="1"/>
    <x v="0"/>
    <x v="0"/>
    <x v="2"/>
    <x v="1"/>
  </r>
  <r>
    <x v="174"/>
    <n v="24"/>
    <s v="Female"/>
    <n v="45"/>
    <n v="73.5"/>
    <x v="0"/>
    <s v="Credit Card"/>
    <n v="0"/>
    <n v="80.8"/>
    <x v="2"/>
    <n v="3528.54"/>
    <x v="1"/>
    <x v="0"/>
    <x v="0"/>
    <x v="0"/>
    <x v="1"/>
  </r>
  <r>
    <x v="175"/>
    <n v="68"/>
    <s v="Male"/>
    <n v="4"/>
    <n v="67.66"/>
    <x v="0"/>
    <s v="PayPal"/>
    <n v="2"/>
    <n v="40.299999999999997"/>
    <x v="1"/>
    <n v="283.66000000000003"/>
    <x v="1"/>
    <x v="3"/>
    <x v="1"/>
    <x v="0"/>
    <x v="1"/>
  </r>
  <r>
    <x v="176"/>
    <n v="39"/>
    <s v="Female"/>
    <n v="36"/>
    <n v="103.86"/>
    <x v="1"/>
    <s v="Credit Card"/>
    <n v="0"/>
    <n v="47.9"/>
    <x v="9"/>
    <n v="3471.89"/>
    <x v="0"/>
    <x v="0"/>
    <x v="3"/>
    <x v="2"/>
    <x v="1"/>
  </r>
  <r>
    <x v="177"/>
    <n v="45"/>
    <s v="Male"/>
    <n v="70"/>
    <n v="40.51"/>
    <x v="0"/>
    <s v="Bank Transfer"/>
    <n v="1"/>
    <n v="42.8"/>
    <x v="0"/>
    <n v="2979.43"/>
    <x v="1"/>
    <x v="0"/>
    <x v="0"/>
    <x v="0"/>
    <x v="1"/>
  </r>
  <r>
    <x v="178"/>
    <n v="19"/>
    <s v="Male"/>
    <n v="31"/>
    <n v="116.8"/>
    <x v="1"/>
    <s v="Bank Transfer"/>
    <n v="4"/>
    <n v="13.9"/>
    <x v="8"/>
    <n v="3815.54"/>
    <x v="1"/>
    <x v="0"/>
    <x v="3"/>
    <x v="0"/>
    <x v="1"/>
  </r>
  <r>
    <x v="179"/>
    <n v="59"/>
    <s v="Male"/>
    <n v="19"/>
    <n v="91.1"/>
    <x v="1"/>
    <s v="Credit Card"/>
    <n v="0"/>
    <n v="46.9"/>
    <x v="8"/>
    <n v="1785.78"/>
    <x v="1"/>
    <x v="1"/>
    <x v="3"/>
    <x v="0"/>
    <x v="1"/>
  </r>
  <r>
    <x v="180"/>
    <n v="62"/>
    <s v="Female"/>
    <n v="61"/>
    <n v="39.950000000000003"/>
    <x v="1"/>
    <s v="PayPal"/>
    <n v="0"/>
    <n v="23.6"/>
    <x v="6"/>
    <n v="2566.65"/>
    <x v="1"/>
    <x v="0"/>
    <x v="2"/>
    <x v="0"/>
    <x v="1"/>
  </r>
  <r>
    <x v="181"/>
    <n v="23"/>
    <s v="Male"/>
    <n v="54"/>
    <n v="93.62"/>
    <x v="1"/>
    <s v="Credit Card"/>
    <n v="2"/>
    <n v="22.7"/>
    <x v="2"/>
    <n v="5405.24"/>
    <x v="1"/>
    <x v="0"/>
    <x v="0"/>
    <x v="0"/>
    <x v="1"/>
  </r>
  <r>
    <x v="182"/>
    <n v="45"/>
    <s v="Male"/>
    <n v="39"/>
    <n v="72.98"/>
    <x v="0"/>
    <s v="Credit Card"/>
    <n v="1"/>
    <n v="13.9"/>
    <x v="1"/>
    <n v="2910.89"/>
    <x v="0"/>
    <x v="0"/>
    <x v="1"/>
    <x v="0"/>
    <x v="1"/>
  </r>
  <r>
    <x v="183"/>
    <n v="45"/>
    <s v="Female"/>
    <n v="19"/>
    <n v="90.72"/>
    <x v="1"/>
    <s v="PayPal"/>
    <n v="1"/>
    <n v="38.9"/>
    <x v="8"/>
    <n v="1581.86"/>
    <x v="0"/>
    <x v="1"/>
    <x v="3"/>
    <x v="0"/>
    <x v="1"/>
  </r>
  <r>
    <x v="184"/>
    <n v="61"/>
    <s v="Male"/>
    <n v="39"/>
    <n v="96.78"/>
    <x v="1"/>
    <s v="PayPal"/>
    <n v="3"/>
    <n v="77"/>
    <x v="1"/>
    <n v="3765.08"/>
    <x v="0"/>
    <x v="0"/>
    <x v="1"/>
    <x v="2"/>
    <x v="1"/>
  </r>
  <r>
    <x v="185"/>
    <n v="61"/>
    <s v="Female"/>
    <n v="67"/>
    <n v="28.73"/>
    <x v="1"/>
    <s v="Bank Transfer"/>
    <n v="1"/>
    <n v="31.3"/>
    <x v="6"/>
    <n v="1762.31"/>
    <x v="0"/>
    <x v="0"/>
    <x v="2"/>
    <x v="0"/>
    <x v="1"/>
  </r>
  <r>
    <x v="186"/>
    <n v="37"/>
    <s v="Female"/>
    <n v="45"/>
    <n v="70.61"/>
    <x v="1"/>
    <s v="PayPal"/>
    <n v="2"/>
    <n v="34.700000000000003"/>
    <x v="2"/>
    <n v="3118.69"/>
    <x v="1"/>
    <x v="0"/>
    <x v="0"/>
    <x v="0"/>
    <x v="1"/>
  </r>
  <r>
    <x v="187"/>
    <n v="47"/>
    <s v="Male"/>
    <n v="13"/>
    <n v="113.2"/>
    <x v="0"/>
    <s v="Bank Transfer"/>
    <n v="3"/>
    <n v="66.099999999999994"/>
    <x v="3"/>
    <n v="1444.26"/>
    <x v="1"/>
    <x v="1"/>
    <x v="1"/>
    <x v="2"/>
    <x v="1"/>
  </r>
  <r>
    <x v="188"/>
    <n v="28"/>
    <s v="Female"/>
    <n v="58"/>
    <n v="52.06"/>
    <x v="1"/>
    <s v="PayPal"/>
    <n v="1"/>
    <n v="23.6"/>
    <x v="7"/>
    <n v="2757.4"/>
    <x v="0"/>
    <x v="0"/>
    <x v="2"/>
    <x v="0"/>
    <x v="1"/>
  </r>
  <r>
    <x v="189"/>
    <n v="45"/>
    <s v="Male"/>
    <n v="20"/>
    <n v="79.39"/>
    <x v="0"/>
    <s v="Credit Card"/>
    <n v="1"/>
    <n v="90.2"/>
    <x v="7"/>
    <n v="1539.79"/>
    <x v="1"/>
    <x v="1"/>
    <x v="2"/>
    <x v="2"/>
    <x v="1"/>
  </r>
  <r>
    <x v="190"/>
    <n v="42"/>
    <s v="Female"/>
    <n v="61"/>
    <n v="56.92"/>
    <x v="1"/>
    <s v="Bank Transfer"/>
    <n v="4"/>
    <n v="54.4"/>
    <x v="8"/>
    <n v="3201.99"/>
    <x v="1"/>
    <x v="0"/>
    <x v="3"/>
    <x v="2"/>
    <x v="1"/>
  </r>
  <r>
    <x v="191"/>
    <n v="56"/>
    <s v="Female"/>
    <n v="39"/>
    <n v="65.430000000000007"/>
    <x v="1"/>
    <s v="Bank Transfer"/>
    <n v="2"/>
    <n v="47.5"/>
    <x v="7"/>
    <n v="2709.08"/>
    <x v="1"/>
    <x v="0"/>
    <x v="2"/>
    <x v="0"/>
    <x v="1"/>
  </r>
  <r>
    <x v="192"/>
    <n v="50"/>
    <s v="Male"/>
    <n v="1"/>
    <n v="74.86"/>
    <x v="0"/>
    <s v="Bank Transfer"/>
    <n v="1"/>
    <n v="58"/>
    <x v="3"/>
    <n v="81.56"/>
    <x v="1"/>
    <x v="4"/>
    <x v="1"/>
    <x v="2"/>
    <x v="1"/>
  </r>
  <r>
    <x v="193"/>
    <n v="18"/>
    <s v="Female"/>
    <n v="3"/>
    <n v="74.89"/>
    <x v="1"/>
    <s v="Credit Card"/>
    <n v="2"/>
    <n v="20.8"/>
    <x v="1"/>
    <n v="205.45"/>
    <x v="0"/>
    <x v="4"/>
    <x v="1"/>
    <x v="0"/>
    <x v="1"/>
  </r>
  <r>
    <x v="194"/>
    <n v="44"/>
    <s v="Female"/>
    <n v="62"/>
    <n v="40.17"/>
    <x v="0"/>
    <s v="Credit Card"/>
    <n v="3"/>
    <n v="63.3"/>
    <x v="6"/>
    <n v="2717.24"/>
    <x v="1"/>
    <x v="0"/>
    <x v="2"/>
    <x v="2"/>
    <x v="1"/>
  </r>
  <r>
    <x v="195"/>
    <n v="69"/>
    <s v="Female"/>
    <n v="63"/>
    <n v="88.46"/>
    <x v="1"/>
    <s v="Credit Card"/>
    <n v="1"/>
    <n v="39.5"/>
    <x v="3"/>
    <n v="5598.14"/>
    <x v="1"/>
    <x v="0"/>
    <x v="1"/>
    <x v="2"/>
    <x v="1"/>
  </r>
  <r>
    <x v="196"/>
    <n v="30"/>
    <s v="Female"/>
    <n v="25"/>
    <n v="28.79"/>
    <x v="1"/>
    <s v="Credit Card"/>
    <n v="3"/>
    <n v="90.2"/>
    <x v="6"/>
    <n v="690.9"/>
    <x v="0"/>
    <x v="0"/>
    <x v="2"/>
    <x v="2"/>
    <x v="1"/>
  </r>
  <r>
    <x v="197"/>
    <n v="58"/>
    <s v="Female"/>
    <n v="56"/>
    <n v="33.880000000000003"/>
    <x v="2"/>
    <s v="Credit Card"/>
    <n v="0"/>
    <n v="21"/>
    <x v="6"/>
    <n v="1736.72"/>
    <x v="1"/>
    <x v="0"/>
    <x v="2"/>
    <x v="0"/>
    <x v="1"/>
  </r>
  <r>
    <x v="198"/>
    <n v="20"/>
    <s v="Male"/>
    <n v="33"/>
    <n v="20.27"/>
    <x v="1"/>
    <s v="Bank Transfer"/>
    <n v="0"/>
    <n v="53.2"/>
    <x v="2"/>
    <n v="668.99"/>
    <x v="1"/>
    <x v="0"/>
    <x v="0"/>
    <x v="0"/>
    <x v="1"/>
  </r>
  <r>
    <x v="199"/>
    <n v="56"/>
    <s v="Female"/>
    <n v="38"/>
    <n v="31.67"/>
    <x v="1"/>
    <s v="Credit Card"/>
    <n v="1"/>
    <n v="61.8"/>
    <x v="1"/>
    <n v="1274.3499999999999"/>
    <x v="0"/>
    <x v="0"/>
    <x v="1"/>
    <x v="2"/>
    <x v="1"/>
  </r>
  <r>
    <x v="200"/>
    <n v="23"/>
    <s v="Male"/>
    <n v="6"/>
    <n v="67.319999999999993"/>
    <x v="0"/>
    <s v="Bank Transfer"/>
    <n v="2"/>
    <n v="8.1999999999999993"/>
    <x v="9"/>
    <n v="420.65"/>
    <x v="1"/>
    <x v="3"/>
    <x v="3"/>
    <x v="0"/>
    <x v="1"/>
  </r>
  <r>
    <x v="201"/>
    <n v="25"/>
    <s v="Female"/>
    <n v="58"/>
    <n v="80.61"/>
    <x v="1"/>
    <s v="Credit Card"/>
    <n v="1"/>
    <n v="39.6"/>
    <x v="7"/>
    <n v="4254.8100000000004"/>
    <x v="1"/>
    <x v="0"/>
    <x v="2"/>
    <x v="0"/>
    <x v="1"/>
  </r>
  <r>
    <x v="202"/>
    <n v="44"/>
    <s v="Male"/>
    <n v="44"/>
    <n v="99.43"/>
    <x v="0"/>
    <s v="PayPal"/>
    <n v="3"/>
    <n v="74.599999999999994"/>
    <x v="9"/>
    <n v="4001.22"/>
    <x v="0"/>
    <x v="0"/>
    <x v="3"/>
    <x v="2"/>
    <x v="1"/>
  </r>
  <r>
    <x v="203"/>
    <n v="26"/>
    <s v="Male"/>
    <n v="45"/>
    <n v="30.67"/>
    <x v="1"/>
    <s v="Bank Transfer"/>
    <n v="4"/>
    <n v="82.9"/>
    <x v="2"/>
    <n v="1353.34"/>
    <x v="1"/>
    <x v="0"/>
    <x v="0"/>
    <x v="0"/>
    <x v="1"/>
  </r>
  <r>
    <x v="204"/>
    <n v="54"/>
    <s v="Female"/>
    <n v="32"/>
    <n v="105.07"/>
    <x v="2"/>
    <s v="PayPal"/>
    <n v="0"/>
    <n v="34.799999999999997"/>
    <x v="6"/>
    <n v="3224.58"/>
    <x v="1"/>
    <x v="0"/>
    <x v="2"/>
    <x v="0"/>
    <x v="1"/>
  </r>
  <r>
    <x v="205"/>
    <n v="50"/>
    <s v="Female"/>
    <n v="45"/>
    <n v="94.6"/>
    <x v="0"/>
    <s v="Bank Transfer"/>
    <n v="3"/>
    <n v="80.900000000000006"/>
    <x v="8"/>
    <n v="4029.15"/>
    <x v="1"/>
    <x v="0"/>
    <x v="3"/>
    <x v="2"/>
    <x v="1"/>
  </r>
  <r>
    <x v="206"/>
    <n v="68"/>
    <s v="Female"/>
    <n v="61"/>
    <n v="60.85"/>
    <x v="0"/>
    <s v="PayPal"/>
    <n v="2"/>
    <n v="96.9"/>
    <x v="7"/>
    <n v="3549.27"/>
    <x v="0"/>
    <x v="0"/>
    <x v="2"/>
    <x v="2"/>
    <x v="1"/>
  </r>
  <r>
    <x v="207"/>
    <n v="59"/>
    <s v="Male"/>
    <n v="47"/>
    <n v="113.29"/>
    <x v="2"/>
    <s v="Credit Card"/>
    <n v="3"/>
    <n v="86.4"/>
    <x v="7"/>
    <n v="5647.82"/>
    <x v="0"/>
    <x v="0"/>
    <x v="2"/>
    <x v="0"/>
    <x v="1"/>
  </r>
  <r>
    <x v="208"/>
    <n v="61"/>
    <s v="Female"/>
    <n v="21"/>
    <n v="119.09"/>
    <x v="1"/>
    <s v="Credit Card"/>
    <n v="1"/>
    <n v="16.2"/>
    <x v="1"/>
    <n v="2715.58"/>
    <x v="0"/>
    <x v="1"/>
    <x v="1"/>
    <x v="0"/>
    <x v="1"/>
  </r>
  <r>
    <x v="209"/>
    <n v="41"/>
    <s v="Male"/>
    <n v="36"/>
    <n v="40.5"/>
    <x v="2"/>
    <s v="Credit Card"/>
    <n v="3"/>
    <n v="75.3"/>
    <x v="4"/>
    <n v="1430.33"/>
    <x v="1"/>
    <x v="0"/>
    <x v="1"/>
    <x v="2"/>
    <x v="1"/>
  </r>
  <r>
    <x v="210"/>
    <n v="32"/>
    <s v="Male"/>
    <n v="19"/>
    <n v="57.92"/>
    <x v="1"/>
    <s v="Bank Transfer"/>
    <n v="2"/>
    <n v="35.4"/>
    <x v="5"/>
    <n v="1189.8599999999999"/>
    <x v="0"/>
    <x v="1"/>
    <x v="1"/>
    <x v="0"/>
    <x v="1"/>
  </r>
  <r>
    <x v="211"/>
    <n v="49"/>
    <s v="Male"/>
    <n v="20"/>
    <n v="112.64"/>
    <x v="1"/>
    <s v="PayPal"/>
    <n v="0"/>
    <n v="98.9"/>
    <x v="5"/>
    <n v="2172.37"/>
    <x v="0"/>
    <x v="1"/>
    <x v="1"/>
    <x v="0"/>
    <x v="1"/>
  </r>
  <r>
    <x v="212"/>
    <n v="49"/>
    <s v="Female"/>
    <n v="57"/>
    <n v="92.16"/>
    <x v="1"/>
    <s v="Credit Card"/>
    <n v="3"/>
    <n v="51.1"/>
    <x v="5"/>
    <n v="5228.3599999999997"/>
    <x v="0"/>
    <x v="0"/>
    <x v="1"/>
    <x v="0"/>
    <x v="1"/>
  </r>
  <r>
    <x v="213"/>
    <n v="41"/>
    <s v="Female"/>
    <n v="18"/>
    <n v="24.81"/>
    <x v="1"/>
    <s v="PayPal"/>
    <n v="0"/>
    <n v="16.600000000000001"/>
    <x v="4"/>
    <n v="422.11"/>
    <x v="0"/>
    <x v="1"/>
    <x v="1"/>
    <x v="0"/>
    <x v="1"/>
  </r>
  <r>
    <x v="214"/>
    <n v="58"/>
    <s v="Male"/>
    <n v="47"/>
    <n v="98.15"/>
    <x v="1"/>
    <s v="PayPal"/>
    <n v="2"/>
    <n v="73.900000000000006"/>
    <x v="1"/>
    <n v="4742.6499999999996"/>
    <x v="1"/>
    <x v="0"/>
    <x v="1"/>
    <x v="0"/>
    <x v="1"/>
  </r>
  <r>
    <x v="215"/>
    <n v="69"/>
    <s v="Male"/>
    <n v="49"/>
    <n v="102.79"/>
    <x v="0"/>
    <s v="Credit Card"/>
    <n v="5"/>
    <n v="35.700000000000003"/>
    <x v="4"/>
    <n v="5519.21"/>
    <x v="1"/>
    <x v="0"/>
    <x v="1"/>
    <x v="0"/>
    <x v="1"/>
  </r>
  <r>
    <x v="216"/>
    <n v="66"/>
    <s v="Female"/>
    <n v="14"/>
    <n v="95.05"/>
    <x v="0"/>
    <s v="Credit Card"/>
    <n v="2"/>
    <n v="99.7"/>
    <x v="5"/>
    <n v="1358.24"/>
    <x v="0"/>
    <x v="1"/>
    <x v="1"/>
    <x v="2"/>
    <x v="1"/>
  </r>
  <r>
    <x v="217"/>
    <n v="66"/>
    <s v="Male"/>
    <n v="15"/>
    <n v="99.95"/>
    <x v="2"/>
    <s v="PayPal"/>
    <n v="1"/>
    <n v="98.1"/>
    <x v="2"/>
    <n v="1456.62"/>
    <x v="1"/>
    <x v="1"/>
    <x v="0"/>
    <x v="2"/>
    <x v="1"/>
  </r>
  <r>
    <x v="218"/>
    <n v="69"/>
    <s v="Female"/>
    <n v="31"/>
    <n v="102.51"/>
    <x v="1"/>
    <s v="Credit Card"/>
    <n v="3"/>
    <n v="67.3"/>
    <x v="3"/>
    <n v="3271.76"/>
    <x v="0"/>
    <x v="0"/>
    <x v="1"/>
    <x v="0"/>
    <x v="1"/>
  </r>
  <r>
    <x v="219"/>
    <n v="29"/>
    <s v="Male"/>
    <n v="1"/>
    <n v="38.64"/>
    <x v="0"/>
    <s v="Credit Card"/>
    <n v="2"/>
    <n v="17.3"/>
    <x v="6"/>
    <n v="35.729999999999997"/>
    <x v="1"/>
    <x v="4"/>
    <x v="2"/>
    <x v="0"/>
    <x v="1"/>
  </r>
  <r>
    <x v="220"/>
    <n v="56"/>
    <s v="Female"/>
    <n v="54"/>
    <n v="43.57"/>
    <x v="1"/>
    <s v="Credit Card"/>
    <n v="1"/>
    <n v="70.3"/>
    <x v="4"/>
    <n v="2535.67"/>
    <x v="1"/>
    <x v="0"/>
    <x v="1"/>
    <x v="0"/>
    <x v="1"/>
  </r>
  <r>
    <x v="221"/>
    <n v="19"/>
    <s v="Male"/>
    <n v="3"/>
    <n v="83.38"/>
    <x v="1"/>
    <s v="Bank Transfer"/>
    <n v="0"/>
    <n v="13.8"/>
    <x v="1"/>
    <n v="250.29"/>
    <x v="0"/>
    <x v="4"/>
    <x v="1"/>
    <x v="0"/>
    <x v="1"/>
  </r>
  <r>
    <x v="222"/>
    <n v="20"/>
    <s v="Female"/>
    <n v="16"/>
    <n v="110.79"/>
    <x v="1"/>
    <s v="PayPal"/>
    <n v="3"/>
    <n v="7.8"/>
    <x v="1"/>
    <n v="1754.68"/>
    <x v="0"/>
    <x v="1"/>
    <x v="1"/>
    <x v="0"/>
    <x v="1"/>
  </r>
  <r>
    <x v="223"/>
    <n v="66"/>
    <s v="Male"/>
    <n v="57"/>
    <n v="51.62"/>
    <x v="1"/>
    <s v="PayPal"/>
    <n v="0"/>
    <n v="83.2"/>
    <x v="9"/>
    <n v="2992.87"/>
    <x v="0"/>
    <x v="0"/>
    <x v="3"/>
    <x v="0"/>
    <x v="1"/>
  </r>
  <r>
    <x v="224"/>
    <n v="54"/>
    <s v="Female"/>
    <n v="12"/>
    <n v="78.83"/>
    <x v="0"/>
    <s v="Bank Transfer"/>
    <n v="1"/>
    <n v="24.9"/>
    <x v="3"/>
    <n v="969.57"/>
    <x v="1"/>
    <x v="2"/>
    <x v="1"/>
    <x v="0"/>
    <x v="1"/>
  </r>
  <r>
    <x v="225"/>
    <n v="66"/>
    <s v="Female"/>
    <n v="16"/>
    <n v="88.3"/>
    <x v="1"/>
    <s v="PayPal"/>
    <n v="4"/>
    <n v="41"/>
    <x v="8"/>
    <n v="1291.8"/>
    <x v="1"/>
    <x v="1"/>
    <x v="3"/>
    <x v="0"/>
    <x v="1"/>
  </r>
  <r>
    <x v="226"/>
    <n v="34"/>
    <s v="Male"/>
    <n v="24"/>
    <n v="65.19"/>
    <x v="1"/>
    <s v="Credit Card"/>
    <n v="0"/>
    <n v="97.5"/>
    <x v="7"/>
    <n v="1621.7"/>
    <x v="0"/>
    <x v="1"/>
    <x v="2"/>
    <x v="2"/>
    <x v="1"/>
  </r>
  <r>
    <x v="227"/>
    <n v="66"/>
    <s v="Male"/>
    <n v="28"/>
    <n v="91.38"/>
    <x v="1"/>
    <s v="PayPal"/>
    <n v="0"/>
    <n v="37"/>
    <x v="5"/>
    <n v="2426.58"/>
    <x v="1"/>
    <x v="0"/>
    <x v="1"/>
    <x v="0"/>
    <x v="1"/>
  </r>
  <r>
    <x v="228"/>
    <n v="19"/>
    <s v="Female"/>
    <n v="8"/>
    <n v="109.97"/>
    <x v="1"/>
    <s v="Credit Card"/>
    <n v="1"/>
    <n v="33.200000000000003"/>
    <x v="8"/>
    <n v="917.41"/>
    <x v="0"/>
    <x v="2"/>
    <x v="3"/>
    <x v="0"/>
    <x v="1"/>
  </r>
  <r>
    <x v="229"/>
    <n v="19"/>
    <s v="Male"/>
    <n v="36"/>
    <n v="82.41"/>
    <x v="1"/>
    <s v="Bank Transfer"/>
    <n v="2"/>
    <n v="92.2"/>
    <x v="9"/>
    <n v="3158.14"/>
    <x v="0"/>
    <x v="0"/>
    <x v="3"/>
    <x v="2"/>
    <x v="1"/>
  </r>
  <r>
    <x v="230"/>
    <n v="45"/>
    <s v="Female"/>
    <n v="8"/>
    <n v="73.98"/>
    <x v="2"/>
    <s v="Credit Card"/>
    <n v="1"/>
    <n v="15.5"/>
    <x v="5"/>
    <n v="627.82000000000005"/>
    <x v="1"/>
    <x v="2"/>
    <x v="1"/>
    <x v="0"/>
    <x v="1"/>
  </r>
  <r>
    <x v="231"/>
    <n v="40"/>
    <s v="Male"/>
    <n v="58"/>
    <n v="63.87"/>
    <x v="1"/>
    <s v="PayPal"/>
    <n v="3"/>
    <n v="77.2"/>
    <x v="3"/>
    <n v="3743.36"/>
    <x v="1"/>
    <x v="0"/>
    <x v="1"/>
    <x v="2"/>
    <x v="1"/>
  </r>
  <r>
    <x v="232"/>
    <n v="54"/>
    <s v="Female"/>
    <n v="60"/>
    <n v="77.75"/>
    <x v="1"/>
    <s v="PayPal"/>
    <n v="4"/>
    <n v="98.9"/>
    <x v="9"/>
    <n v="4683.82"/>
    <x v="1"/>
    <x v="0"/>
    <x v="3"/>
    <x v="2"/>
    <x v="1"/>
  </r>
  <r>
    <x v="233"/>
    <n v="49"/>
    <s v="Female"/>
    <n v="50"/>
    <n v="55.54"/>
    <x v="1"/>
    <s v="PayPal"/>
    <n v="2"/>
    <n v="90.6"/>
    <x v="5"/>
    <n v="2578.65"/>
    <x v="0"/>
    <x v="0"/>
    <x v="1"/>
    <x v="2"/>
    <x v="1"/>
  </r>
  <r>
    <x v="234"/>
    <n v="50"/>
    <s v="Female"/>
    <n v="28"/>
    <n v="59.15"/>
    <x v="0"/>
    <s v="Bank Transfer"/>
    <n v="3"/>
    <n v="66.900000000000006"/>
    <x v="3"/>
    <n v="1747.41"/>
    <x v="0"/>
    <x v="0"/>
    <x v="1"/>
    <x v="0"/>
    <x v="1"/>
  </r>
  <r>
    <x v="235"/>
    <n v="18"/>
    <s v="Female"/>
    <n v="41"/>
    <n v="73.19"/>
    <x v="2"/>
    <s v="Bank Transfer"/>
    <n v="0"/>
    <n v="34.799999999999997"/>
    <x v="0"/>
    <n v="2863.6"/>
    <x v="1"/>
    <x v="0"/>
    <x v="0"/>
    <x v="0"/>
    <x v="1"/>
  </r>
  <r>
    <x v="236"/>
    <n v="36"/>
    <s v="Female"/>
    <n v="64"/>
    <n v="26.66"/>
    <x v="0"/>
    <s v="PayPal"/>
    <n v="2"/>
    <n v="29.2"/>
    <x v="8"/>
    <n v="1705.11"/>
    <x v="1"/>
    <x v="0"/>
    <x v="3"/>
    <x v="0"/>
    <x v="1"/>
  </r>
  <r>
    <x v="237"/>
    <n v="19"/>
    <s v="Female"/>
    <n v="27"/>
    <n v="42.9"/>
    <x v="0"/>
    <s v="Credit Card"/>
    <n v="2"/>
    <n v="82.8"/>
    <x v="8"/>
    <n v="1108.32"/>
    <x v="1"/>
    <x v="0"/>
    <x v="3"/>
    <x v="0"/>
    <x v="1"/>
  </r>
  <r>
    <x v="238"/>
    <n v="61"/>
    <s v="Male"/>
    <n v="63"/>
    <n v="74.28"/>
    <x v="1"/>
    <s v="Bank Transfer"/>
    <n v="1"/>
    <n v="88.6"/>
    <x v="7"/>
    <n v="4336.93"/>
    <x v="0"/>
    <x v="0"/>
    <x v="2"/>
    <x v="0"/>
    <x v="1"/>
  </r>
  <r>
    <x v="239"/>
    <n v="43"/>
    <s v="Male"/>
    <n v="17"/>
    <n v="63.15"/>
    <x v="1"/>
    <s v="PayPal"/>
    <n v="2"/>
    <n v="54.9"/>
    <x v="3"/>
    <n v="1101.3699999999999"/>
    <x v="1"/>
    <x v="1"/>
    <x v="1"/>
    <x v="2"/>
    <x v="1"/>
  </r>
  <r>
    <x v="240"/>
    <n v="49"/>
    <s v="Male"/>
    <n v="33"/>
    <n v="53.28"/>
    <x v="2"/>
    <s v="PayPal"/>
    <n v="2"/>
    <n v="28.2"/>
    <x v="4"/>
    <n v="1601.52"/>
    <x v="0"/>
    <x v="0"/>
    <x v="1"/>
    <x v="0"/>
    <x v="1"/>
  </r>
  <r>
    <x v="241"/>
    <n v="23"/>
    <s v="Female"/>
    <n v="29"/>
    <n v="93.05"/>
    <x v="0"/>
    <s v="Bank Transfer"/>
    <n v="2"/>
    <n v="15.7"/>
    <x v="0"/>
    <n v="2832.64"/>
    <x v="0"/>
    <x v="0"/>
    <x v="0"/>
    <x v="0"/>
    <x v="1"/>
  </r>
  <r>
    <x v="242"/>
    <n v="49"/>
    <s v="Female"/>
    <n v="13"/>
    <n v="89.37"/>
    <x v="0"/>
    <s v="Bank Transfer"/>
    <n v="1"/>
    <n v="13.3"/>
    <x v="2"/>
    <n v="1119.42"/>
    <x v="1"/>
    <x v="1"/>
    <x v="0"/>
    <x v="0"/>
    <x v="1"/>
  </r>
  <r>
    <x v="243"/>
    <n v="21"/>
    <s v="Female"/>
    <n v="46"/>
    <n v="36.67"/>
    <x v="0"/>
    <s v="Bank Transfer"/>
    <n v="3"/>
    <n v="73.3"/>
    <x v="5"/>
    <n v="1518.18"/>
    <x v="0"/>
    <x v="0"/>
    <x v="1"/>
    <x v="0"/>
    <x v="1"/>
  </r>
  <r>
    <x v="244"/>
    <n v="28"/>
    <s v="Female"/>
    <n v="35"/>
    <n v="107.86"/>
    <x v="0"/>
    <s v="Credit Card"/>
    <n v="4"/>
    <n v="44.9"/>
    <x v="0"/>
    <n v="3783.5"/>
    <x v="1"/>
    <x v="0"/>
    <x v="0"/>
    <x v="0"/>
    <x v="1"/>
  </r>
  <r>
    <x v="245"/>
    <n v="34"/>
    <s v="Male"/>
    <n v="6"/>
    <n v="69.540000000000006"/>
    <x v="0"/>
    <s v="Credit Card"/>
    <n v="2"/>
    <n v="91"/>
    <x v="3"/>
    <n v="379.43"/>
    <x v="0"/>
    <x v="3"/>
    <x v="1"/>
    <x v="0"/>
    <x v="1"/>
  </r>
  <r>
    <x v="246"/>
    <n v="55"/>
    <s v="Male"/>
    <n v="69"/>
    <n v="94.15"/>
    <x v="2"/>
    <s v="PayPal"/>
    <n v="3"/>
    <n v="75.3"/>
    <x v="6"/>
    <n v="6205.53"/>
    <x v="0"/>
    <x v="0"/>
    <x v="2"/>
    <x v="2"/>
    <x v="1"/>
  </r>
  <r>
    <x v="247"/>
    <n v="41"/>
    <s v="Female"/>
    <n v="47"/>
    <n v="77.319999999999993"/>
    <x v="2"/>
    <s v="Bank Transfer"/>
    <n v="3"/>
    <n v="23.2"/>
    <x v="5"/>
    <n v="3784.47"/>
    <x v="0"/>
    <x v="0"/>
    <x v="1"/>
    <x v="2"/>
    <x v="1"/>
  </r>
  <r>
    <x v="248"/>
    <n v="22"/>
    <s v="Male"/>
    <n v="25"/>
    <n v="119.77"/>
    <x v="0"/>
    <s v="Credit Card"/>
    <n v="3"/>
    <n v="63.3"/>
    <x v="1"/>
    <n v="2732.37"/>
    <x v="0"/>
    <x v="0"/>
    <x v="1"/>
    <x v="2"/>
    <x v="1"/>
  </r>
  <r>
    <x v="249"/>
    <n v="69"/>
    <s v="Male"/>
    <n v="66"/>
    <n v="95.24"/>
    <x v="0"/>
    <s v="Bank Transfer"/>
    <n v="5"/>
    <n v="46.4"/>
    <x v="8"/>
    <n v="6712.45"/>
    <x v="1"/>
    <x v="0"/>
    <x v="3"/>
    <x v="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n v="1"/>
    <n v="56"/>
    <s v="Female"/>
    <n v="58"/>
    <n v="28.27"/>
    <s v="1-Year"/>
    <s v="Credit Card"/>
    <n v="2"/>
    <n v="52.7"/>
    <n v="6"/>
    <n v="1614.09"/>
    <n v="1"/>
    <s v="&gt;24m"/>
    <s v="5–6"/>
    <x v="0"/>
    <x v="0"/>
  </r>
  <r>
    <n v="2"/>
    <n v="69"/>
    <s v="Female"/>
    <n v="63"/>
    <n v="107.67"/>
    <s v="1-Year"/>
    <s v="Credit Card"/>
    <n v="1"/>
    <n v="16.8"/>
    <n v="1"/>
    <n v="6505.15"/>
    <n v="1"/>
    <s v="&gt;24m"/>
    <s v="1–4"/>
    <x v="0"/>
    <x v="1"/>
  </r>
  <r>
    <n v="3"/>
    <n v="46"/>
    <s v="Female"/>
    <n v="62"/>
    <n v="75.16"/>
    <s v="Month-to-Month"/>
    <s v="Bank Transfer"/>
    <n v="1"/>
    <n v="41.6"/>
    <n v="5"/>
    <n v="4646.87"/>
    <n v="0"/>
    <s v="&gt;24m"/>
    <s v="5–6"/>
    <x v="1"/>
    <x v="2"/>
  </r>
  <r>
    <n v="4"/>
    <n v="32"/>
    <s v="Male"/>
    <n v="22"/>
    <n v="36.479999999999997"/>
    <s v="Month-to-Month"/>
    <s v="PayPal"/>
    <n v="1"/>
    <n v="66.099999999999994"/>
    <n v="3"/>
    <n v="814.95"/>
    <n v="1"/>
    <s v="13–24m"/>
    <s v="1–4"/>
    <x v="0"/>
    <x v="0"/>
  </r>
  <r>
    <n v="5"/>
    <n v="60"/>
    <s v="Male"/>
    <n v="58"/>
    <n v="61.13"/>
    <s v="1-Year"/>
    <s v="Bank Transfer"/>
    <n v="3"/>
    <n v="79.099999999999994"/>
    <n v="1"/>
    <n v="3222"/>
    <n v="1"/>
    <s v="&gt;24m"/>
    <s v="1–4"/>
    <x v="2"/>
    <x v="3"/>
  </r>
  <r>
    <n v="6"/>
    <n v="25"/>
    <s v="Female"/>
    <n v="58"/>
    <n v="97.76"/>
    <s v="Month-to-Month"/>
    <s v="PayPal"/>
    <n v="2"/>
    <n v="25.6"/>
    <n v="4"/>
    <n v="5242.5600000000004"/>
    <n v="1"/>
    <s v="&gt;24m"/>
    <s v="1–4"/>
    <x v="0"/>
    <x v="1"/>
  </r>
  <r>
    <n v="7"/>
    <n v="38"/>
    <s v="Female"/>
    <n v="49"/>
    <n v="68.040000000000006"/>
    <s v="1-Year"/>
    <s v="Credit Card"/>
    <n v="2"/>
    <n v="18.100000000000001"/>
    <n v="2"/>
    <n v="3373.06"/>
    <n v="1"/>
    <s v="&gt;24m"/>
    <s v="1–4"/>
    <x v="0"/>
    <x v="3"/>
  </r>
  <r>
    <n v="8"/>
    <n v="56"/>
    <s v="Male"/>
    <n v="52"/>
    <n v="118.53"/>
    <s v="Month-to-Month"/>
    <s v="PayPal"/>
    <n v="3"/>
    <n v="68"/>
    <n v="2"/>
    <n v="5970.23"/>
    <n v="0"/>
    <s v="&gt;24m"/>
    <s v="1–4"/>
    <x v="0"/>
    <x v="1"/>
  </r>
  <r>
    <n v="9"/>
    <n v="36"/>
    <s v="Male"/>
    <n v="42"/>
    <n v="57.67"/>
    <s v="Month-to-Month"/>
    <s v="Bank Transfer"/>
    <n v="0"/>
    <n v="5.2"/>
    <n v="3"/>
    <n v="2533.16"/>
    <n v="1"/>
    <s v="&gt;24m"/>
    <s v="1–4"/>
    <x v="1"/>
    <x v="3"/>
  </r>
  <r>
    <n v="10"/>
    <n v="40"/>
    <s v="Female"/>
    <n v="70"/>
    <n v="94.96"/>
    <s v="Month-to-Month"/>
    <s v="Credit Card"/>
    <n v="5"/>
    <n v="21.9"/>
    <n v="8"/>
    <n v="6849.66"/>
    <n v="0"/>
    <s v="&gt;24m"/>
    <s v="7–8"/>
    <x v="1"/>
    <x v="2"/>
  </r>
  <r>
    <n v="11"/>
    <n v="28"/>
    <s v="Male"/>
    <n v="15"/>
    <n v="59.3"/>
    <s v="Month-to-Month"/>
    <s v="Bank Transfer"/>
    <n v="1"/>
    <n v="7.8"/>
    <n v="8"/>
    <n v="950.98"/>
    <n v="0"/>
    <s v="13–24m"/>
    <s v="7–8"/>
    <x v="1"/>
    <x v="3"/>
  </r>
  <r>
    <n v="12"/>
    <n v="28"/>
    <s v="Female"/>
    <n v="54"/>
    <n v="102.92"/>
    <s v="1-Year"/>
    <s v="Bank Transfer"/>
    <n v="3"/>
    <n v="20.9"/>
    <n v="7"/>
    <n v="5771.64"/>
    <n v="0"/>
    <s v="&gt;24m"/>
    <s v="7–8"/>
    <x v="0"/>
    <x v="1"/>
  </r>
  <r>
    <n v="13"/>
    <n v="41"/>
    <s v="Female"/>
    <n v="60"/>
    <n v="76.91"/>
    <s v="Month-to-Month"/>
    <s v="PayPal"/>
    <n v="0"/>
    <n v="22.2"/>
    <n v="6"/>
    <n v="4549.93"/>
    <n v="0"/>
    <s v="&gt;24m"/>
    <s v="5–6"/>
    <x v="2"/>
    <x v="2"/>
  </r>
  <r>
    <n v="14"/>
    <n v="53"/>
    <s v="Male"/>
    <n v="8"/>
    <n v="26.35"/>
    <s v="Month-to-Month"/>
    <s v="Bank Transfer"/>
    <n v="1"/>
    <n v="41.8"/>
    <n v="9"/>
    <n v="218.09"/>
    <n v="1"/>
    <s v="7–12m"/>
    <s v="9–10"/>
    <x v="2"/>
    <x v="0"/>
  </r>
  <r>
    <n v="15"/>
    <n v="57"/>
    <s v="Male"/>
    <n v="53"/>
    <n v="23.68"/>
    <s v="Month-to-Month"/>
    <s v="PayPal"/>
    <n v="1"/>
    <n v="43.2"/>
    <n v="4"/>
    <n v="1198.6600000000001"/>
    <n v="0"/>
    <s v="&gt;24m"/>
    <s v="1–4"/>
    <x v="0"/>
    <x v="0"/>
  </r>
  <r>
    <n v="16"/>
    <n v="41"/>
    <s v="Female"/>
    <n v="60"/>
    <n v="33.39"/>
    <s v="Month-to-Month"/>
    <s v="Credit Card"/>
    <n v="3"/>
    <n v="88.1"/>
    <n v="1"/>
    <n v="1925.79"/>
    <n v="1"/>
    <s v="&gt;24m"/>
    <s v="1–4"/>
    <x v="2"/>
    <x v="0"/>
  </r>
  <r>
    <n v="17"/>
    <n v="20"/>
    <s v="Female"/>
    <n v="5"/>
    <n v="21.37"/>
    <s v="1-Year"/>
    <s v="PayPal"/>
    <n v="3"/>
    <n v="53.5"/>
    <n v="8"/>
    <n v="113.03"/>
    <n v="0"/>
    <s v="4–6m"/>
    <s v="7–8"/>
    <x v="0"/>
    <x v="0"/>
  </r>
  <r>
    <n v="18"/>
    <n v="39"/>
    <s v="Male"/>
    <n v="68"/>
    <n v="27.54"/>
    <s v="Month-to-Month"/>
    <s v="Credit Card"/>
    <n v="2"/>
    <n v="73.7"/>
    <n v="7"/>
    <n v="1852.65"/>
    <n v="0"/>
    <s v="&gt;24m"/>
    <s v="7–8"/>
    <x v="0"/>
    <x v="0"/>
  </r>
  <r>
    <n v="19"/>
    <n v="19"/>
    <s v="Female"/>
    <n v="6"/>
    <n v="89.17"/>
    <s v="Month-to-Month"/>
    <s v="PayPal"/>
    <n v="6"/>
    <n v="14.9"/>
    <n v="7"/>
    <n v="566.95000000000005"/>
    <n v="1"/>
    <s v="4–6m"/>
    <s v="7–8"/>
    <x v="1"/>
    <x v="2"/>
  </r>
  <r>
    <n v="20"/>
    <n v="41"/>
    <s v="Male"/>
    <n v="47"/>
    <n v="73.430000000000007"/>
    <s v="Month-to-Month"/>
    <s v="Bank Transfer"/>
    <n v="3"/>
    <n v="26.4"/>
    <n v="3"/>
    <n v="3673.76"/>
    <n v="1"/>
    <s v="&gt;24m"/>
    <s v="1–4"/>
    <x v="1"/>
    <x v="3"/>
  </r>
  <r>
    <n v="21"/>
    <n v="61"/>
    <s v="Female"/>
    <n v="55"/>
    <n v="94.99"/>
    <s v="1-Year"/>
    <s v="PayPal"/>
    <n v="4"/>
    <n v="71.8"/>
    <n v="4"/>
    <n v="5598.06"/>
    <n v="0"/>
    <s v="&gt;24m"/>
    <s v="1–4"/>
    <x v="0"/>
    <x v="2"/>
  </r>
  <r>
    <n v="22"/>
    <n v="47"/>
    <s v="Male"/>
    <n v="40"/>
    <n v="111.32"/>
    <s v="Month-to-Month"/>
    <s v="PayPal"/>
    <n v="1"/>
    <n v="10"/>
    <n v="10"/>
    <n v="4823.84"/>
    <n v="1"/>
    <s v="&gt;24m"/>
    <s v="9–10"/>
    <x v="1"/>
    <x v="1"/>
  </r>
  <r>
    <n v="23"/>
    <n v="55"/>
    <s v="Male"/>
    <n v="52"/>
    <n v="78.510000000000005"/>
    <s v="1-Year"/>
    <s v="Credit Card"/>
    <n v="0"/>
    <n v="51.2"/>
    <n v="9"/>
    <n v="4026.17"/>
    <n v="1"/>
    <s v="&gt;24m"/>
    <s v="9–10"/>
    <x v="1"/>
    <x v="2"/>
  </r>
  <r>
    <n v="24"/>
    <n v="19"/>
    <s v="Male"/>
    <n v="16"/>
    <n v="92.61"/>
    <s v="2-Year"/>
    <s v="Bank Transfer"/>
    <n v="1"/>
    <n v="61.9"/>
    <n v="6"/>
    <n v="1428.08"/>
    <n v="0"/>
    <s v="13–24m"/>
    <s v="5–6"/>
    <x v="2"/>
    <x v="2"/>
  </r>
  <r>
    <n v="25"/>
    <n v="38"/>
    <s v="Female"/>
    <n v="13"/>
    <n v="95.71"/>
    <s v="Month-to-Month"/>
    <s v="PayPal"/>
    <n v="1"/>
    <n v="62.2"/>
    <n v="5"/>
    <n v="1264.68"/>
    <n v="0"/>
    <s v="13–24m"/>
    <s v="5–6"/>
    <x v="2"/>
    <x v="1"/>
  </r>
  <r>
    <n v="26"/>
    <n v="50"/>
    <s v="Female"/>
    <n v="30"/>
    <n v="57.79"/>
    <s v="Month-to-Month"/>
    <s v="Bank Transfer"/>
    <n v="4"/>
    <n v="7.2"/>
    <n v="3"/>
    <n v="1689.03"/>
    <n v="0"/>
    <s v="&gt;24m"/>
    <s v="1–4"/>
    <x v="1"/>
    <x v="3"/>
  </r>
  <r>
    <n v="27"/>
    <n v="29"/>
    <s v="Male"/>
    <n v="19"/>
    <n v="44.11"/>
    <s v="Month-to-Month"/>
    <s v="PayPal"/>
    <n v="1"/>
    <n v="35.6"/>
    <n v="9"/>
    <n v="855.03"/>
    <n v="0"/>
    <s v="13–24m"/>
    <s v="9–10"/>
    <x v="0"/>
    <x v="0"/>
  </r>
  <r>
    <n v="28"/>
    <n v="39"/>
    <s v="Female"/>
    <n v="17"/>
    <n v="40.5"/>
    <s v="Month-to-Month"/>
    <s v="PayPal"/>
    <n v="2"/>
    <n v="65.5"/>
    <n v="5"/>
    <n v="716.81"/>
    <n v="0"/>
    <s v="13–24m"/>
    <s v="5–6"/>
    <x v="0"/>
    <x v="0"/>
  </r>
  <r>
    <n v="29"/>
    <n v="61"/>
    <s v="Male"/>
    <n v="63"/>
    <n v="45.14"/>
    <s v="1-Year"/>
    <s v="Bank Transfer"/>
    <n v="1"/>
    <n v="19.2"/>
    <n v="5"/>
    <n v="2950.98"/>
    <n v="0"/>
    <s v="&gt;24m"/>
    <s v="5–6"/>
    <x v="0"/>
    <x v="0"/>
  </r>
  <r>
    <n v="30"/>
    <n v="42"/>
    <s v="Male"/>
    <n v="19"/>
    <n v="47.47"/>
    <s v="2-Year"/>
    <s v="PayPal"/>
    <n v="1"/>
    <n v="71.099999999999994"/>
    <n v="4"/>
    <n v="879.3"/>
    <n v="1"/>
    <s v="13–24m"/>
    <s v="1–4"/>
    <x v="2"/>
    <x v="0"/>
  </r>
  <r>
    <n v="31"/>
    <n v="66"/>
    <s v="Female"/>
    <n v="58"/>
    <n v="40.72"/>
    <s v="Month-to-Month"/>
    <s v="Bank Transfer"/>
    <n v="2"/>
    <n v="75.900000000000006"/>
    <n v="4"/>
    <n v="2204.4"/>
    <n v="1"/>
    <s v="&gt;24m"/>
    <s v="1–4"/>
    <x v="2"/>
    <x v="0"/>
  </r>
  <r>
    <n v="32"/>
    <n v="44"/>
    <s v="Female"/>
    <n v="55"/>
    <n v="107.82"/>
    <s v="Month-to-Month"/>
    <s v="PayPal"/>
    <n v="2"/>
    <n v="98.3"/>
    <n v="1"/>
    <n v="5847.71"/>
    <n v="0"/>
    <s v="&gt;24m"/>
    <s v="1–4"/>
    <x v="2"/>
    <x v="1"/>
  </r>
  <r>
    <n v="33"/>
    <n v="59"/>
    <s v="Male"/>
    <n v="62"/>
    <n v="95.7"/>
    <s v="Month-to-Month"/>
    <s v="Credit Card"/>
    <n v="4"/>
    <n v="24.9"/>
    <n v="7"/>
    <n v="5509.27"/>
    <n v="0"/>
    <s v="&gt;24m"/>
    <s v="7–8"/>
    <x v="0"/>
    <x v="1"/>
  </r>
  <r>
    <n v="34"/>
    <n v="45"/>
    <s v="Female"/>
    <n v="23"/>
    <n v="24.69"/>
    <s v="1-Year"/>
    <s v="Bank Transfer"/>
    <n v="5"/>
    <n v="83.4"/>
    <n v="9"/>
    <n v="612.16999999999996"/>
    <n v="1"/>
    <s v="13–24m"/>
    <s v="9–10"/>
    <x v="2"/>
    <x v="0"/>
  </r>
  <r>
    <n v="35"/>
    <n v="33"/>
    <s v="Female"/>
    <n v="9"/>
    <n v="46.87"/>
    <s v="Month-to-Month"/>
    <s v="PayPal"/>
    <n v="0"/>
    <n v="54.4"/>
    <n v="3"/>
    <n v="408.83"/>
    <n v="1"/>
    <s v="7–12m"/>
    <s v="1–4"/>
    <x v="0"/>
    <x v="0"/>
  </r>
  <r>
    <n v="36"/>
    <n v="32"/>
    <s v="Male"/>
    <n v="12"/>
    <n v="22.22"/>
    <s v="Month-to-Month"/>
    <s v="PayPal"/>
    <n v="1"/>
    <n v="40.5"/>
    <n v="2"/>
    <n v="248.21"/>
    <n v="0"/>
    <s v="7–12m"/>
    <s v="1–4"/>
    <x v="0"/>
    <x v="0"/>
  </r>
  <r>
    <n v="37"/>
    <n v="64"/>
    <s v="Male"/>
    <n v="1"/>
    <n v="69.819999999999993"/>
    <s v="2-Year"/>
    <s v="Credit Card"/>
    <n v="1"/>
    <n v="16.600000000000001"/>
    <n v="3"/>
    <n v="63.19"/>
    <n v="0"/>
    <s v="0–3m"/>
    <s v="1–4"/>
    <x v="0"/>
    <x v="3"/>
  </r>
  <r>
    <n v="38"/>
    <n v="68"/>
    <s v="Female"/>
    <n v="58"/>
    <n v="67.62"/>
    <s v="1-Year"/>
    <s v="Bank Transfer"/>
    <n v="3"/>
    <n v="74.900000000000006"/>
    <n v="1"/>
    <n v="4036.34"/>
    <n v="0"/>
    <s v="&gt;24m"/>
    <s v="1–4"/>
    <x v="0"/>
    <x v="3"/>
  </r>
  <r>
    <n v="39"/>
    <n v="61"/>
    <s v="Male"/>
    <n v="1"/>
    <n v="103.14"/>
    <s v="Month-to-Month"/>
    <s v="PayPal"/>
    <n v="2"/>
    <n v="27.4"/>
    <n v="6"/>
    <n v="105.96"/>
    <n v="1"/>
    <s v="0–3m"/>
    <s v="5–6"/>
    <x v="0"/>
    <x v="1"/>
  </r>
  <r>
    <n v="40"/>
    <n v="69"/>
    <s v="Male"/>
    <n v="34"/>
    <n v="50.78"/>
    <s v="1-Year"/>
    <s v="Credit Card"/>
    <n v="2"/>
    <n v="40.299999999999997"/>
    <n v="7"/>
    <n v="1671.48"/>
    <n v="0"/>
    <s v="&gt;24m"/>
    <s v="7–8"/>
    <x v="0"/>
    <x v="0"/>
  </r>
  <r>
    <n v="41"/>
    <n v="20"/>
    <s v="Female"/>
    <n v="48"/>
    <n v="101.64"/>
    <s v="1-Year"/>
    <s v="PayPal"/>
    <n v="3"/>
    <n v="10.9"/>
    <n v="2"/>
    <n v="4460.82"/>
    <n v="1"/>
    <s v="&gt;24m"/>
    <s v="1–4"/>
    <x v="0"/>
    <x v="1"/>
  </r>
  <r>
    <n v="42"/>
    <n v="54"/>
    <s v="Male"/>
    <n v="1"/>
    <n v="116.8"/>
    <s v="Month-to-Month"/>
    <s v="Bank Transfer"/>
    <n v="0"/>
    <n v="81.099999999999994"/>
    <n v="8"/>
    <n v="114.69"/>
    <n v="1"/>
    <s v="0–3m"/>
    <s v="7–8"/>
    <x v="2"/>
    <x v="1"/>
  </r>
  <r>
    <n v="43"/>
    <n v="68"/>
    <s v="Male"/>
    <n v="16"/>
    <n v="28.84"/>
    <s v="Month-to-Month"/>
    <s v="PayPal"/>
    <n v="2"/>
    <n v="77.8"/>
    <n v="6"/>
    <n v="444.02"/>
    <n v="1"/>
    <s v="13–24m"/>
    <s v="5–6"/>
    <x v="2"/>
    <x v="0"/>
  </r>
  <r>
    <n v="44"/>
    <n v="24"/>
    <s v="Female"/>
    <n v="61"/>
    <n v="99.18"/>
    <s v="Month-to-Month"/>
    <s v="PayPal"/>
    <n v="4"/>
    <n v="74.7"/>
    <n v="4"/>
    <n v="6264.3"/>
    <n v="0"/>
    <s v="&gt;24m"/>
    <s v="1–4"/>
    <x v="0"/>
    <x v="1"/>
  </r>
  <r>
    <n v="45"/>
    <n v="38"/>
    <s v="Female"/>
    <n v="64"/>
    <n v="79"/>
    <s v="Month-to-Month"/>
    <s v="PayPal"/>
    <n v="5"/>
    <n v="33.4"/>
    <n v="5"/>
    <n v="5162.96"/>
    <n v="1"/>
    <s v="&gt;24m"/>
    <s v="5–6"/>
    <x v="0"/>
    <x v="2"/>
  </r>
  <r>
    <n v="46"/>
    <n v="26"/>
    <s v="Male"/>
    <n v="63"/>
    <n v="68"/>
    <s v="1-Year"/>
    <s v="PayPal"/>
    <n v="4"/>
    <n v="21.5"/>
    <n v="8"/>
    <n v="4167.9799999999996"/>
    <n v="0"/>
    <s v="&gt;24m"/>
    <s v="7–8"/>
    <x v="0"/>
    <x v="3"/>
  </r>
  <r>
    <n v="47"/>
    <n v="56"/>
    <s v="Male"/>
    <n v="69"/>
    <n v="62.05"/>
    <s v="2-Year"/>
    <s v="Credit Card"/>
    <n v="0"/>
    <n v="65.599999999999994"/>
    <n v="3"/>
    <n v="4039.88"/>
    <n v="0"/>
    <s v="&gt;24m"/>
    <s v="1–4"/>
    <x v="0"/>
    <x v="3"/>
  </r>
  <r>
    <n v="48"/>
    <n v="35"/>
    <s v="Female"/>
    <n v="22"/>
    <n v="98.47"/>
    <s v="Month-to-Month"/>
    <s v="Credit Card"/>
    <n v="1"/>
    <n v="52.1"/>
    <n v="3"/>
    <n v="2377.79"/>
    <n v="1"/>
    <s v="13–24m"/>
    <s v="1–4"/>
    <x v="0"/>
    <x v="1"/>
  </r>
  <r>
    <n v="49"/>
    <n v="21"/>
    <s v="Female"/>
    <n v="67"/>
    <n v="83.94"/>
    <s v="Month-to-Month"/>
    <s v="Bank Transfer"/>
    <n v="3"/>
    <n v="21.9"/>
    <n v="4"/>
    <n v="5572.24"/>
    <n v="0"/>
    <s v="&gt;24m"/>
    <s v="1–4"/>
    <x v="0"/>
    <x v="2"/>
  </r>
  <r>
    <n v="50"/>
    <n v="42"/>
    <s v="Female"/>
    <n v="26"/>
    <n v="100.5"/>
    <s v="Month-to-Month"/>
    <s v="Credit Card"/>
    <n v="2"/>
    <n v="70.2"/>
    <n v="1"/>
    <n v="2711.39"/>
    <n v="1"/>
    <s v="&gt;24m"/>
    <s v="1–4"/>
    <x v="0"/>
    <x v="1"/>
  </r>
  <r>
    <n v="51"/>
    <n v="31"/>
    <s v="Female"/>
    <n v="16"/>
    <n v="110.32"/>
    <s v="Month-to-Month"/>
    <s v="Credit Card"/>
    <n v="3"/>
    <n v="99.2"/>
    <n v="9"/>
    <n v="1638.23"/>
    <n v="0"/>
    <s v="13–24m"/>
    <s v="9–10"/>
    <x v="2"/>
    <x v="1"/>
  </r>
  <r>
    <n v="52"/>
    <n v="67"/>
    <s v="Male"/>
    <n v="51"/>
    <n v="81.73"/>
    <s v="1-Year"/>
    <s v="Bank Transfer"/>
    <n v="1"/>
    <n v="76"/>
    <n v="8"/>
    <n v="4156.22"/>
    <n v="0"/>
    <s v="&gt;24m"/>
    <s v="7–8"/>
    <x v="2"/>
    <x v="2"/>
  </r>
  <r>
    <n v="53"/>
    <n v="26"/>
    <s v="Female"/>
    <n v="57"/>
    <n v="118.05"/>
    <s v="Month-to-Month"/>
    <s v="Credit Card"/>
    <n v="2"/>
    <n v="75.3"/>
    <n v="8"/>
    <n v="6093.02"/>
    <n v="0"/>
    <s v="&gt;24m"/>
    <s v="7–8"/>
    <x v="2"/>
    <x v="1"/>
  </r>
  <r>
    <n v="54"/>
    <n v="43"/>
    <s v="Female"/>
    <n v="29"/>
    <n v="80.81"/>
    <s v="Month-to-Month"/>
    <s v="Credit Card"/>
    <n v="1"/>
    <n v="95.3"/>
    <n v="10"/>
    <n v="2346.0500000000002"/>
    <n v="0"/>
    <s v="&gt;24m"/>
    <s v="9–10"/>
    <x v="2"/>
    <x v="2"/>
  </r>
  <r>
    <n v="55"/>
    <n v="19"/>
    <s v="Male"/>
    <n v="69"/>
    <n v="83.66"/>
    <s v="Month-to-Month"/>
    <s v="Bank Transfer"/>
    <n v="1"/>
    <n v="24.3"/>
    <n v="6"/>
    <n v="6308.25"/>
    <n v="1"/>
    <s v="&gt;24m"/>
    <s v="5–6"/>
    <x v="0"/>
    <x v="2"/>
  </r>
  <r>
    <n v="56"/>
    <n v="37"/>
    <s v="Female"/>
    <n v="47"/>
    <n v="75.48"/>
    <s v="1-Year"/>
    <s v="Bank Transfer"/>
    <n v="1"/>
    <n v="58.7"/>
    <n v="7"/>
    <n v="3465.4"/>
    <n v="1"/>
    <s v="&gt;24m"/>
    <s v="7–8"/>
    <x v="0"/>
    <x v="2"/>
  </r>
  <r>
    <n v="57"/>
    <n v="45"/>
    <s v="Male"/>
    <n v="62"/>
    <n v="29.1"/>
    <s v="Month-to-Month"/>
    <s v="Bank Transfer"/>
    <n v="3"/>
    <n v="98.1"/>
    <n v="6"/>
    <n v="1637.85"/>
    <n v="0"/>
    <s v="&gt;24m"/>
    <s v="5–6"/>
    <x v="0"/>
    <x v="0"/>
  </r>
  <r>
    <n v="58"/>
    <n v="64"/>
    <s v="Female"/>
    <n v="69"/>
    <n v="92.64"/>
    <s v="1-Year"/>
    <s v="PayPal"/>
    <n v="5"/>
    <n v="20.7"/>
    <n v="9"/>
    <n v="5792.52"/>
    <n v="0"/>
    <s v="&gt;24m"/>
    <s v="9–10"/>
    <x v="0"/>
    <x v="2"/>
  </r>
  <r>
    <n v="59"/>
    <n v="24"/>
    <s v="Female"/>
    <n v="16"/>
    <n v="74.739999999999995"/>
    <s v="Month-to-Month"/>
    <s v="PayPal"/>
    <n v="2"/>
    <n v="71.5"/>
    <n v="3"/>
    <n v="1169.05"/>
    <n v="1"/>
    <s v="13–24m"/>
    <s v="1–4"/>
    <x v="0"/>
    <x v="2"/>
  </r>
  <r>
    <n v="60"/>
    <n v="61"/>
    <s v="Female"/>
    <n v="48"/>
    <n v="65.09"/>
    <s v="1-Year"/>
    <s v="Bank Transfer"/>
    <n v="3"/>
    <n v="60.7"/>
    <n v="3"/>
    <n v="2911.88"/>
    <n v="0"/>
    <s v="&gt;24m"/>
    <s v="1–4"/>
    <x v="0"/>
    <x v="3"/>
  </r>
  <r>
    <n v="61"/>
    <n v="25"/>
    <s v="Male"/>
    <n v="39"/>
    <n v="111.05"/>
    <s v="1-Year"/>
    <s v="Bank Transfer"/>
    <n v="3"/>
    <n v="60.7"/>
    <n v="3"/>
    <n v="3918.08"/>
    <n v="1"/>
    <s v="&gt;24m"/>
    <s v="1–4"/>
    <x v="0"/>
    <x v="1"/>
  </r>
  <r>
    <n v="62"/>
    <n v="64"/>
    <s v="Male"/>
    <n v="33"/>
    <n v="49.8"/>
    <s v="Month-to-Month"/>
    <s v="Bank Transfer"/>
    <n v="3"/>
    <n v="71.3"/>
    <n v="10"/>
    <n v="1727.61"/>
    <n v="0"/>
    <s v="&gt;24m"/>
    <s v="9–10"/>
    <x v="2"/>
    <x v="0"/>
  </r>
  <r>
    <n v="63"/>
    <n v="52"/>
    <s v="Female"/>
    <n v="23"/>
    <n v="72.36"/>
    <s v="Month-to-Month"/>
    <s v="PayPal"/>
    <n v="3"/>
    <n v="93.3"/>
    <n v="3"/>
    <n v="1650.47"/>
    <n v="1"/>
    <s v="13–24m"/>
    <s v="1–4"/>
    <x v="0"/>
    <x v="3"/>
  </r>
  <r>
    <n v="64"/>
    <n v="31"/>
    <s v="Male"/>
    <n v="10"/>
    <n v="89.76"/>
    <s v="2-Year"/>
    <s v="PayPal"/>
    <n v="2"/>
    <n v="79.3"/>
    <n v="9"/>
    <n v="859.77"/>
    <n v="0"/>
    <s v="7–12m"/>
    <s v="9–10"/>
    <x v="0"/>
    <x v="2"/>
  </r>
  <r>
    <n v="65"/>
    <n v="34"/>
    <s v="Male"/>
    <n v="69"/>
    <n v="99.65"/>
    <s v="2-Year"/>
    <s v="Credit Card"/>
    <n v="0"/>
    <n v="10.3"/>
    <n v="4"/>
    <n v="7426.03"/>
    <n v="1"/>
    <s v="&gt;24m"/>
    <s v="1–4"/>
    <x v="0"/>
    <x v="1"/>
  </r>
  <r>
    <n v="66"/>
    <n v="53"/>
    <s v="Male"/>
    <n v="34"/>
    <n v="65.930000000000007"/>
    <s v="Month-to-Month"/>
    <s v="Credit Card"/>
    <n v="1"/>
    <n v="86"/>
    <n v="7"/>
    <n v="2069.5300000000002"/>
    <n v="1"/>
    <s v="&gt;24m"/>
    <s v="7–8"/>
    <x v="2"/>
    <x v="3"/>
  </r>
  <r>
    <n v="67"/>
    <n v="67"/>
    <s v="Male"/>
    <n v="52"/>
    <n v="104.21"/>
    <s v="Month-to-Month"/>
    <s v="Bank Transfer"/>
    <n v="3"/>
    <n v="26.4"/>
    <n v="9"/>
    <n v="5913.04"/>
    <n v="1"/>
    <s v="&gt;24m"/>
    <s v="9–10"/>
    <x v="0"/>
    <x v="1"/>
  </r>
  <r>
    <n v="68"/>
    <n v="57"/>
    <s v="Male"/>
    <n v="10"/>
    <n v="96.89"/>
    <s v="2-Year"/>
    <s v="PayPal"/>
    <n v="0"/>
    <n v="40.799999999999997"/>
    <n v="7"/>
    <n v="932.85"/>
    <n v="1"/>
    <s v="7–12m"/>
    <s v="7–8"/>
    <x v="0"/>
    <x v="1"/>
  </r>
  <r>
    <n v="69"/>
    <n v="21"/>
    <s v="Male"/>
    <n v="19"/>
    <n v="26.62"/>
    <s v="Month-to-Month"/>
    <s v="PayPal"/>
    <n v="2"/>
    <n v="48.9"/>
    <n v="9"/>
    <n v="545.07000000000005"/>
    <n v="0"/>
    <s v="13–24m"/>
    <s v="9–10"/>
    <x v="2"/>
    <x v="0"/>
  </r>
  <r>
    <n v="70"/>
    <n v="19"/>
    <s v="Female"/>
    <n v="58"/>
    <n v="24.59"/>
    <s v="Month-to-Month"/>
    <s v="PayPal"/>
    <n v="1"/>
    <n v="50.7"/>
    <n v="3"/>
    <n v="1455.58"/>
    <n v="1"/>
    <s v="&gt;24m"/>
    <s v="1–4"/>
    <x v="0"/>
    <x v="0"/>
  </r>
  <r>
    <n v="71"/>
    <n v="23"/>
    <s v="Female"/>
    <n v="1"/>
    <n v="82.08"/>
    <s v="2-Year"/>
    <s v="Bank Transfer"/>
    <n v="3"/>
    <n v="46.3"/>
    <n v="4"/>
    <n v="87.44"/>
    <n v="0"/>
    <s v="0–3m"/>
    <s v="1–4"/>
    <x v="0"/>
    <x v="2"/>
  </r>
  <r>
    <n v="72"/>
    <n v="59"/>
    <s v="Male"/>
    <n v="69"/>
    <n v="54.74"/>
    <s v="Month-to-Month"/>
    <s v="Credit Card"/>
    <n v="2"/>
    <n v="94"/>
    <n v="8"/>
    <n v="4142.6899999999996"/>
    <n v="1"/>
    <s v="&gt;24m"/>
    <s v="7–8"/>
    <x v="2"/>
    <x v="3"/>
  </r>
  <r>
    <n v="73"/>
    <n v="21"/>
    <s v="Female"/>
    <n v="4"/>
    <n v="40.909999999999997"/>
    <s v="Month-to-Month"/>
    <s v="Bank Transfer"/>
    <n v="2"/>
    <n v="72.099999999999994"/>
    <n v="6"/>
    <n v="156.71"/>
    <n v="1"/>
    <s v="4–6m"/>
    <s v="5–6"/>
    <x v="2"/>
    <x v="0"/>
  </r>
  <r>
    <n v="74"/>
    <n v="46"/>
    <s v="Female"/>
    <n v="16"/>
    <n v="77.959999999999994"/>
    <s v="Month-to-Month"/>
    <s v="Credit Card"/>
    <n v="1"/>
    <n v="65"/>
    <n v="5"/>
    <n v="1362.4"/>
    <n v="1"/>
    <s v="13–24m"/>
    <s v="5–6"/>
    <x v="0"/>
    <x v="2"/>
  </r>
  <r>
    <n v="75"/>
    <n v="35"/>
    <s v="Female"/>
    <n v="24"/>
    <n v="54.16"/>
    <s v="Month-to-Month"/>
    <s v="Credit Card"/>
    <n v="3"/>
    <n v="9.6999999999999993"/>
    <n v="4"/>
    <n v="1271.1099999999999"/>
    <n v="1"/>
    <s v="13–24m"/>
    <s v="1–4"/>
    <x v="0"/>
    <x v="3"/>
  </r>
  <r>
    <n v="76"/>
    <n v="43"/>
    <s v="Female"/>
    <n v="2"/>
    <n v="73.73"/>
    <s v="Month-to-Month"/>
    <s v="Bank Transfer"/>
    <n v="2"/>
    <n v="90.9"/>
    <n v="8"/>
    <n v="144.08000000000001"/>
    <n v="1"/>
    <s v="0–3m"/>
    <s v="7–8"/>
    <x v="2"/>
    <x v="2"/>
  </r>
  <r>
    <n v="77"/>
    <n v="61"/>
    <s v="Male"/>
    <n v="32"/>
    <n v="66.010000000000005"/>
    <s v="1-Year"/>
    <s v="Credit Card"/>
    <n v="3"/>
    <n v="91.4"/>
    <n v="1"/>
    <n v="2044.89"/>
    <n v="0"/>
    <s v="&gt;24m"/>
    <s v="1–4"/>
    <x v="2"/>
    <x v="3"/>
  </r>
  <r>
    <n v="78"/>
    <n v="51"/>
    <s v="Female"/>
    <n v="24"/>
    <n v="78.48"/>
    <s v="Month-to-Month"/>
    <s v="Credit Card"/>
    <n v="3"/>
    <n v="79.099999999999994"/>
    <n v="9"/>
    <n v="1899.12"/>
    <n v="0"/>
    <s v="13–24m"/>
    <s v="9–10"/>
    <x v="0"/>
    <x v="2"/>
  </r>
  <r>
    <n v="79"/>
    <n v="27"/>
    <s v="Female"/>
    <n v="12"/>
    <n v="60.03"/>
    <s v="Month-to-Month"/>
    <s v="PayPal"/>
    <n v="1"/>
    <n v="5.7"/>
    <n v="1"/>
    <n v="670.53"/>
    <n v="1"/>
    <s v="7–12m"/>
    <s v="1–4"/>
    <x v="0"/>
    <x v="3"/>
  </r>
  <r>
    <n v="80"/>
    <n v="53"/>
    <s v="Male"/>
    <n v="50"/>
    <n v="89.77"/>
    <s v="Month-to-Month"/>
    <s v="Credit Card"/>
    <n v="1"/>
    <n v="10.4"/>
    <n v="8"/>
    <n v="4536.72"/>
    <n v="0"/>
    <s v="&gt;24m"/>
    <s v="7–8"/>
    <x v="0"/>
    <x v="2"/>
  </r>
  <r>
    <n v="81"/>
    <n v="31"/>
    <s v="Male"/>
    <n v="35"/>
    <n v="38.01"/>
    <s v="Month-to-Month"/>
    <s v="Bank Transfer"/>
    <n v="2"/>
    <n v="26.4"/>
    <n v="4"/>
    <n v="1341.45"/>
    <n v="1"/>
    <s v="&gt;24m"/>
    <s v="1–4"/>
    <x v="0"/>
    <x v="0"/>
  </r>
  <r>
    <n v="82"/>
    <n v="48"/>
    <s v="Female"/>
    <n v="33"/>
    <n v="89.65"/>
    <s v="2-Year"/>
    <s v="Bank Transfer"/>
    <n v="0"/>
    <n v="17.5"/>
    <n v="9"/>
    <n v="3113.41"/>
    <n v="1"/>
    <s v="&gt;24m"/>
    <s v="9–10"/>
    <x v="0"/>
    <x v="2"/>
  </r>
  <r>
    <n v="83"/>
    <n v="65"/>
    <s v="Female"/>
    <n v="33"/>
    <n v="61.17"/>
    <s v="Month-to-Month"/>
    <s v="Credit Card"/>
    <n v="0"/>
    <n v="42.9"/>
    <n v="5"/>
    <n v="2153.31"/>
    <n v="0"/>
    <s v="&gt;24m"/>
    <s v="5–6"/>
    <x v="0"/>
    <x v="3"/>
  </r>
  <r>
    <n v="84"/>
    <n v="32"/>
    <s v="Female"/>
    <n v="61"/>
    <n v="107.43"/>
    <s v="Month-to-Month"/>
    <s v="PayPal"/>
    <n v="3"/>
    <n v="92.6"/>
    <n v="3"/>
    <n v="6475.17"/>
    <n v="0"/>
    <s v="&gt;24m"/>
    <s v="1–4"/>
    <x v="2"/>
    <x v="1"/>
  </r>
  <r>
    <n v="85"/>
    <n v="25"/>
    <s v="Female"/>
    <n v="51"/>
    <n v="71.52"/>
    <s v="2-Year"/>
    <s v="PayPal"/>
    <n v="1"/>
    <n v="49.8"/>
    <n v="9"/>
    <n v="3503.32"/>
    <n v="0"/>
    <s v="&gt;24m"/>
    <s v="9–10"/>
    <x v="0"/>
    <x v="3"/>
  </r>
  <r>
    <n v="86"/>
    <n v="31"/>
    <s v="Female"/>
    <n v="43"/>
    <n v="117.31"/>
    <s v="Month-to-Month"/>
    <s v="Credit Card"/>
    <n v="3"/>
    <n v="6.3"/>
    <n v="9"/>
    <n v="4801.53"/>
    <n v="0"/>
    <s v="&gt;24m"/>
    <s v="9–10"/>
    <x v="0"/>
    <x v="1"/>
  </r>
  <r>
    <n v="87"/>
    <n v="40"/>
    <s v="Female"/>
    <n v="12"/>
    <n v="80.19"/>
    <s v="Month-to-Month"/>
    <s v="Credit Card"/>
    <n v="2"/>
    <n v="31.9"/>
    <n v="4"/>
    <n v="903.51"/>
    <n v="1"/>
    <s v="7–12m"/>
    <s v="1–4"/>
    <x v="0"/>
    <x v="2"/>
  </r>
  <r>
    <n v="88"/>
    <n v="57"/>
    <s v="Male"/>
    <n v="67"/>
    <n v="42.38"/>
    <s v="Month-to-Month"/>
    <s v="Bank Transfer"/>
    <n v="0"/>
    <n v="9.1999999999999993"/>
    <n v="4"/>
    <n v="2588.25"/>
    <n v="0"/>
    <s v="&gt;24m"/>
    <s v="1–4"/>
    <x v="0"/>
    <x v="0"/>
  </r>
  <r>
    <n v="89"/>
    <n v="38"/>
    <s v="Female"/>
    <n v="65"/>
    <n v="102.18"/>
    <s v="Month-to-Month"/>
    <s v="Credit Card"/>
    <n v="0"/>
    <n v="8.4"/>
    <n v="8"/>
    <n v="6432.42"/>
    <n v="0"/>
    <s v="&gt;24m"/>
    <s v="7–8"/>
    <x v="0"/>
    <x v="1"/>
  </r>
  <r>
    <n v="90"/>
    <n v="33"/>
    <s v="Female"/>
    <n v="33"/>
    <n v="54.51"/>
    <s v="Month-to-Month"/>
    <s v="PayPal"/>
    <n v="1"/>
    <n v="31.2"/>
    <n v="2"/>
    <n v="1716.17"/>
    <n v="1"/>
    <s v="&gt;24m"/>
    <s v="1–4"/>
    <x v="0"/>
    <x v="3"/>
  </r>
  <r>
    <n v="91"/>
    <n v="62"/>
    <s v="Male"/>
    <n v="40"/>
    <n v="54.76"/>
    <s v="Month-to-Month"/>
    <s v="Credit Card"/>
    <n v="1"/>
    <n v="31.2"/>
    <n v="9"/>
    <n v="2394.73"/>
    <n v="0"/>
    <s v="&gt;24m"/>
    <s v="9–10"/>
    <x v="0"/>
    <x v="3"/>
  </r>
  <r>
    <n v="92"/>
    <n v="35"/>
    <s v="Male"/>
    <n v="43"/>
    <n v="23.18"/>
    <s v="1-Year"/>
    <s v="Bank Transfer"/>
    <n v="2"/>
    <n v="79.8"/>
    <n v="6"/>
    <n v="1008.24"/>
    <n v="1"/>
    <s v="&gt;24m"/>
    <s v="5–6"/>
    <x v="0"/>
    <x v="0"/>
  </r>
  <r>
    <n v="93"/>
    <n v="64"/>
    <s v="Male"/>
    <n v="44"/>
    <n v="74.87"/>
    <s v="Month-to-Month"/>
    <s v="Bank Transfer"/>
    <n v="2"/>
    <n v="97.6"/>
    <n v="9"/>
    <n v="3193.66"/>
    <n v="1"/>
    <s v="&gt;24m"/>
    <s v="9–10"/>
    <x v="2"/>
    <x v="2"/>
  </r>
  <r>
    <n v="94"/>
    <n v="41"/>
    <s v="Male"/>
    <n v="29"/>
    <n v="73.44"/>
    <s v="Month-to-Month"/>
    <s v="Bank Transfer"/>
    <n v="3"/>
    <n v="40.299999999999997"/>
    <n v="8"/>
    <n v="2164.04"/>
    <n v="0"/>
    <s v="&gt;24m"/>
    <s v="7–8"/>
    <x v="0"/>
    <x v="3"/>
  </r>
  <r>
    <n v="95"/>
    <n v="43"/>
    <s v="Female"/>
    <n v="13"/>
    <n v="55.6"/>
    <s v="1-Year"/>
    <s v="Bank Transfer"/>
    <n v="3"/>
    <n v="45.7"/>
    <n v="7"/>
    <n v="670.64"/>
    <n v="0"/>
    <s v="13–24m"/>
    <s v="7–8"/>
    <x v="0"/>
    <x v="3"/>
  </r>
  <r>
    <n v="96"/>
    <n v="42"/>
    <s v="Female"/>
    <n v="12"/>
    <n v="109.42"/>
    <s v="Month-to-Month"/>
    <s v="Bank Transfer"/>
    <n v="0"/>
    <n v="85.3"/>
    <n v="1"/>
    <n v="1298.3499999999999"/>
    <n v="1"/>
    <s v="7–12m"/>
    <s v="1–4"/>
    <x v="2"/>
    <x v="1"/>
  </r>
  <r>
    <n v="97"/>
    <n v="62"/>
    <s v="Female"/>
    <n v="46"/>
    <n v="32.869999999999997"/>
    <s v="1-Year"/>
    <s v="Credit Card"/>
    <n v="6"/>
    <n v="30.5"/>
    <n v="3"/>
    <n v="1550.19"/>
    <n v="1"/>
    <s v="&gt;24m"/>
    <s v="1–4"/>
    <x v="0"/>
    <x v="0"/>
  </r>
  <r>
    <n v="98"/>
    <n v="58"/>
    <s v="Female"/>
    <n v="2"/>
    <n v="53.01"/>
    <s v="Month-to-Month"/>
    <s v="Credit Card"/>
    <n v="1"/>
    <n v="19.899999999999999"/>
    <n v="2"/>
    <n v="105.78"/>
    <n v="1"/>
    <s v="0–3m"/>
    <s v="1–4"/>
    <x v="0"/>
    <x v="3"/>
  </r>
  <r>
    <n v="99"/>
    <n v="46"/>
    <s v="Female"/>
    <n v="35"/>
    <n v="52.16"/>
    <s v="Month-to-Month"/>
    <s v="Credit Card"/>
    <n v="4"/>
    <n v="86"/>
    <n v="5"/>
    <n v="1789.74"/>
    <n v="1"/>
    <s v="&gt;24m"/>
    <s v="5–6"/>
    <x v="2"/>
    <x v="3"/>
  </r>
  <r>
    <n v="100"/>
    <n v="32"/>
    <s v="Female"/>
    <n v="8"/>
    <n v="29.23"/>
    <s v="1-Year"/>
    <s v="Credit Card"/>
    <n v="0"/>
    <n v="9.4"/>
    <n v="5"/>
    <n v="256.94"/>
    <n v="0"/>
    <s v="7–12m"/>
    <s v="5–6"/>
    <x v="0"/>
    <x v="0"/>
  </r>
  <r>
    <n v="101"/>
    <n v="62"/>
    <s v="Male"/>
    <n v="26"/>
    <n v="68.11"/>
    <s v="Month-to-Month"/>
    <s v="Bank Transfer"/>
    <n v="1"/>
    <n v="63.9"/>
    <n v="5"/>
    <n v="1905.56"/>
    <n v="0"/>
    <s v="&gt;24m"/>
    <s v="5–6"/>
    <x v="2"/>
    <x v="3"/>
  </r>
  <r>
    <n v="102"/>
    <n v="18"/>
    <s v="Female"/>
    <n v="34"/>
    <n v="88.78"/>
    <s v="Month-to-Month"/>
    <s v="PayPal"/>
    <n v="6"/>
    <n v="58.4"/>
    <n v="4"/>
    <n v="3093.02"/>
    <n v="1"/>
    <s v="&gt;24m"/>
    <s v="1–4"/>
    <x v="2"/>
    <x v="2"/>
  </r>
  <r>
    <n v="103"/>
    <n v="42"/>
    <s v="Male"/>
    <n v="7"/>
    <n v="71.17"/>
    <s v="Month-to-Month"/>
    <s v="Credit Card"/>
    <n v="2"/>
    <n v="37.9"/>
    <n v="5"/>
    <n v="505.1"/>
    <n v="1"/>
    <s v="7–12m"/>
    <s v="5–6"/>
    <x v="0"/>
    <x v="3"/>
  </r>
  <r>
    <n v="104"/>
    <n v="24"/>
    <s v="Male"/>
    <n v="68"/>
    <n v="35.700000000000003"/>
    <s v="Month-to-Month"/>
    <s v="PayPal"/>
    <n v="2"/>
    <n v="34.9"/>
    <n v="3"/>
    <n v="2486.1799999999998"/>
    <n v="1"/>
    <s v="&gt;24m"/>
    <s v="1–4"/>
    <x v="2"/>
    <x v="0"/>
  </r>
  <r>
    <n v="105"/>
    <n v="26"/>
    <s v="Female"/>
    <n v="58"/>
    <n v="57.73"/>
    <s v="1-Year"/>
    <s v="Credit Card"/>
    <n v="2"/>
    <n v="78.3"/>
    <n v="1"/>
    <n v="3148.32"/>
    <n v="1"/>
    <s v="&gt;24m"/>
    <s v="1–4"/>
    <x v="0"/>
    <x v="3"/>
  </r>
  <r>
    <n v="106"/>
    <n v="41"/>
    <s v="Male"/>
    <n v="29"/>
    <n v="20.260000000000002"/>
    <s v="Month-to-Month"/>
    <s v="Credit Card"/>
    <n v="3"/>
    <n v="13.2"/>
    <n v="5"/>
    <n v="575.22"/>
    <n v="0"/>
    <s v="&gt;24m"/>
    <s v="5–6"/>
    <x v="0"/>
    <x v="0"/>
  </r>
  <r>
    <n v="107"/>
    <n v="18"/>
    <s v="Female"/>
    <n v="36"/>
    <n v="106.83"/>
    <s v="Month-to-Month"/>
    <s v="PayPal"/>
    <n v="0"/>
    <n v="27.5"/>
    <n v="9"/>
    <n v="3491.64"/>
    <n v="0"/>
    <s v="&gt;24m"/>
    <s v="9–10"/>
    <x v="0"/>
    <x v="1"/>
  </r>
  <r>
    <n v="108"/>
    <n v="61"/>
    <s v="Male"/>
    <n v="21"/>
    <n v="28.45"/>
    <s v="Month-to-Month"/>
    <s v="Bank Transfer"/>
    <n v="1"/>
    <n v="74.599999999999994"/>
    <n v="9"/>
    <n v="594.53"/>
    <n v="0"/>
    <s v="13–24m"/>
    <s v="9–10"/>
    <x v="0"/>
    <x v="0"/>
  </r>
  <r>
    <n v="109"/>
    <n v="25"/>
    <s v="Female"/>
    <n v="36"/>
    <n v="79.73"/>
    <s v="1-Year"/>
    <s v="Credit Card"/>
    <n v="3"/>
    <n v="57.1"/>
    <n v="4"/>
    <n v="2894.98"/>
    <n v="1"/>
    <s v="&gt;24m"/>
    <s v="1–4"/>
    <x v="2"/>
    <x v="2"/>
  </r>
  <r>
    <n v="110"/>
    <n v="41"/>
    <s v="Male"/>
    <n v="10"/>
    <n v="118.63"/>
    <s v="Month-to-Month"/>
    <s v="Credit Card"/>
    <n v="4"/>
    <n v="17.2"/>
    <n v="3"/>
    <n v="1121.71"/>
    <n v="0"/>
    <s v="7–12m"/>
    <s v="1–4"/>
    <x v="0"/>
    <x v="1"/>
  </r>
  <r>
    <n v="111"/>
    <n v="28"/>
    <s v="Female"/>
    <n v="24"/>
    <n v="73.66"/>
    <s v="2-Year"/>
    <s v="Credit Card"/>
    <n v="1"/>
    <n v="88.8"/>
    <n v="1"/>
    <n v="1931.91"/>
    <n v="0"/>
    <s v="13–24m"/>
    <s v="1–4"/>
    <x v="2"/>
    <x v="2"/>
  </r>
  <r>
    <n v="112"/>
    <n v="68"/>
    <s v="Female"/>
    <n v="64"/>
    <n v="112.4"/>
    <s v="Month-to-Month"/>
    <s v="PayPal"/>
    <n v="1"/>
    <n v="42.4"/>
    <n v="2"/>
    <n v="7782.69"/>
    <n v="0"/>
    <s v="&gt;24m"/>
    <s v="1–4"/>
    <x v="0"/>
    <x v="1"/>
  </r>
  <r>
    <n v="113"/>
    <n v="34"/>
    <s v="Female"/>
    <n v="49"/>
    <n v="43.61"/>
    <s v="1-Year"/>
    <s v="Bank Transfer"/>
    <n v="3"/>
    <n v="83.6"/>
    <n v="8"/>
    <n v="2231.83"/>
    <n v="0"/>
    <s v="&gt;24m"/>
    <s v="7–8"/>
    <x v="2"/>
    <x v="0"/>
  </r>
  <r>
    <n v="114"/>
    <n v="25"/>
    <s v="Female"/>
    <n v="36"/>
    <n v="96"/>
    <s v="2-Year"/>
    <s v="PayPal"/>
    <n v="4"/>
    <n v="79.8"/>
    <n v="1"/>
    <n v="3479.08"/>
    <n v="1"/>
    <s v="&gt;24m"/>
    <s v="1–4"/>
    <x v="2"/>
    <x v="1"/>
  </r>
  <r>
    <n v="115"/>
    <n v="52"/>
    <s v="Female"/>
    <n v="24"/>
    <n v="73.13"/>
    <s v="1-Year"/>
    <s v="PayPal"/>
    <n v="3"/>
    <n v="64.3"/>
    <n v="8"/>
    <n v="1884.99"/>
    <n v="0"/>
    <s v="13–24m"/>
    <s v="7–8"/>
    <x v="2"/>
    <x v="3"/>
  </r>
  <r>
    <n v="116"/>
    <n v="52"/>
    <s v="Male"/>
    <n v="23"/>
    <n v="92.05"/>
    <s v="2-Year"/>
    <s v="Bank Transfer"/>
    <n v="1"/>
    <n v="52"/>
    <n v="7"/>
    <n v="1960.76"/>
    <n v="1"/>
    <s v="13–24m"/>
    <s v="7–8"/>
    <x v="0"/>
    <x v="2"/>
  </r>
  <r>
    <n v="117"/>
    <n v="50"/>
    <s v="Male"/>
    <n v="62"/>
    <n v="26.23"/>
    <s v="Month-to-Month"/>
    <s v="PayPal"/>
    <n v="1"/>
    <n v="98.1"/>
    <n v="8"/>
    <n v="1720.75"/>
    <n v="1"/>
    <s v="&gt;24m"/>
    <s v="7–8"/>
    <x v="0"/>
    <x v="0"/>
  </r>
  <r>
    <n v="118"/>
    <n v="22"/>
    <s v="Male"/>
    <n v="37"/>
    <n v="34.770000000000003"/>
    <s v="Month-to-Month"/>
    <s v="Bank Transfer"/>
    <n v="4"/>
    <n v="18.8"/>
    <n v="6"/>
    <n v="1189.96"/>
    <n v="1"/>
    <s v="&gt;24m"/>
    <s v="5–6"/>
    <x v="0"/>
    <x v="0"/>
  </r>
  <r>
    <n v="119"/>
    <n v="59"/>
    <s v="Female"/>
    <n v="12"/>
    <n v="33.31"/>
    <s v="Month-to-Month"/>
    <s v="Credit Card"/>
    <n v="0"/>
    <n v="73.900000000000006"/>
    <n v="9"/>
    <n v="423.24"/>
    <n v="0"/>
    <s v="7–12m"/>
    <s v="9–10"/>
    <x v="2"/>
    <x v="0"/>
  </r>
  <r>
    <n v="120"/>
    <n v="56"/>
    <s v="Male"/>
    <n v="55"/>
    <n v="88.72"/>
    <s v="Month-to-Month"/>
    <s v="Bank Transfer"/>
    <n v="4"/>
    <n v="23.2"/>
    <n v="3"/>
    <n v="4660.7700000000004"/>
    <n v="0"/>
    <s v="&gt;24m"/>
    <s v="1–4"/>
    <x v="0"/>
    <x v="2"/>
  </r>
  <r>
    <n v="121"/>
    <n v="58"/>
    <s v="Female"/>
    <n v="13"/>
    <n v="104.44"/>
    <s v="Month-to-Month"/>
    <s v="Credit Card"/>
    <n v="0"/>
    <n v="37.1"/>
    <n v="10"/>
    <n v="1460.12"/>
    <n v="0"/>
    <s v="13–24m"/>
    <s v="9–10"/>
    <x v="0"/>
    <x v="1"/>
  </r>
  <r>
    <n v="122"/>
    <n v="45"/>
    <s v="Female"/>
    <n v="23"/>
    <n v="94.96"/>
    <s v="Month-to-Month"/>
    <s v="PayPal"/>
    <n v="2"/>
    <n v="34.299999999999997"/>
    <n v="4"/>
    <n v="2378.04"/>
    <n v="1"/>
    <s v="13–24m"/>
    <s v="1–4"/>
    <x v="0"/>
    <x v="2"/>
  </r>
  <r>
    <n v="123"/>
    <n v="24"/>
    <s v="Male"/>
    <n v="30"/>
    <n v="23.05"/>
    <s v="Month-to-Month"/>
    <s v="PayPal"/>
    <n v="2"/>
    <n v="95"/>
    <n v="6"/>
    <n v="642.92999999999995"/>
    <n v="0"/>
    <s v="&gt;24m"/>
    <s v="5–6"/>
    <x v="2"/>
    <x v="0"/>
  </r>
  <r>
    <n v="124"/>
    <n v="26"/>
    <s v="Male"/>
    <n v="17"/>
    <n v="106.72"/>
    <s v="Month-to-Month"/>
    <s v="Credit Card"/>
    <n v="2"/>
    <n v="96.9"/>
    <n v="8"/>
    <n v="1800.7"/>
    <n v="0"/>
    <s v="13–24m"/>
    <s v="7–8"/>
    <x v="2"/>
    <x v="1"/>
  </r>
  <r>
    <n v="125"/>
    <n v="25"/>
    <s v="Female"/>
    <n v="62"/>
    <n v="55.41"/>
    <s v="2-Year"/>
    <s v="PayPal"/>
    <n v="3"/>
    <n v="22.4"/>
    <n v="5"/>
    <n v="3765.9"/>
    <n v="0"/>
    <s v="&gt;24m"/>
    <s v="5–6"/>
    <x v="0"/>
    <x v="3"/>
  </r>
  <r>
    <n v="126"/>
    <n v="29"/>
    <s v="Male"/>
    <n v="13"/>
    <n v="59.72"/>
    <s v="Month-to-Month"/>
    <s v="Bank Transfer"/>
    <n v="0"/>
    <n v="7.1"/>
    <n v="3"/>
    <n v="773.78"/>
    <n v="0"/>
    <s v="13–24m"/>
    <s v="1–4"/>
    <x v="0"/>
    <x v="3"/>
  </r>
  <r>
    <n v="127"/>
    <n v="51"/>
    <s v="Female"/>
    <n v="59"/>
    <n v="30.49"/>
    <s v="1-Year"/>
    <s v="Credit Card"/>
    <n v="4"/>
    <n v="73.400000000000006"/>
    <n v="6"/>
    <n v="1929.71"/>
    <n v="0"/>
    <s v="&gt;24m"/>
    <s v="5–6"/>
    <x v="0"/>
    <x v="0"/>
  </r>
  <r>
    <n v="128"/>
    <n v="50"/>
    <s v="Female"/>
    <n v="19"/>
    <n v="93.74"/>
    <s v="1-Year"/>
    <s v="PayPal"/>
    <n v="1"/>
    <n v="44.7"/>
    <n v="4"/>
    <n v="1812.67"/>
    <n v="0"/>
    <s v="13–24m"/>
    <s v="1–4"/>
    <x v="2"/>
    <x v="2"/>
  </r>
  <r>
    <n v="129"/>
    <n v="65"/>
    <s v="Female"/>
    <n v="49"/>
    <n v="38.229999999999997"/>
    <s v="2-Year"/>
    <s v="Credit Card"/>
    <n v="3"/>
    <n v="13.4"/>
    <n v="9"/>
    <n v="1826.56"/>
    <n v="1"/>
    <s v="&gt;24m"/>
    <s v="9–10"/>
    <x v="0"/>
    <x v="0"/>
  </r>
  <r>
    <n v="130"/>
    <n v="40"/>
    <s v="Female"/>
    <n v="12"/>
    <n v="76.400000000000006"/>
    <s v="1-Year"/>
    <s v="Bank Transfer"/>
    <n v="3"/>
    <n v="70"/>
    <n v="3"/>
    <n v="877.52"/>
    <n v="1"/>
    <s v="7–12m"/>
    <s v="1–4"/>
    <x v="2"/>
    <x v="2"/>
  </r>
  <r>
    <n v="131"/>
    <n v="41"/>
    <s v="Female"/>
    <n v="61"/>
    <n v="104.07"/>
    <s v="1-Year"/>
    <s v="Bank Transfer"/>
    <n v="2"/>
    <n v="56.8"/>
    <n v="4"/>
    <n v="5971.47"/>
    <n v="1"/>
    <s v="&gt;24m"/>
    <s v="1–4"/>
    <x v="2"/>
    <x v="1"/>
  </r>
  <r>
    <n v="132"/>
    <n v="54"/>
    <s v="Male"/>
    <n v="19"/>
    <n v="28.92"/>
    <s v="2-Year"/>
    <s v="PayPal"/>
    <n v="1"/>
    <n v="98.1"/>
    <n v="7"/>
    <n v="578.25"/>
    <n v="1"/>
    <s v="13–24m"/>
    <s v="7–8"/>
    <x v="2"/>
    <x v="0"/>
  </r>
  <r>
    <n v="133"/>
    <n v="52"/>
    <s v="Male"/>
    <n v="9"/>
    <n v="73.53"/>
    <s v="2-Year"/>
    <s v="Bank Transfer"/>
    <n v="2"/>
    <n v="26.6"/>
    <n v="7"/>
    <n v="646.75"/>
    <n v="1"/>
    <s v="7–12m"/>
    <s v="7–8"/>
    <x v="0"/>
    <x v="3"/>
  </r>
  <r>
    <n v="134"/>
    <n v="61"/>
    <s v="Female"/>
    <n v="71"/>
    <n v="43.32"/>
    <s v="Month-to-Month"/>
    <s v="Credit Card"/>
    <n v="1"/>
    <n v="43.4"/>
    <n v="4"/>
    <n v="3082.66"/>
    <n v="1"/>
    <s v="&gt;24m"/>
    <s v="1–4"/>
    <x v="0"/>
    <x v="0"/>
  </r>
  <r>
    <n v="135"/>
    <n v="57"/>
    <s v="Female"/>
    <n v="28"/>
    <n v="54.29"/>
    <s v="Month-to-Month"/>
    <s v="Bank Transfer"/>
    <n v="1"/>
    <n v="56.5"/>
    <n v="6"/>
    <n v="1517.79"/>
    <n v="0"/>
    <s v="&gt;24m"/>
    <s v="5–6"/>
    <x v="0"/>
    <x v="3"/>
  </r>
  <r>
    <n v="136"/>
    <n v="39"/>
    <s v="Male"/>
    <n v="52"/>
    <n v="67.400000000000006"/>
    <s v="Month-to-Month"/>
    <s v="Credit Card"/>
    <n v="1"/>
    <n v="80.2"/>
    <n v="3"/>
    <n v="3558.97"/>
    <n v="1"/>
    <s v="&gt;24m"/>
    <s v="1–4"/>
    <x v="2"/>
    <x v="3"/>
  </r>
  <r>
    <n v="137"/>
    <n v="44"/>
    <s v="Male"/>
    <n v="16"/>
    <n v="55.51"/>
    <s v="Month-to-Month"/>
    <s v="Credit Card"/>
    <n v="2"/>
    <n v="57.1"/>
    <n v="6"/>
    <n v="953.1"/>
    <n v="1"/>
    <s v="13–24m"/>
    <s v="5–6"/>
    <x v="0"/>
    <x v="3"/>
  </r>
  <r>
    <n v="138"/>
    <n v="52"/>
    <s v="Female"/>
    <n v="69"/>
    <n v="84.88"/>
    <s v="1-Year"/>
    <s v="Bank Transfer"/>
    <n v="1"/>
    <n v="63.2"/>
    <n v="2"/>
    <n v="6419.83"/>
    <n v="0"/>
    <s v="&gt;24m"/>
    <s v="1–4"/>
    <x v="0"/>
    <x v="2"/>
  </r>
  <r>
    <n v="139"/>
    <n v="18"/>
    <s v="Male"/>
    <n v="12"/>
    <n v="67.959999999999994"/>
    <s v="1-Year"/>
    <s v="PayPal"/>
    <n v="3"/>
    <n v="26.5"/>
    <n v="8"/>
    <n v="800.45"/>
    <n v="0"/>
    <s v="7–12m"/>
    <s v="7–8"/>
    <x v="0"/>
    <x v="3"/>
  </r>
  <r>
    <n v="140"/>
    <n v="52"/>
    <s v="Female"/>
    <n v="25"/>
    <n v="78.42"/>
    <s v="1-Year"/>
    <s v="Bank Transfer"/>
    <n v="1"/>
    <n v="85.5"/>
    <n v="2"/>
    <n v="2088.92"/>
    <n v="1"/>
    <s v="&gt;24m"/>
    <s v="1–4"/>
    <x v="2"/>
    <x v="2"/>
  </r>
  <r>
    <n v="141"/>
    <n v="54"/>
    <s v="Male"/>
    <n v="52"/>
    <n v="93.68"/>
    <s v="Month-to-Month"/>
    <s v="Credit Card"/>
    <n v="3"/>
    <n v="45.7"/>
    <n v="7"/>
    <n v="5129.08"/>
    <n v="0"/>
    <s v="&gt;24m"/>
    <s v="7–8"/>
    <x v="0"/>
    <x v="2"/>
  </r>
  <r>
    <n v="142"/>
    <n v="64"/>
    <s v="Female"/>
    <n v="53"/>
    <n v="75.77"/>
    <s v="2-Year"/>
    <s v="Credit Card"/>
    <n v="3"/>
    <n v="18.399999999999999"/>
    <n v="9"/>
    <n v="4074.87"/>
    <n v="0"/>
    <s v="&gt;24m"/>
    <s v="9–10"/>
    <x v="0"/>
    <x v="2"/>
  </r>
  <r>
    <n v="143"/>
    <n v="31"/>
    <s v="Male"/>
    <n v="23"/>
    <n v="78.650000000000006"/>
    <s v="1-Year"/>
    <s v="Bank Transfer"/>
    <n v="2"/>
    <n v="68.099999999999994"/>
    <n v="1"/>
    <n v="1973.94"/>
    <n v="1"/>
    <s v="13–24m"/>
    <s v="1–4"/>
    <x v="0"/>
    <x v="2"/>
  </r>
  <r>
    <n v="144"/>
    <n v="20"/>
    <s v="Female"/>
    <n v="16"/>
    <n v="76.45"/>
    <s v="1-Year"/>
    <s v="PayPal"/>
    <n v="2"/>
    <n v="25.5"/>
    <n v="8"/>
    <n v="1149.92"/>
    <n v="0"/>
    <s v="13–24m"/>
    <s v="7–8"/>
    <x v="0"/>
    <x v="2"/>
  </r>
  <r>
    <n v="145"/>
    <n v="18"/>
    <s v="Male"/>
    <n v="57"/>
    <n v="57.88"/>
    <s v="2-Year"/>
    <s v="PayPal"/>
    <n v="2"/>
    <n v="14.3"/>
    <n v="7"/>
    <n v="3041.34"/>
    <n v="0"/>
    <s v="&gt;24m"/>
    <s v="7–8"/>
    <x v="0"/>
    <x v="3"/>
  </r>
  <r>
    <n v="146"/>
    <n v="22"/>
    <s v="Male"/>
    <n v="39"/>
    <n v="53.74"/>
    <s v="1-Year"/>
    <s v="Credit Card"/>
    <n v="2"/>
    <n v="86.9"/>
    <n v="6"/>
    <n v="2244.23"/>
    <n v="0"/>
    <s v="&gt;24m"/>
    <s v="5–6"/>
    <x v="2"/>
    <x v="3"/>
  </r>
  <r>
    <n v="147"/>
    <n v="43"/>
    <s v="Female"/>
    <n v="53"/>
    <n v="109.96"/>
    <s v="Month-to-Month"/>
    <s v="Credit Card"/>
    <n v="2"/>
    <n v="48.7"/>
    <n v="6"/>
    <n v="5756.95"/>
    <n v="0"/>
    <s v="&gt;24m"/>
    <s v="5–6"/>
    <x v="0"/>
    <x v="1"/>
  </r>
  <r>
    <n v="148"/>
    <n v="31"/>
    <s v="Male"/>
    <n v="42"/>
    <n v="80.760000000000005"/>
    <s v="1-Year"/>
    <s v="PayPal"/>
    <n v="1"/>
    <n v="76.2"/>
    <n v="6"/>
    <n v="3627.3"/>
    <n v="0"/>
    <s v="&gt;24m"/>
    <s v="5–6"/>
    <x v="0"/>
    <x v="2"/>
  </r>
  <r>
    <n v="149"/>
    <n v="56"/>
    <s v="Female"/>
    <n v="58"/>
    <n v="44.44"/>
    <s v="Month-to-Month"/>
    <s v="Bank Transfer"/>
    <n v="3"/>
    <n v="32.6"/>
    <n v="9"/>
    <n v="2780.16"/>
    <n v="1"/>
    <s v="&gt;24m"/>
    <s v="9–10"/>
    <x v="2"/>
    <x v="0"/>
  </r>
  <r>
    <n v="150"/>
    <n v="44"/>
    <s v="Male"/>
    <n v="39"/>
    <n v="69.819999999999993"/>
    <s v="Month-to-Month"/>
    <s v="Credit Card"/>
    <n v="2"/>
    <n v="79.8"/>
    <n v="2"/>
    <n v="2484.6999999999998"/>
    <n v="1"/>
    <s v="&gt;24m"/>
    <s v="1–4"/>
    <x v="2"/>
    <x v="3"/>
  </r>
  <r>
    <n v="151"/>
    <n v="26"/>
    <s v="Female"/>
    <n v="14"/>
    <n v="53.03"/>
    <s v="1-Year"/>
    <s v="Credit Card"/>
    <n v="3"/>
    <n v="15.6"/>
    <n v="1"/>
    <n v="799.36"/>
    <n v="1"/>
    <s v="13–24m"/>
    <s v="1–4"/>
    <x v="0"/>
    <x v="3"/>
  </r>
  <r>
    <n v="152"/>
    <n v="32"/>
    <s v="Male"/>
    <n v="5"/>
    <n v="113.37"/>
    <s v="Month-to-Month"/>
    <s v="PayPal"/>
    <n v="3"/>
    <n v="38.799999999999997"/>
    <n v="6"/>
    <n v="560.99"/>
    <n v="0"/>
    <s v="4–6m"/>
    <s v="5–6"/>
    <x v="0"/>
    <x v="1"/>
  </r>
  <r>
    <n v="153"/>
    <n v="32"/>
    <s v="Female"/>
    <n v="35"/>
    <n v="20.75"/>
    <s v="1-Year"/>
    <s v="Bank Transfer"/>
    <n v="3"/>
    <n v="97.9"/>
    <n v="10"/>
    <n v="727.77"/>
    <n v="0"/>
    <s v="&gt;24m"/>
    <s v="9–10"/>
    <x v="0"/>
    <x v="0"/>
  </r>
  <r>
    <n v="154"/>
    <n v="43"/>
    <s v="Male"/>
    <n v="18"/>
    <n v="42.53"/>
    <s v="Month-to-Month"/>
    <s v="PayPal"/>
    <n v="0"/>
    <n v="80.400000000000006"/>
    <n v="8"/>
    <n v="784.92"/>
    <n v="1"/>
    <s v="13–24m"/>
    <s v="7–8"/>
    <x v="2"/>
    <x v="0"/>
  </r>
  <r>
    <n v="155"/>
    <n v="59"/>
    <s v="Female"/>
    <n v="9"/>
    <n v="56.54"/>
    <s v="2-Year"/>
    <s v="Bank Transfer"/>
    <n v="1"/>
    <n v="52.2"/>
    <n v="3"/>
    <n v="552.25"/>
    <n v="0"/>
    <s v="7–12m"/>
    <s v="1–4"/>
    <x v="0"/>
    <x v="3"/>
  </r>
  <r>
    <n v="156"/>
    <n v="30"/>
    <s v="Male"/>
    <n v="58"/>
    <n v="68.78"/>
    <s v="Month-to-Month"/>
    <s v="Bank Transfer"/>
    <n v="3"/>
    <n v="37.299999999999997"/>
    <n v="10"/>
    <n v="3605.57"/>
    <n v="0"/>
    <s v="&gt;24m"/>
    <s v="9–10"/>
    <x v="2"/>
    <x v="3"/>
  </r>
  <r>
    <n v="157"/>
    <n v="68"/>
    <s v="Female"/>
    <n v="17"/>
    <n v="105.08"/>
    <s v="2-Year"/>
    <s v="Bank Transfer"/>
    <n v="0"/>
    <n v="87.9"/>
    <n v="1"/>
    <n v="1778.09"/>
    <n v="1"/>
    <s v="13–24m"/>
    <s v="1–4"/>
    <x v="0"/>
    <x v="1"/>
  </r>
  <r>
    <n v="158"/>
    <n v="49"/>
    <s v="Female"/>
    <n v="7"/>
    <n v="28.79"/>
    <s v="1-Year"/>
    <s v="Credit Card"/>
    <n v="3"/>
    <n v="56.8"/>
    <n v="9"/>
    <n v="209.1"/>
    <n v="0"/>
    <s v="7–12m"/>
    <s v="9–10"/>
    <x v="2"/>
    <x v="0"/>
  </r>
  <r>
    <n v="159"/>
    <n v="56"/>
    <s v="Female"/>
    <n v="46"/>
    <n v="100.59"/>
    <s v="Month-to-Month"/>
    <s v="PayPal"/>
    <n v="1"/>
    <n v="77.099999999999994"/>
    <n v="1"/>
    <n v="4833.24"/>
    <n v="0"/>
    <s v="&gt;24m"/>
    <s v="1–4"/>
    <x v="2"/>
    <x v="1"/>
  </r>
  <r>
    <n v="160"/>
    <n v="66"/>
    <s v="Male"/>
    <n v="13"/>
    <n v="25.57"/>
    <s v="Month-to-Month"/>
    <s v="PayPal"/>
    <n v="0"/>
    <n v="76.599999999999994"/>
    <n v="3"/>
    <n v="345.21"/>
    <n v="1"/>
    <s v="13–24m"/>
    <s v="1–4"/>
    <x v="0"/>
    <x v="0"/>
  </r>
  <r>
    <n v="161"/>
    <n v="69"/>
    <s v="Female"/>
    <n v="40"/>
    <n v="104.23"/>
    <s v="2-Year"/>
    <s v="Bank Transfer"/>
    <n v="0"/>
    <n v="6.7"/>
    <n v="8"/>
    <n v="3864.38"/>
    <n v="0"/>
    <s v="&gt;24m"/>
    <s v="7–8"/>
    <x v="0"/>
    <x v="1"/>
  </r>
  <r>
    <n v="162"/>
    <n v="49"/>
    <s v="Male"/>
    <n v="42"/>
    <n v="25.16"/>
    <s v="Month-to-Month"/>
    <s v="Credit Card"/>
    <n v="1"/>
    <n v="17"/>
    <n v="3"/>
    <n v="1014.32"/>
    <n v="0"/>
    <s v="&gt;24m"/>
    <s v="1–4"/>
    <x v="0"/>
    <x v="0"/>
  </r>
  <r>
    <n v="163"/>
    <n v="21"/>
    <s v="Female"/>
    <n v="9"/>
    <n v="21.82"/>
    <s v="Month-to-Month"/>
    <s v="Credit Card"/>
    <n v="1"/>
    <n v="67.7"/>
    <n v="4"/>
    <n v="190.83"/>
    <n v="1"/>
    <s v="7–12m"/>
    <s v="1–4"/>
    <x v="0"/>
    <x v="0"/>
  </r>
  <r>
    <n v="164"/>
    <n v="47"/>
    <s v="Male"/>
    <n v="50"/>
    <n v="89.7"/>
    <s v="Month-to-Month"/>
    <s v="PayPal"/>
    <n v="1"/>
    <n v="20.399999999999999"/>
    <n v="8"/>
    <n v="4758.08"/>
    <n v="0"/>
    <s v="&gt;24m"/>
    <s v="7–8"/>
    <x v="0"/>
    <x v="2"/>
  </r>
  <r>
    <n v="165"/>
    <n v="54"/>
    <s v="Female"/>
    <n v="27"/>
    <n v="119.73"/>
    <s v="Month-to-Month"/>
    <s v="Credit Card"/>
    <n v="4"/>
    <n v="29.3"/>
    <n v="1"/>
    <n v="3089.67"/>
    <n v="1"/>
    <s v="&gt;24m"/>
    <s v="1–4"/>
    <x v="2"/>
    <x v="1"/>
  </r>
  <r>
    <n v="166"/>
    <n v="40"/>
    <s v="Male"/>
    <n v="66"/>
    <n v="109.66"/>
    <s v="1-Year"/>
    <s v="Credit Card"/>
    <n v="3"/>
    <n v="94.9"/>
    <n v="6"/>
    <n v="6818.8"/>
    <n v="1"/>
    <s v="&gt;24m"/>
    <s v="5–6"/>
    <x v="0"/>
    <x v="1"/>
  </r>
  <r>
    <n v="167"/>
    <n v="56"/>
    <s v="Male"/>
    <n v="5"/>
    <n v="77.599999999999994"/>
    <s v="1-Year"/>
    <s v="Bank Transfer"/>
    <n v="2"/>
    <n v="58.2"/>
    <n v="1"/>
    <n v="423.5"/>
    <n v="1"/>
    <s v="4–6m"/>
    <s v="1–4"/>
    <x v="0"/>
    <x v="2"/>
  </r>
  <r>
    <n v="168"/>
    <n v="62"/>
    <s v="Female"/>
    <n v="29"/>
    <n v="111.74"/>
    <s v="Month-to-Month"/>
    <s v="Credit Card"/>
    <n v="4"/>
    <n v="76.3"/>
    <n v="1"/>
    <n v="2922.16"/>
    <n v="1"/>
    <s v="&gt;24m"/>
    <s v="1–4"/>
    <x v="0"/>
    <x v="1"/>
  </r>
  <r>
    <n v="169"/>
    <n v="32"/>
    <s v="Male"/>
    <n v="37"/>
    <n v="20.53"/>
    <s v="Month-to-Month"/>
    <s v="Bank Transfer"/>
    <n v="2"/>
    <n v="58"/>
    <n v="8"/>
    <n v="835.24"/>
    <n v="1"/>
    <s v="&gt;24m"/>
    <s v="7–8"/>
    <x v="0"/>
    <x v="0"/>
  </r>
  <r>
    <n v="170"/>
    <n v="60"/>
    <s v="Male"/>
    <n v="38"/>
    <n v="117.51"/>
    <s v="1-Year"/>
    <s v="PayPal"/>
    <n v="0"/>
    <n v="57.5"/>
    <n v="4"/>
    <n v="4623.29"/>
    <n v="1"/>
    <s v="&gt;24m"/>
    <s v="1–4"/>
    <x v="0"/>
    <x v="1"/>
  </r>
  <r>
    <n v="171"/>
    <n v="46"/>
    <s v="Female"/>
    <n v="8"/>
    <n v="69.069999999999993"/>
    <s v="Month-to-Month"/>
    <s v="Credit Card"/>
    <n v="1"/>
    <n v="13.9"/>
    <n v="1"/>
    <n v="588.86"/>
    <n v="0"/>
    <s v="7–12m"/>
    <s v="1–4"/>
    <x v="0"/>
    <x v="3"/>
  </r>
  <r>
    <n v="172"/>
    <n v="53"/>
    <s v="Male"/>
    <n v="65"/>
    <n v="92.29"/>
    <s v="Month-to-Month"/>
    <s v="PayPal"/>
    <n v="5"/>
    <n v="37.6"/>
    <n v="10"/>
    <n v="5752.44"/>
    <n v="0"/>
    <s v="&gt;24m"/>
    <s v="9–10"/>
    <x v="0"/>
    <x v="2"/>
  </r>
  <r>
    <n v="173"/>
    <n v="30"/>
    <s v="Male"/>
    <n v="17"/>
    <n v="102.09"/>
    <s v="2-Year"/>
    <s v="PayPal"/>
    <n v="1"/>
    <n v="31.8"/>
    <n v="7"/>
    <n v="1566.95"/>
    <n v="0"/>
    <s v="13–24m"/>
    <s v="7–8"/>
    <x v="0"/>
    <x v="1"/>
  </r>
  <r>
    <n v="174"/>
    <n v="49"/>
    <s v="Male"/>
    <n v="71"/>
    <n v="91.85"/>
    <s v="1-Year"/>
    <s v="Credit Card"/>
    <n v="5"/>
    <n v="42.1"/>
    <n v="5"/>
    <n v="6831.6"/>
    <n v="0"/>
    <s v="&gt;24m"/>
    <s v="5–6"/>
    <x v="2"/>
    <x v="2"/>
  </r>
  <r>
    <n v="175"/>
    <n v="24"/>
    <s v="Female"/>
    <n v="45"/>
    <n v="73.5"/>
    <s v="1-Year"/>
    <s v="Credit Card"/>
    <n v="0"/>
    <n v="80.8"/>
    <n v="5"/>
    <n v="3528.54"/>
    <n v="0"/>
    <s v="&gt;24m"/>
    <s v="5–6"/>
    <x v="0"/>
    <x v="3"/>
  </r>
  <r>
    <n v="176"/>
    <n v="68"/>
    <s v="Male"/>
    <n v="4"/>
    <n v="67.66"/>
    <s v="1-Year"/>
    <s v="PayPal"/>
    <n v="2"/>
    <n v="40.299999999999997"/>
    <n v="1"/>
    <n v="283.66000000000003"/>
    <n v="0"/>
    <s v="4–6m"/>
    <s v="1–4"/>
    <x v="0"/>
    <x v="3"/>
  </r>
  <r>
    <n v="177"/>
    <n v="39"/>
    <s v="Female"/>
    <n v="36"/>
    <n v="103.86"/>
    <s v="Month-to-Month"/>
    <s v="Credit Card"/>
    <n v="0"/>
    <n v="47.9"/>
    <n v="10"/>
    <n v="3471.89"/>
    <n v="1"/>
    <s v="&gt;24m"/>
    <s v="9–10"/>
    <x v="2"/>
    <x v="1"/>
  </r>
  <r>
    <n v="178"/>
    <n v="45"/>
    <s v="Male"/>
    <n v="70"/>
    <n v="40.51"/>
    <s v="1-Year"/>
    <s v="Bank Transfer"/>
    <n v="1"/>
    <n v="42.8"/>
    <n v="6"/>
    <n v="2979.43"/>
    <n v="0"/>
    <s v="&gt;24m"/>
    <s v="5–6"/>
    <x v="0"/>
    <x v="0"/>
  </r>
  <r>
    <n v="179"/>
    <n v="19"/>
    <s v="Male"/>
    <n v="31"/>
    <n v="116.8"/>
    <s v="Month-to-Month"/>
    <s v="Bank Transfer"/>
    <n v="4"/>
    <n v="13.9"/>
    <n v="9"/>
    <n v="3815.54"/>
    <n v="0"/>
    <s v="&gt;24m"/>
    <s v="9–10"/>
    <x v="0"/>
    <x v="1"/>
  </r>
  <r>
    <n v="180"/>
    <n v="59"/>
    <s v="Male"/>
    <n v="19"/>
    <n v="91.1"/>
    <s v="Month-to-Month"/>
    <s v="Credit Card"/>
    <n v="0"/>
    <n v="46.9"/>
    <n v="9"/>
    <n v="1785.78"/>
    <n v="0"/>
    <s v="13–24m"/>
    <s v="9–10"/>
    <x v="0"/>
    <x v="2"/>
  </r>
  <r>
    <n v="181"/>
    <n v="62"/>
    <s v="Female"/>
    <n v="61"/>
    <n v="39.950000000000003"/>
    <s v="Month-to-Month"/>
    <s v="PayPal"/>
    <n v="0"/>
    <n v="23.6"/>
    <n v="8"/>
    <n v="2566.65"/>
    <n v="0"/>
    <s v="&gt;24m"/>
    <s v="7–8"/>
    <x v="0"/>
    <x v="0"/>
  </r>
  <r>
    <n v="182"/>
    <n v="23"/>
    <s v="Male"/>
    <n v="54"/>
    <n v="93.62"/>
    <s v="Month-to-Month"/>
    <s v="Credit Card"/>
    <n v="2"/>
    <n v="22.7"/>
    <n v="5"/>
    <n v="5405.24"/>
    <n v="0"/>
    <s v="&gt;24m"/>
    <s v="5–6"/>
    <x v="0"/>
    <x v="2"/>
  </r>
  <r>
    <n v="183"/>
    <n v="45"/>
    <s v="Male"/>
    <n v="39"/>
    <n v="72.98"/>
    <s v="1-Year"/>
    <s v="Credit Card"/>
    <n v="1"/>
    <n v="13.9"/>
    <n v="1"/>
    <n v="2910.89"/>
    <n v="1"/>
    <s v="&gt;24m"/>
    <s v="1–4"/>
    <x v="0"/>
    <x v="3"/>
  </r>
  <r>
    <n v="184"/>
    <n v="45"/>
    <s v="Female"/>
    <n v="19"/>
    <n v="90.72"/>
    <s v="Month-to-Month"/>
    <s v="PayPal"/>
    <n v="1"/>
    <n v="38.9"/>
    <n v="9"/>
    <n v="1581.86"/>
    <n v="1"/>
    <s v="13–24m"/>
    <s v="9–10"/>
    <x v="0"/>
    <x v="2"/>
  </r>
  <r>
    <n v="185"/>
    <n v="61"/>
    <s v="Male"/>
    <n v="39"/>
    <n v="96.78"/>
    <s v="Month-to-Month"/>
    <s v="PayPal"/>
    <n v="3"/>
    <n v="77"/>
    <n v="1"/>
    <n v="3765.08"/>
    <n v="1"/>
    <s v="&gt;24m"/>
    <s v="1–4"/>
    <x v="2"/>
    <x v="1"/>
  </r>
  <r>
    <n v="186"/>
    <n v="61"/>
    <s v="Female"/>
    <n v="67"/>
    <n v="28.73"/>
    <s v="Month-to-Month"/>
    <s v="Bank Transfer"/>
    <n v="1"/>
    <n v="31.3"/>
    <n v="8"/>
    <n v="1762.31"/>
    <n v="1"/>
    <s v="&gt;24m"/>
    <s v="7–8"/>
    <x v="0"/>
    <x v="0"/>
  </r>
  <r>
    <n v="187"/>
    <n v="37"/>
    <s v="Female"/>
    <n v="45"/>
    <n v="70.61"/>
    <s v="Month-to-Month"/>
    <s v="PayPal"/>
    <n v="2"/>
    <n v="34.700000000000003"/>
    <n v="5"/>
    <n v="3118.69"/>
    <n v="0"/>
    <s v="&gt;24m"/>
    <s v="5–6"/>
    <x v="0"/>
    <x v="3"/>
  </r>
  <r>
    <n v="188"/>
    <n v="47"/>
    <s v="Male"/>
    <n v="13"/>
    <n v="113.2"/>
    <s v="1-Year"/>
    <s v="Bank Transfer"/>
    <n v="3"/>
    <n v="66.099999999999994"/>
    <n v="3"/>
    <n v="1444.26"/>
    <n v="0"/>
    <s v="13–24m"/>
    <s v="1–4"/>
    <x v="2"/>
    <x v="1"/>
  </r>
  <r>
    <n v="189"/>
    <n v="28"/>
    <s v="Female"/>
    <n v="58"/>
    <n v="52.06"/>
    <s v="Month-to-Month"/>
    <s v="PayPal"/>
    <n v="1"/>
    <n v="23.6"/>
    <n v="7"/>
    <n v="2757.4"/>
    <n v="1"/>
    <s v="&gt;24m"/>
    <s v="7–8"/>
    <x v="0"/>
    <x v="3"/>
  </r>
  <r>
    <n v="190"/>
    <n v="45"/>
    <s v="Male"/>
    <n v="20"/>
    <n v="79.39"/>
    <s v="1-Year"/>
    <s v="Credit Card"/>
    <n v="1"/>
    <n v="90.2"/>
    <n v="7"/>
    <n v="1539.79"/>
    <n v="0"/>
    <s v="13–24m"/>
    <s v="7–8"/>
    <x v="2"/>
    <x v="2"/>
  </r>
  <r>
    <n v="191"/>
    <n v="42"/>
    <s v="Female"/>
    <n v="61"/>
    <n v="56.92"/>
    <s v="Month-to-Month"/>
    <s v="Bank Transfer"/>
    <n v="4"/>
    <n v="54.4"/>
    <n v="9"/>
    <n v="3201.99"/>
    <n v="0"/>
    <s v="&gt;24m"/>
    <s v="9–10"/>
    <x v="2"/>
    <x v="3"/>
  </r>
  <r>
    <n v="192"/>
    <n v="56"/>
    <s v="Female"/>
    <n v="39"/>
    <n v="65.430000000000007"/>
    <s v="Month-to-Month"/>
    <s v="Bank Transfer"/>
    <n v="2"/>
    <n v="47.5"/>
    <n v="7"/>
    <n v="2709.08"/>
    <n v="0"/>
    <s v="&gt;24m"/>
    <s v="7–8"/>
    <x v="0"/>
    <x v="3"/>
  </r>
  <r>
    <n v="193"/>
    <n v="50"/>
    <s v="Male"/>
    <n v="1"/>
    <n v="74.86"/>
    <s v="1-Year"/>
    <s v="Bank Transfer"/>
    <n v="1"/>
    <n v="58"/>
    <n v="3"/>
    <n v="81.56"/>
    <n v="0"/>
    <s v="0–3m"/>
    <s v="1–4"/>
    <x v="2"/>
    <x v="2"/>
  </r>
  <r>
    <n v="194"/>
    <n v="18"/>
    <s v="Female"/>
    <n v="3"/>
    <n v="74.89"/>
    <s v="Month-to-Month"/>
    <s v="Credit Card"/>
    <n v="2"/>
    <n v="20.8"/>
    <n v="1"/>
    <n v="205.45"/>
    <n v="1"/>
    <s v="0–3m"/>
    <s v="1–4"/>
    <x v="0"/>
    <x v="2"/>
  </r>
  <r>
    <n v="195"/>
    <n v="44"/>
    <s v="Female"/>
    <n v="62"/>
    <n v="40.17"/>
    <s v="1-Year"/>
    <s v="Credit Card"/>
    <n v="3"/>
    <n v="63.3"/>
    <n v="8"/>
    <n v="2717.24"/>
    <n v="0"/>
    <s v="&gt;24m"/>
    <s v="7–8"/>
    <x v="2"/>
    <x v="0"/>
  </r>
  <r>
    <n v="196"/>
    <n v="69"/>
    <s v="Female"/>
    <n v="63"/>
    <n v="88.46"/>
    <s v="Month-to-Month"/>
    <s v="Credit Card"/>
    <n v="1"/>
    <n v="39.5"/>
    <n v="3"/>
    <n v="5598.14"/>
    <n v="0"/>
    <s v="&gt;24m"/>
    <s v="1–4"/>
    <x v="2"/>
    <x v="2"/>
  </r>
  <r>
    <n v="197"/>
    <n v="30"/>
    <s v="Female"/>
    <n v="25"/>
    <n v="28.79"/>
    <s v="Month-to-Month"/>
    <s v="Credit Card"/>
    <n v="3"/>
    <n v="90.2"/>
    <n v="8"/>
    <n v="690.9"/>
    <n v="1"/>
    <s v="&gt;24m"/>
    <s v="7–8"/>
    <x v="2"/>
    <x v="0"/>
  </r>
  <r>
    <n v="198"/>
    <n v="58"/>
    <s v="Female"/>
    <n v="56"/>
    <n v="33.880000000000003"/>
    <s v="2-Year"/>
    <s v="Credit Card"/>
    <n v="0"/>
    <n v="21"/>
    <n v="8"/>
    <n v="1736.72"/>
    <n v="0"/>
    <s v="&gt;24m"/>
    <s v="7–8"/>
    <x v="0"/>
    <x v="0"/>
  </r>
  <r>
    <n v="199"/>
    <n v="20"/>
    <s v="Male"/>
    <n v="33"/>
    <n v="20.27"/>
    <s v="Month-to-Month"/>
    <s v="Bank Transfer"/>
    <n v="0"/>
    <n v="53.2"/>
    <n v="5"/>
    <n v="668.99"/>
    <n v="0"/>
    <s v="&gt;24m"/>
    <s v="5–6"/>
    <x v="0"/>
    <x v="0"/>
  </r>
  <r>
    <n v="200"/>
    <n v="56"/>
    <s v="Female"/>
    <n v="38"/>
    <n v="31.67"/>
    <s v="Month-to-Month"/>
    <s v="Credit Card"/>
    <n v="1"/>
    <n v="61.8"/>
    <n v="1"/>
    <n v="1274.3499999999999"/>
    <n v="1"/>
    <s v="&gt;24m"/>
    <s v="1–4"/>
    <x v="2"/>
    <x v="0"/>
  </r>
  <r>
    <n v="201"/>
    <n v="23"/>
    <s v="Male"/>
    <n v="6"/>
    <n v="67.319999999999993"/>
    <s v="1-Year"/>
    <s v="Bank Transfer"/>
    <n v="2"/>
    <n v="8.1999999999999993"/>
    <n v="10"/>
    <n v="420.65"/>
    <n v="0"/>
    <s v="4–6m"/>
    <s v="9–10"/>
    <x v="0"/>
    <x v="3"/>
  </r>
  <r>
    <n v="202"/>
    <n v="25"/>
    <s v="Female"/>
    <n v="58"/>
    <n v="80.61"/>
    <s v="Month-to-Month"/>
    <s v="Credit Card"/>
    <n v="1"/>
    <n v="39.6"/>
    <n v="7"/>
    <n v="4254.8100000000004"/>
    <n v="0"/>
    <s v="&gt;24m"/>
    <s v="7–8"/>
    <x v="0"/>
    <x v="2"/>
  </r>
  <r>
    <n v="203"/>
    <n v="44"/>
    <s v="Male"/>
    <n v="44"/>
    <n v="99.43"/>
    <s v="1-Year"/>
    <s v="PayPal"/>
    <n v="3"/>
    <n v="74.599999999999994"/>
    <n v="10"/>
    <n v="4001.22"/>
    <n v="1"/>
    <s v="&gt;24m"/>
    <s v="9–10"/>
    <x v="2"/>
    <x v="1"/>
  </r>
  <r>
    <n v="204"/>
    <n v="26"/>
    <s v="Male"/>
    <n v="45"/>
    <n v="30.67"/>
    <s v="Month-to-Month"/>
    <s v="Bank Transfer"/>
    <n v="4"/>
    <n v="82.9"/>
    <n v="5"/>
    <n v="1353.34"/>
    <n v="0"/>
    <s v="&gt;24m"/>
    <s v="5–6"/>
    <x v="0"/>
    <x v="0"/>
  </r>
  <r>
    <n v="205"/>
    <n v="54"/>
    <s v="Female"/>
    <n v="32"/>
    <n v="105.07"/>
    <s v="2-Year"/>
    <s v="PayPal"/>
    <n v="0"/>
    <n v="34.799999999999997"/>
    <n v="8"/>
    <n v="3224.58"/>
    <n v="0"/>
    <s v="&gt;24m"/>
    <s v="7–8"/>
    <x v="0"/>
    <x v="1"/>
  </r>
  <r>
    <n v="206"/>
    <n v="50"/>
    <s v="Female"/>
    <n v="45"/>
    <n v="94.6"/>
    <s v="1-Year"/>
    <s v="Bank Transfer"/>
    <n v="3"/>
    <n v="80.900000000000006"/>
    <n v="9"/>
    <n v="4029.15"/>
    <n v="0"/>
    <s v="&gt;24m"/>
    <s v="9–10"/>
    <x v="2"/>
    <x v="2"/>
  </r>
  <r>
    <n v="207"/>
    <n v="68"/>
    <s v="Female"/>
    <n v="61"/>
    <n v="60.85"/>
    <s v="1-Year"/>
    <s v="PayPal"/>
    <n v="2"/>
    <n v="96.9"/>
    <n v="7"/>
    <n v="3549.27"/>
    <n v="1"/>
    <s v="&gt;24m"/>
    <s v="7–8"/>
    <x v="2"/>
    <x v="3"/>
  </r>
  <r>
    <n v="208"/>
    <n v="59"/>
    <s v="Male"/>
    <n v="47"/>
    <n v="113.29"/>
    <s v="2-Year"/>
    <s v="Credit Card"/>
    <n v="3"/>
    <n v="86.4"/>
    <n v="7"/>
    <n v="5647.82"/>
    <n v="1"/>
    <s v="&gt;24m"/>
    <s v="7–8"/>
    <x v="0"/>
    <x v="1"/>
  </r>
  <r>
    <n v="209"/>
    <n v="61"/>
    <s v="Female"/>
    <n v="21"/>
    <n v="119.09"/>
    <s v="Month-to-Month"/>
    <s v="Credit Card"/>
    <n v="1"/>
    <n v="16.2"/>
    <n v="1"/>
    <n v="2715.58"/>
    <n v="1"/>
    <s v="13–24m"/>
    <s v="1–4"/>
    <x v="0"/>
    <x v="1"/>
  </r>
  <r>
    <n v="210"/>
    <n v="41"/>
    <s v="Male"/>
    <n v="36"/>
    <n v="40.5"/>
    <s v="2-Year"/>
    <s v="Credit Card"/>
    <n v="3"/>
    <n v="75.3"/>
    <n v="4"/>
    <n v="1430.33"/>
    <n v="0"/>
    <s v="&gt;24m"/>
    <s v="1–4"/>
    <x v="2"/>
    <x v="0"/>
  </r>
  <r>
    <n v="211"/>
    <n v="32"/>
    <s v="Male"/>
    <n v="19"/>
    <n v="57.92"/>
    <s v="Month-to-Month"/>
    <s v="Bank Transfer"/>
    <n v="2"/>
    <n v="35.4"/>
    <n v="2"/>
    <n v="1189.8599999999999"/>
    <n v="1"/>
    <s v="13–24m"/>
    <s v="1–4"/>
    <x v="0"/>
    <x v="3"/>
  </r>
  <r>
    <n v="212"/>
    <n v="49"/>
    <s v="Male"/>
    <n v="20"/>
    <n v="112.64"/>
    <s v="Month-to-Month"/>
    <s v="PayPal"/>
    <n v="0"/>
    <n v="98.9"/>
    <n v="2"/>
    <n v="2172.37"/>
    <n v="1"/>
    <s v="13–24m"/>
    <s v="1–4"/>
    <x v="0"/>
    <x v="1"/>
  </r>
  <r>
    <n v="213"/>
    <n v="49"/>
    <s v="Female"/>
    <n v="57"/>
    <n v="92.16"/>
    <s v="Month-to-Month"/>
    <s v="Credit Card"/>
    <n v="3"/>
    <n v="51.1"/>
    <n v="2"/>
    <n v="5228.3599999999997"/>
    <n v="1"/>
    <s v="&gt;24m"/>
    <s v="1–4"/>
    <x v="0"/>
    <x v="2"/>
  </r>
  <r>
    <n v="214"/>
    <n v="41"/>
    <s v="Female"/>
    <n v="18"/>
    <n v="24.81"/>
    <s v="Month-to-Month"/>
    <s v="PayPal"/>
    <n v="0"/>
    <n v="16.600000000000001"/>
    <n v="4"/>
    <n v="422.11"/>
    <n v="1"/>
    <s v="13–24m"/>
    <s v="1–4"/>
    <x v="0"/>
    <x v="0"/>
  </r>
  <r>
    <n v="215"/>
    <n v="58"/>
    <s v="Male"/>
    <n v="47"/>
    <n v="98.15"/>
    <s v="Month-to-Month"/>
    <s v="PayPal"/>
    <n v="2"/>
    <n v="73.900000000000006"/>
    <n v="1"/>
    <n v="4742.6499999999996"/>
    <n v="0"/>
    <s v="&gt;24m"/>
    <s v="1–4"/>
    <x v="0"/>
    <x v="1"/>
  </r>
  <r>
    <n v="216"/>
    <n v="69"/>
    <s v="Male"/>
    <n v="49"/>
    <n v="102.79"/>
    <s v="1-Year"/>
    <s v="Credit Card"/>
    <n v="5"/>
    <n v="35.700000000000003"/>
    <n v="4"/>
    <n v="5519.21"/>
    <n v="0"/>
    <s v="&gt;24m"/>
    <s v="1–4"/>
    <x v="0"/>
    <x v="1"/>
  </r>
  <r>
    <n v="217"/>
    <n v="66"/>
    <s v="Female"/>
    <n v="14"/>
    <n v="95.05"/>
    <s v="1-Year"/>
    <s v="Credit Card"/>
    <n v="2"/>
    <n v="99.7"/>
    <n v="2"/>
    <n v="1358.24"/>
    <n v="1"/>
    <s v="13–24m"/>
    <s v="1–4"/>
    <x v="2"/>
    <x v="1"/>
  </r>
  <r>
    <n v="218"/>
    <n v="66"/>
    <s v="Male"/>
    <n v="15"/>
    <n v="99.95"/>
    <s v="2-Year"/>
    <s v="PayPal"/>
    <n v="1"/>
    <n v="98.1"/>
    <n v="5"/>
    <n v="1456.62"/>
    <n v="0"/>
    <s v="13–24m"/>
    <s v="5–6"/>
    <x v="2"/>
    <x v="1"/>
  </r>
  <r>
    <n v="219"/>
    <n v="69"/>
    <s v="Female"/>
    <n v="31"/>
    <n v="102.51"/>
    <s v="Month-to-Month"/>
    <s v="Credit Card"/>
    <n v="3"/>
    <n v="67.3"/>
    <n v="3"/>
    <n v="3271.76"/>
    <n v="1"/>
    <s v="&gt;24m"/>
    <s v="1–4"/>
    <x v="0"/>
    <x v="1"/>
  </r>
  <r>
    <n v="220"/>
    <n v="29"/>
    <s v="Male"/>
    <n v="1"/>
    <n v="38.64"/>
    <s v="1-Year"/>
    <s v="Credit Card"/>
    <n v="2"/>
    <n v="17.3"/>
    <n v="8"/>
    <n v="35.729999999999997"/>
    <n v="0"/>
    <s v="0–3m"/>
    <s v="7–8"/>
    <x v="0"/>
    <x v="0"/>
  </r>
  <r>
    <n v="221"/>
    <n v="56"/>
    <s v="Female"/>
    <n v="54"/>
    <n v="43.57"/>
    <s v="Month-to-Month"/>
    <s v="Credit Card"/>
    <n v="1"/>
    <n v="70.3"/>
    <n v="4"/>
    <n v="2535.67"/>
    <n v="0"/>
    <s v="&gt;24m"/>
    <s v="1–4"/>
    <x v="0"/>
    <x v="0"/>
  </r>
  <r>
    <n v="222"/>
    <n v="19"/>
    <s v="Male"/>
    <n v="3"/>
    <n v="83.38"/>
    <s v="Month-to-Month"/>
    <s v="Bank Transfer"/>
    <n v="0"/>
    <n v="13.8"/>
    <n v="1"/>
    <n v="250.29"/>
    <n v="1"/>
    <s v="0–3m"/>
    <s v="1–4"/>
    <x v="0"/>
    <x v="2"/>
  </r>
  <r>
    <n v="223"/>
    <n v="20"/>
    <s v="Female"/>
    <n v="16"/>
    <n v="110.79"/>
    <s v="Month-to-Month"/>
    <s v="PayPal"/>
    <n v="3"/>
    <n v="7.8"/>
    <n v="1"/>
    <n v="1754.68"/>
    <n v="1"/>
    <s v="13–24m"/>
    <s v="1–4"/>
    <x v="0"/>
    <x v="1"/>
  </r>
  <r>
    <n v="224"/>
    <n v="66"/>
    <s v="Male"/>
    <n v="57"/>
    <n v="51.62"/>
    <s v="Month-to-Month"/>
    <s v="PayPal"/>
    <n v="0"/>
    <n v="83.2"/>
    <n v="10"/>
    <n v="2992.87"/>
    <n v="1"/>
    <s v="&gt;24m"/>
    <s v="9–10"/>
    <x v="0"/>
    <x v="3"/>
  </r>
  <r>
    <n v="225"/>
    <n v="54"/>
    <s v="Female"/>
    <n v="12"/>
    <n v="78.83"/>
    <s v="1-Year"/>
    <s v="Bank Transfer"/>
    <n v="1"/>
    <n v="24.9"/>
    <n v="3"/>
    <n v="969.57"/>
    <n v="0"/>
    <s v="7–12m"/>
    <s v="1–4"/>
    <x v="0"/>
    <x v="2"/>
  </r>
  <r>
    <n v="226"/>
    <n v="66"/>
    <s v="Female"/>
    <n v="16"/>
    <n v="88.3"/>
    <s v="Month-to-Month"/>
    <s v="PayPal"/>
    <n v="4"/>
    <n v="41"/>
    <n v="9"/>
    <n v="1291.8"/>
    <n v="0"/>
    <s v="13–24m"/>
    <s v="9–10"/>
    <x v="0"/>
    <x v="2"/>
  </r>
  <r>
    <n v="227"/>
    <n v="34"/>
    <s v="Male"/>
    <n v="24"/>
    <n v="65.19"/>
    <s v="Month-to-Month"/>
    <s v="Credit Card"/>
    <n v="0"/>
    <n v="97.5"/>
    <n v="7"/>
    <n v="1621.7"/>
    <n v="1"/>
    <s v="13–24m"/>
    <s v="7–8"/>
    <x v="2"/>
    <x v="3"/>
  </r>
  <r>
    <n v="228"/>
    <n v="66"/>
    <s v="Male"/>
    <n v="28"/>
    <n v="91.38"/>
    <s v="Month-to-Month"/>
    <s v="PayPal"/>
    <n v="0"/>
    <n v="37"/>
    <n v="2"/>
    <n v="2426.58"/>
    <n v="0"/>
    <s v="&gt;24m"/>
    <s v="1–4"/>
    <x v="0"/>
    <x v="2"/>
  </r>
  <r>
    <n v="229"/>
    <n v="19"/>
    <s v="Female"/>
    <n v="8"/>
    <n v="109.97"/>
    <s v="Month-to-Month"/>
    <s v="Credit Card"/>
    <n v="1"/>
    <n v="33.200000000000003"/>
    <n v="9"/>
    <n v="917.41"/>
    <n v="1"/>
    <s v="7–12m"/>
    <s v="9–10"/>
    <x v="0"/>
    <x v="1"/>
  </r>
  <r>
    <n v="230"/>
    <n v="19"/>
    <s v="Male"/>
    <n v="36"/>
    <n v="82.41"/>
    <s v="Month-to-Month"/>
    <s v="Bank Transfer"/>
    <n v="2"/>
    <n v="92.2"/>
    <n v="10"/>
    <n v="3158.14"/>
    <n v="1"/>
    <s v="&gt;24m"/>
    <s v="9–10"/>
    <x v="2"/>
    <x v="2"/>
  </r>
  <r>
    <n v="231"/>
    <n v="45"/>
    <s v="Female"/>
    <n v="8"/>
    <n v="73.98"/>
    <s v="2-Year"/>
    <s v="Credit Card"/>
    <n v="1"/>
    <n v="15.5"/>
    <n v="2"/>
    <n v="627.82000000000005"/>
    <n v="0"/>
    <s v="7–12m"/>
    <s v="1–4"/>
    <x v="0"/>
    <x v="2"/>
  </r>
  <r>
    <n v="232"/>
    <n v="40"/>
    <s v="Male"/>
    <n v="58"/>
    <n v="63.87"/>
    <s v="Month-to-Month"/>
    <s v="PayPal"/>
    <n v="3"/>
    <n v="77.2"/>
    <n v="3"/>
    <n v="3743.36"/>
    <n v="0"/>
    <s v="&gt;24m"/>
    <s v="1–4"/>
    <x v="2"/>
    <x v="3"/>
  </r>
  <r>
    <n v="233"/>
    <n v="54"/>
    <s v="Female"/>
    <n v="60"/>
    <n v="77.75"/>
    <s v="Month-to-Month"/>
    <s v="PayPal"/>
    <n v="4"/>
    <n v="98.9"/>
    <n v="10"/>
    <n v="4683.82"/>
    <n v="0"/>
    <s v="&gt;24m"/>
    <s v="9–10"/>
    <x v="2"/>
    <x v="2"/>
  </r>
  <r>
    <n v="234"/>
    <n v="49"/>
    <s v="Female"/>
    <n v="50"/>
    <n v="55.54"/>
    <s v="Month-to-Month"/>
    <s v="PayPal"/>
    <n v="2"/>
    <n v="90.6"/>
    <n v="2"/>
    <n v="2578.65"/>
    <n v="1"/>
    <s v="&gt;24m"/>
    <s v="1–4"/>
    <x v="2"/>
    <x v="3"/>
  </r>
  <r>
    <n v="235"/>
    <n v="50"/>
    <s v="Female"/>
    <n v="28"/>
    <n v="59.15"/>
    <s v="1-Year"/>
    <s v="Bank Transfer"/>
    <n v="3"/>
    <n v="66.900000000000006"/>
    <n v="3"/>
    <n v="1747.41"/>
    <n v="1"/>
    <s v="&gt;24m"/>
    <s v="1–4"/>
    <x v="0"/>
    <x v="3"/>
  </r>
  <r>
    <n v="236"/>
    <n v="18"/>
    <s v="Female"/>
    <n v="41"/>
    <n v="73.19"/>
    <s v="2-Year"/>
    <s v="Bank Transfer"/>
    <n v="0"/>
    <n v="34.799999999999997"/>
    <n v="6"/>
    <n v="2863.6"/>
    <n v="0"/>
    <s v="&gt;24m"/>
    <s v="5–6"/>
    <x v="0"/>
    <x v="3"/>
  </r>
  <r>
    <n v="237"/>
    <n v="36"/>
    <s v="Female"/>
    <n v="64"/>
    <n v="26.66"/>
    <s v="1-Year"/>
    <s v="PayPal"/>
    <n v="2"/>
    <n v="29.2"/>
    <n v="9"/>
    <n v="1705.11"/>
    <n v="0"/>
    <s v="&gt;24m"/>
    <s v="9–10"/>
    <x v="0"/>
    <x v="0"/>
  </r>
  <r>
    <n v="238"/>
    <n v="19"/>
    <s v="Female"/>
    <n v="27"/>
    <n v="42.9"/>
    <s v="1-Year"/>
    <s v="Credit Card"/>
    <n v="2"/>
    <n v="82.8"/>
    <n v="9"/>
    <n v="1108.32"/>
    <n v="0"/>
    <s v="&gt;24m"/>
    <s v="9–10"/>
    <x v="0"/>
    <x v="0"/>
  </r>
  <r>
    <n v="239"/>
    <n v="61"/>
    <s v="Male"/>
    <n v="63"/>
    <n v="74.28"/>
    <s v="Month-to-Month"/>
    <s v="Bank Transfer"/>
    <n v="1"/>
    <n v="88.6"/>
    <n v="7"/>
    <n v="4336.93"/>
    <n v="1"/>
    <s v="&gt;24m"/>
    <s v="7–8"/>
    <x v="0"/>
    <x v="2"/>
  </r>
  <r>
    <n v="240"/>
    <n v="43"/>
    <s v="Male"/>
    <n v="17"/>
    <n v="63.15"/>
    <s v="Month-to-Month"/>
    <s v="PayPal"/>
    <n v="2"/>
    <n v="54.9"/>
    <n v="3"/>
    <n v="1101.3699999999999"/>
    <n v="0"/>
    <s v="13–24m"/>
    <s v="1–4"/>
    <x v="2"/>
    <x v="3"/>
  </r>
  <r>
    <n v="241"/>
    <n v="49"/>
    <s v="Male"/>
    <n v="33"/>
    <n v="53.28"/>
    <s v="2-Year"/>
    <s v="PayPal"/>
    <n v="2"/>
    <n v="28.2"/>
    <n v="4"/>
    <n v="1601.52"/>
    <n v="1"/>
    <s v="&gt;24m"/>
    <s v="1–4"/>
    <x v="0"/>
    <x v="3"/>
  </r>
  <r>
    <n v="242"/>
    <n v="23"/>
    <s v="Female"/>
    <n v="29"/>
    <n v="93.05"/>
    <s v="1-Year"/>
    <s v="Bank Transfer"/>
    <n v="2"/>
    <n v="15.7"/>
    <n v="6"/>
    <n v="2832.64"/>
    <n v="1"/>
    <s v="&gt;24m"/>
    <s v="5–6"/>
    <x v="0"/>
    <x v="2"/>
  </r>
  <r>
    <n v="243"/>
    <n v="49"/>
    <s v="Female"/>
    <n v="13"/>
    <n v="89.37"/>
    <s v="1-Year"/>
    <s v="Bank Transfer"/>
    <n v="1"/>
    <n v="13.3"/>
    <n v="5"/>
    <n v="1119.42"/>
    <n v="0"/>
    <s v="13–24m"/>
    <s v="5–6"/>
    <x v="0"/>
    <x v="2"/>
  </r>
  <r>
    <n v="244"/>
    <n v="21"/>
    <s v="Female"/>
    <n v="46"/>
    <n v="36.67"/>
    <s v="1-Year"/>
    <s v="Bank Transfer"/>
    <n v="3"/>
    <n v="73.3"/>
    <n v="2"/>
    <n v="1518.18"/>
    <n v="1"/>
    <s v="&gt;24m"/>
    <s v="1–4"/>
    <x v="0"/>
    <x v="0"/>
  </r>
  <r>
    <n v="245"/>
    <n v="28"/>
    <s v="Female"/>
    <n v="35"/>
    <n v="107.86"/>
    <s v="1-Year"/>
    <s v="Credit Card"/>
    <n v="4"/>
    <n v="44.9"/>
    <n v="6"/>
    <n v="3783.5"/>
    <n v="0"/>
    <s v="&gt;24m"/>
    <s v="5–6"/>
    <x v="0"/>
    <x v="1"/>
  </r>
  <r>
    <n v="246"/>
    <n v="34"/>
    <s v="Male"/>
    <n v="6"/>
    <n v="69.540000000000006"/>
    <s v="1-Year"/>
    <s v="Credit Card"/>
    <n v="2"/>
    <n v="91"/>
    <n v="3"/>
    <n v="379.43"/>
    <n v="1"/>
    <s v="4–6m"/>
    <s v="1–4"/>
    <x v="0"/>
    <x v="3"/>
  </r>
  <r>
    <n v="247"/>
    <n v="55"/>
    <s v="Male"/>
    <n v="69"/>
    <n v="94.15"/>
    <s v="2-Year"/>
    <s v="PayPal"/>
    <n v="3"/>
    <n v="75.3"/>
    <n v="8"/>
    <n v="6205.53"/>
    <n v="1"/>
    <s v="&gt;24m"/>
    <s v="7–8"/>
    <x v="2"/>
    <x v="2"/>
  </r>
  <r>
    <n v="248"/>
    <n v="41"/>
    <s v="Female"/>
    <n v="47"/>
    <n v="77.319999999999993"/>
    <s v="2-Year"/>
    <s v="Bank Transfer"/>
    <n v="3"/>
    <n v="23.2"/>
    <n v="2"/>
    <n v="3784.47"/>
    <n v="1"/>
    <s v="&gt;24m"/>
    <s v="1–4"/>
    <x v="2"/>
    <x v="2"/>
  </r>
  <r>
    <n v="249"/>
    <n v="22"/>
    <s v="Male"/>
    <n v="25"/>
    <n v="119.77"/>
    <s v="1-Year"/>
    <s v="Credit Card"/>
    <n v="3"/>
    <n v="63.3"/>
    <n v="1"/>
    <n v="2732.37"/>
    <n v="1"/>
    <s v="&gt;24m"/>
    <s v="1–4"/>
    <x v="2"/>
    <x v="1"/>
  </r>
  <r>
    <n v="250"/>
    <n v="69"/>
    <s v="Male"/>
    <n v="66"/>
    <n v="95.24"/>
    <s v="1-Year"/>
    <s v="Bank Transfer"/>
    <n v="5"/>
    <n v="46.4"/>
    <n v="9"/>
    <n v="6712.45"/>
    <n v="0"/>
    <s v="&gt;24m"/>
    <s v="9–10"/>
    <x v="2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n v="1"/>
    <n v="56"/>
    <s v="Female"/>
    <n v="58"/>
    <n v="28.27"/>
    <x v="0"/>
    <x v="0"/>
    <n v="2"/>
    <n v="52.7"/>
    <n v="6"/>
    <n v="1614.09"/>
    <n v="1"/>
    <s v="&gt;24m"/>
    <s v="5–6"/>
    <x v="0"/>
    <s v="Q1"/>
  </r>
  <r>
    <n v="2"/>
    <n v="69"/>
    <s v="Female"/>
    <n v="63"/>
    <n v="107.67"/>
    <x v="0"/>
    <x v="0"/>
    <n v="1"/>
    <n v="16.8"/>
    <n v="1"/>
    <n v="6505.15"/>
    <n v="1"/>
    <s v="&gt;24m"/>
    <s v="1–4"/>
    <x v="1"/>
    <s v="Q4"/>
  </r>
  <r>
    <n v="3"/>
    <n v="46"/>
    <s v="Female"/>
    <n v="62"/>
    <n v="75.16"/>
    <x v="1"/>
    <x v="1"/>
    <n v="1"/>
    <n v="41.6"/>
    <n v="5"/>
    <n v="4646.87"/>
    <n v="0"/>
    <s v="&gt;24m"/>
    <s v="5–6"/>
    <x v="2"/>
    <s v="Q3"/>
  </r>
  <r>
    <n v="4"/>
    <n v="32"/>
    <s v="Male"/>
    <n v="22"/>
    <n v="36.479999999999997"/>
    <x v="1"/>
    <x v="2"/>
    <n v="1"/>
    <n v="66.099999999999994"/>
    <n v="3"/>
    <n v="814.95"/>
    <n v="1"/>
    <s v="13–24m"/>
    <s v="1–4"/>
    <x v="0"/>
    <s v="Q1"/>
  </r>
  <r>
    <n v="5"/>
    <n v="60"/>
    <s v="Male"/>
    <n v="58"/>
    <n v="61.13"/>
    <x v="0"/>
    <x v="1"/>
    <n v="3"/>
    <n v="79.099999999999994"/>
    <n v="1"/>
    <n v="3222"/>
    <n v="1"/>
    <s v="&gt;24m"/>
    <s v="1–4"/>
    <x v="3"/>
    <s v="Q2"/>
  </r>
  <r>
    <n v="6"/>
    <n v="25"/>
    <s v="Female"/>
    <n v="58"/>
    <n v="97.76"/>
    <x v="1"/>
    <x v="2"/>
    <n v="2"/>
    <n v="25.6"/>
    <n v="4"/>
    <n v="5242.5600000000004"/>
    <n v="1"/>
    <s v="&gt;24m"/>
    <s v="1–4"/>
    <x v="1"/>
    <s v="Q4"/>
  </r>
  <r>
    <n v="7"/>
    <n v="38"/>
    <s v="Female"/>
    <n v="49"/>
    <n v="68.040000000000006"/>
    <x v="0"/>
    <x v="0"/>
    <n v="2"/>
    <n v="18.100000000000001"/>
    <n v="2"/>
    <n v="3373.06"/>
    <n v="1"/>
    <s v="&gt;24m"/>
    <s v="1–4"/>
    <x v="1"/>
    <s v="Q2"/>
  </r>
  <r>
    <n v="8"/>
    <n v="56"/>
    <s v="Male"/>
    <n v="52"/>
    <n v="118.53"/>
    <x v="1"/>
    <x v="2"/>
    <n v="3"/>
    <n v="68"/>
    <n v="2"/>
    <n v="5970.23"/>
    <n v="0"/>
    <s v="&gt;24m"/>
    <s v="1–4"/>
    <x v="0"/>
    <s v="Q4"/>
  </r>
  <r>
    <n v="9"/>
    <n v="36"/>
    <s v="Male"/>
    <n v="42"/>
    <n v="57.67"/>
    <x v="1"/>
    <x v="1"/>
    <n v="0"/>
    <n v="5.2"/>
    <n v="3"/>
    <n v="2533.16"/>
    <n v="1"/>
    <s v="&gt;24m"/>
    <s v="1–4"/>
    <x v="1"/>
    <s v="Q2"/>
  </r>
  <r>
    <n v="10"/>
    <n v="40"/>
    <s v="Female"/>
    <n v="70"/>
    <n v="94.96"/>
    <x v="1"/>
    <x v="0"/>
    <n v="5"/>
    <n v="21.9"/>
    <n v="8"/>
    <n v="6849.66"/>
    <n v="0"/>
    <s v="&gt;24m"/>
    <s v="7–8"/>
    <x v="1"/>
    <s v="Q3"/>
  </r>
  <r>
    <n v="11"/>
    <n v="28"/>
    <s v="Male"/>
    <n v="15"/>
    <n v="59.3"/>
    <x v="1"/>
    <x v="1"/>
    <n v="1"/>
    <n v="7.8"/>
    <n v="8"/>
    <n v="950.98"/>
    <n v="0"/>
    <s v="13–24m"/>
    <s v="7–8"/>
    <x v="1"/>
    <s v="Q2"/>
  </r>
  <r>
    <n v="12"/>
    <n v="28"/>
    <s v="Female"/>
    <n v="54"/>
    <n v="102.92"/>
    <x v="0"/>
    <x v="1"/>
    <n v="3"/>
    <n v="20.9"/>
    <n v="7"/>
    <n v="5771.64"/>
    <n v="0"/>
    <s v="&gt;24m"/>
    <s v="7–8"/>
    <x v="1"/>
    <s v="Q4"/>
  </r>
  <r>
    <n v="13"/>
    <n v="41"/>
    <s v="Female"/>
    <n v="60"/>
    <n v="76.91"/>
    <x v="1"/>
    <x v="2"/>
    <n v="0"/>
    <n v="22.2"/>
    <n v="6"/>
    <n v="4549.93"/>
    <n v="0"/>
    <s v="&gt;24m"/>
    <s v="5–6"/>
    <x v="1"/>
    <s v="Q3"/>
  </r>
  <r>
    <n v="14"/>
    <n v="53"/>
    <s v="Male"/>
    <n v="8"/>
    <n v="26.35"/>
    <x v="1"/>
    <x v="1"/>
    <n v="1"/>
    <n v="41.8"/>
    <n v="9"/>
    <n v="218.09"/>
    <n v="1"/>
    <s v="7–12m"/>
    <s v="9–10"/>
    <x v="2"/>
    <s v="Q1"/>
  </r>
  <r>
    <n v="15"/>
    <n v="57"/>
    <s v="Male"/>
    <n v="53"/>
    <n v="23.68"/>
    <x v="1"/>
    <x v="2"/>
    <n v="1"/>
    <n v="43.2"/>
    <n v="4"/>
    <n v="1198.6600000000001"/>
    <n v="0"/>
    <s v="&gt;24m"/>
    <s v="1–4"/>
    <x v="2"/>
    <s v="Q1"/>
  </r>
  <r>
    <n v="16"/>
    <n v="41"/>
    <s v="Female"/>
    <n v="60"/>
    <n v="33.39"/>
    <x v="1"/>
    <x v="0"/>
    <n v="3"/>
    <n v="88.1"/>
    <n v="1"/>
    <n v="1925.79"/>
    <n v="1"/>
    <s v="&gt;24m"/>
    <s v="1–4"/>
    <x v="3"/>
    <s v="Q1"/>
  </r>
  <r>
    <n v="17"/>
    <n v="20"/>
    <s v="Female"/>
    <n v="5"/>
    <n v="21.37"/>
    <x v="0"/>
    <x v="2"/>
    <n v="3"/>
    <n v="53.5"/>
    <n v="8"/>
    <n v="113.03"/>
    <n v="0"/>
    <s v="4–6m"/>
    <s v="7–8"/>
    <x v="0"/>
    <s v="Q1"/>
  </r>
  <r>
    <n v="18"/>
    <n v="39"/>
    <s v="Male"/>
    <n v="68"/>
    <n v="27.54"/>
    <x v="1"/>
    <x v="0"/>
    <n v="2"/>
    <n v="73.7"/>
    <n v="7"/>
    <n v="1852.65"/>
    <n v="0"/>
    <s v="&gt;24m"/>
    <s v="7–8"/>
    <x v="0"/>
    <s v="Q1"/>
  </r>
  <r>
    <n v="19"/>
    <n v="19"/>
    <s v="Female"/>
    <n v="6"/>
    <n v="89.17"/>
    <x v="1"/>
    <x v="2"/>
    <n v="6"/>
    <n v="14.9"/>
    <n v="7"/>
    <n v="566.95000000000005"/>
    <n v="1"/>
    <s v="4–6m"/>
    <s v="7–8"/>
    <x v="1"/>
    <s v="Q3"/>
  </r>
  <r>
    <n v="20"/>
    <n v="41"/>
    <s v="Male"/>
    <n v="47"/>
    <n v="73.430000000000007"/>
    <x v="1"/>
    <x v="1"/>
    <n v="3"/>
    <n v="26.4"/>
    <n v="3"/>
    <n v="3673.76"/>
    <n v="1"/>
    <s v="&gt;24m"/>
    <s v="1–4"/>
    <x v="1"/>
    <s v="Q2"/>
  </r>
  <r>
    <n v="21"/>
    <n v="61"/>
    <s v="Female"/>
    <n v="55"/>
    <n v="94.99"/>
    <x v="0"/>
    <x v="2"/>
    <n v="4"/>
    <n v="71.8"/>
    <n v="4"/>
    <n v="5598.06"/>
    <n v="0"/>
    <s v="&gt;24m"/>
    <s v="1–4"/>
    <x v="0"/>
    <s v="Q3"/>
  </r>
  <r>
    <n v="22"/>
    <n v="47"/>
    <s v="Male"/>
    <n v="40"/>
    <n v="111.32"/>
    <x v="1"/>
    <x v="2"/>
    <n v="1"/>
    <n v="10"/>
    <n v="10"/>
    <n v="4823.84"/>
    <n v="1"/>
    <s v="&gt;24m"/>
    <s v="9–10"/>
    <x v="1"/>
    <s v="Q4"/>
  </r>
  <r>
    <n v="23"/>
    <n v="55"/>
    <s v="Male"/>
    <n v="52"/>
    <n v="78.510000000000005"/>
    <x v="0"/>
    <x v="0"/>
    <n v="0"/>
    <n v="51.2"/>
    <n v="9"/>
    <n v="4026.17"/>
    <n v="1"/>
    <s v="&gt;24m"/>
    <s v="9–10"/>
    <x v="0"/>
    <s v="Q3"/>
  </r>
  <r>
    <n v="24"/>
    <n v="19"/>
    <s v="Male"/>
    <n v="16"/>
    <n v="92.61"/>
    <x v="2"/>
    <x v="1"/>
    <n v="1"/>
    <n v="61.9"/>
    <n v="6"/>
    <n v="1428.08"/>
    <n v="0"/>
    <s v="13–24m"/>
    <s v="5–6"/>
    <x v="0"/>
    <s v="Q3"/>
  </r>
  <r>
    <n v="25"/>
    <n v="38"/>
    <s v="Female"/>
    <n v="13"/>
    <n v="95.71"/>
    <x v="1"/>
    <x v="2"/>
    <n v="1"/>
    <n v="62.2"/>
    <n v="5"/>
    <n v="1264.68"/>
    <n v="0"/>
    <s v="13–24m"/>
    <s v="5–6"/>
    <x v="0"/>
    <s v="Q4"/>
  </r>
  <r>
    <n v="26"/>
    <n v="50"/>
    <s v="Female"/>
    <n v="30"/>
    <n v="57.79"/>
    <x v="1"/>
    <x v="1"/>
    <n v="4"/>
    <n v="7.2"/>
    <n v="3"/>
    <n v="1689.03"/>
    <n v="0"/>
    <s v="&gt;24m"/>
    <s v="1–4"/>
    <x v="1"/>
    <s v="Q2"/>
  </r>
  <r>
    <n v="27"/>
    <n v="29"/>
    <s v="Male"/>
    <n v="19"/>
    <n v="44.11"/>
    <x v="1"/>
    <x v="2"/>
    <n v="1"/>
    <n v="35.6"/>
    <n v="9"/>
    <n v="855.03"/>
    <n v="0"/>
    <s v="13–24m"/>
    <s v="9–10"/>
    <x v="2"/>
    <s v="Q1"/>
  </r>
  <r>
    <n v="28"/>
    <n v="39"/>
    <s v="Female"/>
    <n v="17"/>
    <n v="40.5"/>
    <x v="1"/>
    <x v="2"/>
    <n v="2"/>
    <n v="65.5"/>
    <n v="5"/>
    <n v="716.81"/>
    <n v="0"/>
    <s v="13–24m"/>
    <s v="5–6"/>
    <x v="0"/>
    <s v="Q1"/>
  </r>
  <r>
    <n v="29"/>
    <n v="61"/>
    <s v="Male"/>
    <n v="63"/>
    <n v="45.14"/>
    <x v="0"/>
    <x v="1"/>
    <n v="1"/>
    <n v="19.2"/>
    <n v="5"/>
    <n v="2950.98"/>
    <n v="0"/>
    <s v="&gt;24m"/>
    <s v="5–6"/>
    <x v="1"/>
    <s v="Q1"/>
  </r>
  <r>
    <n v="30"/>
    <n v="42"/>
    <s v="Male"/>
    <n v="19"/>
    <n v="47.47"/>
    <x v="2"/>
    <x v="2"/>
    <n v="1"/>
    <n v="71.099999999999994"/>
    <n v="4"/>
    <n v="879.3"/>
    <n v="1"/>
    <s v="13–24m"/>
    <s v="1–4"/>
    <x v="0"/>
    <s v="Q1"/>
  </r>
  <r>
    <n v="31"/>
    <n v="66"/>
    <s v="Female"/>
    <n v="58"/>
    <n v="40.72"/>
    <x v="1"/>
    <x v="1"/>
    <n v="2"/>
    <n v="75.900000000000006"/>
    <n v="4"/>
    <n v="2204.4"/>
    <n v="1"/>
    <s v="&gt;24m"/>
    <s v="1–4"/>
    <x v="3"/>
    <s v="Q1"/>
  </r>
  <r>
    <n v="32"/>
    <n v="44"/>
    <s v="Female"/>
    <n v="55"/>
    <n v="107.82"/>
    <x v="1"/>
    <x v="2"/>
    <n v="2"/>
    <n v="98.3"/>
    <n v="1"/>
    <n v="5847.71"/>
    <n v="0"/>
    <s v="&gt;24m"/>
    <s v="1–4"/>
    <x v="3"/>
    <s v="Q4"/>
  </r>
  <r>
    <n v="33"/>
    <n v="59"/>
    <s v="Male"/>
    <n v="62"/>
    <n v="95.7"/>
    <x v="1"/>
    <x v="0"/>
    <n v="4"/>
    <n v="24.9"/>
    <n v="7"/>
    <n v="5509.27"/>
    <n v="0"/>
    <s v="&gt;24m"/>
    <s v="7–8"/>
    <x v="1"/>
    <s v="Q4"/>
  </r>
  <r>
    <n v="34"/>
    <n v="45"/>
    <s v="Female"/>
    <n v="23"/>
    <n v="24.69"/>
    <x v="0"/>
    <x v="1"/>
    <n v="5"/>
    <n v="83.4"/>
    <n v="9"/>
    <n v="612.16999999999996"/>
    <n v="1"/>
    <s v="13–24m"/>
    <s v="9–10"/>
    <x v="3"/>
    <s v="Q1"/>
  </r>
  <r>
    <n v="35"/>
    <n v="33"/>
    <s v="Female"/>
    <n v="9"/>
    <n v="46.87"/>
    <x v="1"/>
    <x v="2"/>
    <n v="0"/>
    <n v="54.4"/>
    <n v="3"/>
    <n v="408.83"/>
    <n v="1"/>
    <s v="7–12m"/>
    <s v="1–4"/>
    <x v="0"/>
    <s v="Q1"/>
  </r>
  <r>
    <n v="36"/>
    <n v="32"/>
    <s v="Male"/>
    <n v="12"/>
    <n v="22.22"/>
    <x v="1"/>
    <x v="2"/>
    <n v="1"/>
    <n v="40.5"/>
    <n v="2"/>
    <n v="248.21"/>
    <n v="0"/>
    <s v="7–12m"/>
    <s v="1–4"/>
    <x v="2"/>
    <s v="Q1"/>
  </r>
  <r>
    <n v="37"/>
    <n v="64"/>
    <s v="Male"/>
    <n v="1"/>
    <n v="69.819999999999993"/>
    <x v="2"/>
    <x v="0"/>
    <n v="1"/>
    <n v="16.600000000000001"/>
    <n v="3"/>
    <n v="63.19"/>
    <n v="0"/>
    <s v="0–3m"/>
    <s v="1–4"/>
    <x v="1"/>
    <s v="Q2"/>
  </r>
  <r>
    <n v="38"/>
    <n v="68"/>
    <s v="Female"/>
    <n v="58"/>
    <n v="67.62"/>
    <x v="0"/>
    <x v="1"/>
    <n v="3"/>
    <n v="74.900000000000006"/>
    <n v="1"/>
    <n v="4036.34"/>
    <n v="0"/>
    <s v="&gt;24m"/>
    <s v="1–4"/>
    <x v="0"/>
    <s v="Q2"/>
  </r>
  <r>
    <n v="39"/>
    <n v="61"/>
    <s v="Male"/>
    <n v="1"/>
    <n v="103.14"/>
    <x v="1"/>
    <x v="2"/>
    <n v="2"/>
    <n v="27.4"/>
    <n v="6"/>
    <n v="105.96"/>
    <n v="1"/>
    <s v="0–3m"/>
    <s v="5–6"/>
    <x v="2"/>
    <s v="Q4"/>
  </r>
  <r>
    <n v="40"/>
    <n v="69"/>
    <s v="Male"/>
    <n v="34"/>
    <n v="50.78"/>
    <x v="0"/>
    <x v="0"/>
    <n v="2"/>
    <n v="40.299999999999997"/>
    <n v="7"/>
    <n v="1671.48"/>
    <n v="0"/>
    <s v="&gt;24m"/>
    <s v="7–8"/>
    <x v="2"/>
    <s v="Q1"/>
  </r>
  <r>
    <n v="41"/>
    <n v="20"/>
    <s v="Female"/>
    <n v="48"/>
    <n v="101.64"/>
    <x v="0"/>
    <x v="2"/>
    <n v="3"/>
    <n v="10.9"/>
    <n v="2"/>
    <n v="4460.82"/>
    <n v="1"/>
    <s v="&gt;24m"/>
    <s v="1–4"/>
    <x v="1"/>
    <s v="Q4"/>
  </r>
  <r>
    <n v="42"/>
    <n v="54"/>
    <s v="Male"/>
    <n v="1"/>
    <n v="116.8"/>
    <x v="1"/>
    <x v="1"/>
    <n v="0"/>
    <n v="81.099999999999994"/>
    <n v="8"/>
    <n v="114.69"/>
    <n v="1"/>
    <s v="0–3m"/>
    <s v="7–8"/>
    <x v="3"/>
    <s v="Q4"/>
  </r>
  <r>
    <n v="43"/>
    <n v="68"/>
    <s v="Male"/>
    <n v="16"/>
    <n v="28.84"/>
    <x v="1"/>
    <x v="2"/>
    <n v="2"/>
    <n v="77.8"/>
    <n v="6"/>
    <n v="444.02"/>
    <n v="1"/>
    <s v="13–24m"/>
    <s v="5–6"/>
    <x v="3"/>
    <s v="Q1"/>
  </r>
  <r>
    <n v="44"/>
    <n v="24"/>
    <s v="Female"/>
    <n v="61"/>
    <n v="99.18"/>
    <x v="1"/>
    <x v="2"/>
    <n v="4"/>
    <n v="74.7"/>
    <n v="4"/>
    <n v="6264.3"/>
    <n v="0"/>
    <s v="&gt;24m"/>
    <s v="1–4"/>
    <x v="0"/>
    <s v="Q4"/>
  </r>
  <r>
    <n v="45"/>
    <n v="38"/>
    <s v="Female"/>
    <n v="64"/>
    <n v="79"/>
    <x v="1"/>
    <x v="2"/>
    <n v="5"/>
    <n v="33.4"/>
    <n v="5"/>
    <n v="5162.96"/>
    <n v="1"/>
    <s v="&gt;24m"/>
    <s v="5–6"/>
    <x v="2"/>
    <s v="Q3"/>
  </r>
  <r>
    <n v="46"/>
    <n v="26"/>
    <s v="Male"/>
    <n v="63"/>
    <n v="68"/>
    <x v="0"/>
    <x v="2"/>
    <n v="4"/>
    <n v="21.5"/>
    <n v="8"/>
    <n v="4167.9799999999996"/>
    <n v="0"/>
    <s v="&gt;24m"/>
    <s v="7–8"/>
    <x v="1"/>
    <s v="Q2"/>
  </r>
  <r>
    <n v="47"/>
    <n v="56"/>
    <s v="Male"/>
    <n v="69"/>
    <n v="62.05"/>
    <x v="2"/>
    <x v="0"/>
    <n v="0"/>
    <n v="65.599999999999994"/>
    <n v="3"/>
    <n v="4039.88"/>
    <n v="0"/>
    <s v="&gt;24m"/>
    <s v="1–4"/>
    <x v="0"/>
    <s v="Q2"/>
  </r>
  <r>
    <n v="48"/>
    <n v="35"/>
    <s v="Female"/>
    <n v="22"/>
    <n v="98.47"/>
    <x v="1"/>
    <x v="0"/>
    <n v="1"/>
    <n v="52.1"/>
    <n v="3"/>
    <n v="2377.79"/>
    <n v="1"/>
    <s v="13–24m"/>
    <s v="1–4"/>
    <x v="0"/>
    <s v="Q4"/>
  </r>
  <r>
    <n v="49"/>
    <n v="21"/>
    <s v="Female"/>
    <n v="67"/>
    <n v="83.94"/>
    <x v="1"/>
    <x v="1"/>
    <n v="3"/>
    <n v="21.9"/>
    <n v="4"/>
    <n v="5572.24"/>
    <n v="0"/>
    <s v="&gt;24m"/>
    <s v="1–4"/>
    <x v="1"/>
    <s v="Q3"/>
  </r>
  <r>
    <n v="50"/>
    <n v="42"/>
    <s v="Female"/>
    <n v="26"/>
    <n v="100.5"/>
    <x v="1"/>
    <x v="0"/>
    <n v="2"/>
    <n v="70.2"/>
    <n v="1"/>
    <n v="2711.39"/>
    <n v="1"/>
    <s v="&gt;24m"/>
    <s v="1–4"/>
    <x v="0"/>
    <s v="Q4"/>
  </r>
  <r>
    <n v="51"/>
    <n v="31"/>
    <s v="Female"/>
    <n v="16"/>
    <n v="110.32"/>
    <x v="1"/>
    <x v="0"/>
    <n v="3"/>
    <n v="99.2"/>
    <n v="9"/>
    <n v="1638.23"/>
    <n v="0"/>
    <s v="13–24m"/>
    <s v="9–10"/>
    <x v="3"/>
    <s v="Q4"/>
  </r>
  <r>
    <n v="52"/>
    <n v="67"/>
    <s v="Male"/>
    <n v="51"/>
    <n v="81.73"/>
    <x v="0"/>
    <x v="1"/>
    <n v="1"/>
    <n v="76"/>
    <n v="8"/>
    <n v="4156.22"/>
    <n v="0"/>
    <s v="&gt;24m"/>
    <s v="7–8"/>
    <x v="3"/>
    <s v="Q3"/>
  </r>
  <r>
    <n v="53"/>
    <n v="26"/>
    <s v="Female"/>
    <n v="57"/>
    <n v="118.05"/>
    <x v="1"/>
    <x v="0"/>
    <n v="2"/>
    <n v="75.3"/>
    <n v="8"/>
    <n v="6093.02"/>
    <n v="0"/>
    <s v="&gt;24m"/>
    <s v="7–8"/>
    <x v="0"/>
    <s v="Q4"/>
  </r>
  <r>
    <n v="54"/>
    <n v="43"/>
    <s v="Female"/>
    <n v="29"/>
    <n v="80.81"/>
    <x v="1"/>
    <x v="0"/>
    <n v="1"/>
    <n v="95.3"/>
    <n v="10"/>
    <n v="2346.0500000000002"/>
    <n v="0"/>
    <s v="&gt;24m"/>
    <s v="9–10"/>
    <x v="3"/>
    <s v="Q3"/>
  </r>
  <r>
    <n v="55"/>
    <n v="19"/>
    <s v="Male"/>
    <n v="69"/>
    <n v="83.66"/>
    <x v="1"/>
    <x v="1"/>
    <n v="1"/>
    <n v="24.3"/>
    <n v="6"/>
    <n v="6308.25"/>
    <n v="1"/>
    <s v="&gt;24m"/>
    <s v="5–6"/>
    <x v="1"/>
    <s v="Q3"/>
  </r>
  <r>
    <n v="56"/>
    <n v="37"/>
    <s v="Female"/>
    <n v="47"/>
    <n v="75.48"/>
    <x v="0"/>
    <x v="1"/>
    <n v="1"/>
    <n v="58.7"/>
    <n v="7"/>
    <n v="3465.4"/>
    <n v="1"/>
    <s v="&gt;24m"/>
    <s v="7–8"/>
    <x v="0"/>
    <s v="Q3"/>
  </r>
  <r>
    <n v="57"/>
    <n v="45"/>
    <s v="Male"/>
    <n v="62"/>
    <n v="29.1"/>
    <x v="1"/>
    <x v="1"/>
    <n v="3"/>
    <n v="98.1"/>
    <n v="6"/>
    <n v="1637.85"/>
    <n v="0"/>
    <s v="&gt;24m"/>
    <s v="5–6"/>
    <x v="3"/>
    <s v="Q1"/>
  </r>
  <r>
    <n v="58"/>
    <n v="64"/>
    <s v="Female"/>
    <n v="69"/>
    <n v="92.64"/>
    <x v="0"/>
    <x v="2"/>
    <n v="5"/>
    <n v="20.7"/>
    <n v="9"/>
    <n v="5792.52"/>
    <n v="0"/>
    <s v="&gt;24m"/>
    <s v="9–10"/>
    <x v="1"/>
    <s v="Q3"/>
  </r>
  <r>
    <n v="59"/>
    <n v="24"/>
    <s v="Female"/>
    <n v="16"/>
    <n v="74.739999999999995"/>
    <x v="1"/>
    <x v="2"/>
    <n v="2"/>
    <n v="71.5"/>
    <n v="3"/>
    <n v="1169.05"/>
    <n v="1"/>
    <s v="13–24m"/>
    <s v="1–4"/>
    <x v="0"/>
    <s v="Q3"/>
  </r>
  <r>
    <n v="60"/>
    <n v="61"/>
    <s v="Female"/>
    <n v="48"/>
    <n v="65.09"/>
    <x v="0"/>
    <x v="1"/>
    <n v="3"/>
    <n v="60.7"/>
    <n v="3"/>
    <n v="2911.88"/>
    <n v="0"/>
    <s v="&gt;24m"/>
    <s v="1–4"/>
    <x v="0"/>
    <s v="Q2"/>
  </r>
  <r>
    <n v="61"/>
    <n v="25"/>
    <s v="Male"/>
    <n v="39"/>
    <n v="111.05"/>
    <x v="0"/>
    <x v="1"/>
    <n v="3"/>
    <n v="60.7"/>
    <n v="3"/>
    <n v="3918.08"/>
    <n v="1"/>
    <s v="&gt;24m"/>
    <s v="1–4"/>
    <x v="0"/>
    <s v="Q4"/>
  </r>
  <r>
    <n v="62"/>
    <n v="64"/>
    <s v="Male"/>
    <n v="33"/>
    <n v="49.8"/>
    <x v="1"/>
    <x v="1"/>
    <n v="3"/>
    <n v="71.3"/>
    <n v="10"/>
    <n v="1727.61"/>
    <n v="0"/>
    <s v="&gt;24m"/>
    <s v="9–10"/>
    <x v="0"/>
    <s v="Q1"/>
  </r>
  <r>
    <n v="63"/>
    <n v="52"/>
    <s v="Female"/>
    <n v="23"/>
    <n v="72.36"/>
    <x v="1"/>
    <x v="2"/>
    <n v="3"/>
    <n v="93.3"/>
    <n v="3"/>
    <n v="1650.47"/>
    <n v="1"/>
    <s v="13–24m"/>
    <s v="1–4"/>
    <x v="3"/>
    <s v="Q2"/>
  </r>
  <r>
    <n v="64"/>
    <n v="31"/>
    <s v="Male"/>
    <n v="10"/>
    <n v="89.76"/>
    <x v="2"/>
    <x v="2"/>
    <n v="2"/>
    <n v="79.3"/>
    <n v="9"/>
    <n v="859.77"/>
    <n v="0"/>
    <s v="7–12m"/>
    <s v="9–10"/>
    <x v="3"/>
    <s v="Q3"/>
  </r>
  <r>
    <n v="65"/>
    <n v="34"/>
    <s v="Male"/>
    <n v="69"/>
    <n v="99.65"/>
    <x v="2"/>
    <x v="0"/>
    <n v="0"/>
    <n v="10.3"/>
    <n v="4"/>
    <n v="7426.03"/>
    <n v="1"/>
    <s v="&gt;24m"/>
    <s v="1–4"/>
    <x v="1"/>
    <s v="Q4"/>
  </r>
  <r>
    <n v="66"/>
    <n v="53"/>
    <s v="Male"/>
    <n v="34"/>
    <n v="65.930000000000007"/>
    <x v="1"/>
    <x v="0"/>
    <n v="1"/>
    <n v="86"/>
    <n v="7"/>
    <n v="2069.5300000000002"/>
    <n v="1"/>
    <s v="&gt;24m"/>
    <s v="7–8"/>
    <x v="3"/>
    <s v="Q2"/>
  </r>
  <r>
    <n v="67"/>
    <n v="67"/>
    <s v="Male"/>
    <n v="52"/>
    <n v="104.21"/>
    <x v="1"/>
    <x v="1"/>
    <n v="3"/>
    <n v="26.4"/>
    <n v="9"/>
    <n v="5913.04"/>
    <n v="1"/>
    <s v="&gt;24m"/>
    <s v="9–10"/>
    <x v="1"/>
    <s v="Q4"/>
  </r>
  <r>
    <n v="68"/>
    <n v="57"/>
    <s v="Male"/>
    <n v="10"/>
    <n v="96.89"/>
    <x v="2"/>
    <x v="2"/>
    <n v="0"/>
    <n v="40.799999999999997"/>
    <n v="7"/>
    <n v="932.85"/>
    <n v="1"/>
    <s v="7–12m"/>
    <s v="7–8"/>
    <x v="2"/>
    <s v="Q4"/>
  </r>
  <r>
    <n v="69"/>
    <n v="21"/>
    <s v="Male"/>
    <n v="19"/>
    <n v="26.62"/>
    <x v="1"/>
    <x v="2"/>
    <n v="2"/>
    <n v="48.9"/>
    <n v="9"/>
    <n v="545.07000000000005"/>
    <n v="0"/>
    <s v="13–24m"/>
    <s v="9–10"/>
    <x v="2"/>
    <s v="Q1"/>
  </r>
  <r>
    <n v="70"/>
    <n v="19"/>
    <s v="Female"/>
    <n v="58"/>
    <n v="24.59"/>
    <x v="1"/>
    <x v="2"/>
    <n v="1"/>
    <n v="50.7"/>
    <n v="3"/>
    <n v="1455.58"/>
    <n v="1"/>
    <s v="&gt;24m"/>
    <s v="1–4"/>
    <x v="2"/>
    <s v="Q1"/>
  </r>
  <r>
    <n v="71"/>
    <n v="23"/>
    <s v="Female"/>
    <n v="1"/>
    <n v="82.08"/>
    <x v="2"/>
    <x v="1"/>
    <n v="3"/>
    <n v="46.3"/>
    <n v="4"/>
    <n v="87.44"/>
    <n v="0"/>
    <s v="0–3m"/>
    <s v="1–4"/>
    <x v="2"/>
    <s v="Q3"/>
  </r>
  <r>
    <n v="72"/>
    <n v="59"/>
    <s v="Male"/>
    <n v="69"/>
    <n v="54.74"/>
    <x v="1"/>
    <x v="0"/>
    <n v="2"/>
    <n v="94"/>
    <n v="8"/>
    <n v="4142.6899999999996"/>
    <n v="1"/>
    <s v="&gt;24m"/>
    <s v="7–8"/>
    <x v="3"/>
    <s v="Q2"/>
  </r>
  <r>
    <n v="73"/>
    <n v="21"/>
    <s v="Female"/>
    <n v="4"/>
    <n v="40.909999999999997"/>
    <x v="1"/>
    <x v="1"/>
    <n v="2"/>
    <n v="72.099999999999994"/>
    <n v="6"/>
    <n v="156.71"/>
    <n v="1"/>
    <s v="4–6m"/>
    <s v="5–6"/>
    <x v="0"/>
    <s v="Q1"/>
  </r>
  <r>
    <n v="74"/>
    <n v="46"/>
    <s v="Female"/>
    <n v="16"/>
    <n v="77.959999999999994"/>
    <x v="1"/>
    <x v="0"/>
    <n v="1"/>
    <n v="65"/>
    <n v="5"/>
    <n v="1362.4"/>
    <n v="1"/>
    <s v="13–24m"/>
    <s v="5–6"/>
    <x v="0"/>
    <s v="Q3"/>
  </r>
  <r>
    <n v="75"/>
    <n v="35"/>
    <s v="Female"/>
    <n v="24"/>
    <n v="54.16"/>
    <x v="1"/>
    <x v="0"/>
    <n v="3"/>
    <n v="9.6999999999999993"/>
    <n v="4"/>
    <n v="1271.1099999999999"/>
    <n v="1"/>
    <s v="13–24m"/>
    <s v="1–4"/>
    <x v="1"/>
    <s v="Q2"/>
  </r>
  <r>
    <n v="76"/>
    <n v="43"/>
    <s v="Female"/>
    <n v="2"/>
    <n v="73.73"/>
    <x v="1"/>
    <x v="1"/>
    <n v="2"/>
    <n v="90.9"/>
    <n v="8"/>
    <n v="144.08000000000001"/>
    <n v="1"/>
    <s v="0–3m"/>
    <s v="7–8"/>
    <x v="3"/>
    <s v="Q3"/>
  </r>
  <r>
    <n v="77"/>
    <n v="61"/>
    <s v="Male"/>
    <n v="32"/>
    <n v="66.010000000000005"/>
    <x v="0"/>
    <x v="0"/>
    <n v="3"/>
    <n v="91.4"/>
    <n v="1"/>
    <n v="2044.89"/>
    <n v="0"/>
    <s v="&gt;24m"/>
    <s v="1–4"/>
    <x v="3"/>
    <s v="Q2"/>
  </r>
  <r>
    <n v="78"/>
    <n v="51"/>
    <s v="Female"/>
    <n v="24"/>
    <n v="78.48"/>
    <x v="1"/>
    <x v="0"/>
    <n v="3"/>
    <n v="79.099999999999994"/>
    <n v="9"/>
    <n v="1899.12"/>
    <n v="0"/>
    <s v="13–24m"/>
    <s v="9–10"/>
    <x v="3"/>
    <s v="Q3"/>
  </r>
  <r>
    <n v="79"/>
    <n v="27"/>
    <s v="Female"/>
    <n v="12"/>
    <n v="60.03"/>
    <x v="1"/>
    <x v="2"/>
    <n v="1"/>
    <n v="5.7"/>
    <n v="1"/>
    <n v="670.53"/>
    <n v="1"/>
    <s v="7–12m"/>
    <s v="1–4"/>
    <x v="1"/>
    <s v="Q2"/>
  </r>
  <r>
    <n v="80"/>
    <n v="53"/>
    <s v="Male"/>
    <n v="50"/>
    <n v="89.77"/>
    <x v="1"/>
    <x v="0"/>
    <n v="1"/>
    <n v="10.4"/>
    <n v="8"/>
    <n v="4536.72"/>
    <n v="0"/>
    <s v="&gt;24m"/>
    <s v="7–8"/>
    <x v="1"/>
    <s v="Q3"/>
  </r>
  <r>
    <n v="81"/>
    <n v="31"/>
    <s v="Male"/>
    <n v="35"/>
    <n v="38.01"/>
    <x v="1"/>
    <x v="1"/>
    <n v="2"/>
    <n v="26.4"/>
    <n v="4"/>
    <n v="1341.45"/>
    <n v="1"/>
    <s v="&gt;24m"/>
    <s v="1–4"/>
    <x v="1"/>
    <s v="Q1"/>
  </r>
  <r>
    <n v="82"/>
    <n v="48"/>
    <s v="Female"/>
    <n v="33"/>
    <n v="89.65"/>
    <x v="2"/>
    <x v="1"/>
    <n v="0"/>
    <n v="17.5"/>
    <n v="9"/>
    <n v="3113.41"/>
    <n v="1"/>
    <s v="&gt;24m"/>
    <s v="9–10"/>
    <x v="1"/>
    <s v="Q3"/>
  </r>
  <r>
    <n v="83"/>
    <n v="65"/>
    <s v="Female"/>
    <n v="33"/>
    <n v="61.17"/>
    <x v="1"/>
    <x v="0"/>
    <n v="0"/>
    <n v="42.9"/>
    <n v="5"/>
    <n v="2153.31"/>
    <n v="0"/>
    <s v="&gt;24m"/>
    <s v="5–6"/>
    <x v="2"/>
    <s v="Q2"/>
  </r>
  <r>
    <n v="84"/>
    <n v="32"/>
    <s v="Female"/>
    <n v="61"/>
    <n v="107.43"/>
    <x v="1"/>
    <x v="2"/>
    <n v="3"/>
    <n v="92.6"/>
    <n v="3"/>
    <n v="6475.17"/>
    <n v="0"/>
    <s v="&gt;24m"/>
    <s v="1–4"/>
    <x v="3"/>
    <s v="Q4"/>
  </r>
  <r>
    <n v="85"/>
    <n v="25"/>
    <s v="Female"/>
    <n v="51"/>
    <n v="71.52"/>
    <x v="2"/>
    <x v="2"/>
    <n v="1"/>
    <n v="49.8"/>
    <n v="9"/>
    <n v="3503.32"/>
    <n v="0"/>
    <s v="&gt;24m"/>
    <s v="9–10"/>
    <x v="2"/>
    <s v="Q2"/>
  </r>
  <r>
    <n v="86"/>
    <n v="31"/>
    <s v="Female"/>
    <n v="43"/>
    <n v="117.31"/>
    <x v="1"/>
    <x v="0"/>
    <n v="3"/>
    <n v="6.3"/>
    <n v="9"/>
    <n v="4801.53"/>
    <n v="0"/>
    <s v="&gt;24m"/>
    <s v="9–10"/>
    <x v="1"/>
    <s v="Q4"/>
  </r>
  <r>
    <n v="87"/>
    <n v="40"/>
    <s v="Female"/>
    <n v="12"/>
    <n v="80.19"/>
    <x v="1"/>
    <x v="0"/>
    <n v="2"/>
    <n v="31.9"/>
    <n v="4"/>
    <n v="903.51"/>
    <n v="1"/>
    <s v="7–12m"/>
    <s v="1–4"/>
    <x v="2"/>
    <s v="Q3"/>
  </r>
  <r>
    <n v="88"/>
    <n v="57"/>
    <s v="Male"/>
    <n v="67"/>
    <n v="42.38"/>
    <x v="1"/>
    <x v="1"/>
    <n v="0"/>
    <n v="9.1999999999999993"/>
    <n v="4"/>
    <n v="2588.25"/>
    <n v="0"/>
    <s v="&gt;24m"/>
    <s v="1–4"/>
    <x v="1"/>
    <s v="Q1"/>
  </r>
  <r>
    <n v="89"/>
    <n v="38"/>
    <s v="Female"/>
    <n v="65"/>
    <n v="102.18"/>
    <x v="1"/>
    <x v="0"/>
    <n v="0"/>
    <n v="8.4"/>
    <n v="8"/>
    <n v="6432.42"/>
    <n v="0"/>
    <s v="&gt;24m"/>
    <s v="7–8"/>
    <x v="1"/>
    <s v="Q4"/>
  </r>
  <r>
    <n v="90"/>
    <n v="33"/>
    <s v="Female"/>
    <n v="33"/>
    <n v="54.51"/>
    <x v="1"/>
    <x v="2"/>
    <n v="1"/>
    <n v="31.2"/>
    <n v="2"/>
    <n v="1716.17"/>
    <n v="1"/>
    <s v="&gt;24m"/>
    <s v="1–4"/>
    <x v="2"/>
    <s v="Q2"/>
  </r>
  <r>
    <n v="91"/>
    <n v="62"/>
    <s v="Male"/>
    <n v="40"/>
    <n v="54.76"/>
    <x v="1"/>
    <x v="0"/>
    <n v="1"/>
    <n v="31.2"/>
    <n v="9"/>
    <n v="2394.73"/>
    <n v="0"/>
    <s v="&gt;24m"/>
    <s v="9–10"/>
    <x v="2"/>
    <s v="Q2"/>
  </r>
  <r>
    <n v="92"/>
    <n v="35"/>
    <s v="Male"/>
    <n v="43"/>
    <n v="23.18"/>
    <x v="0"/>
    <x v="1"/>
    <n v="2"/>
    <n v="79.8"/>
    <n v="6"/>
    <n v="1008.24"/>
    <n v="1"/>
    <s v="&gt;24m"/>
    <s v="5–6"/>
    <x v="3"/>
    <s v="Q1"/>
  </r>
  <r>
    <n v="93"/>
    <n v="64"/>
    <s v="Male"/>
    <n v="44"/>
    <n v="74.87"/>
    <x v="1"/>
    <x v="1"/>
    <n v="2"/>
    <n v="97.6"/>
    <n v="9"/>
    <n v="3193.66"/>
    <n v="1"/>
    <s v="&gt;24m"/>
    <s v="9–10"/>
    <x v="3"/>
    <s v="Q3"/>
  </r>
  <r>
    <n v="94"/>
    <n v="41"/>
    <s v="Male"/>
    <n v="29"/>
    <n v="73.44"/>
    <x v="1"/>
    <x v="1"/>
    <n v="3"/>
    <n v="40.299999999999997"/>
    <n v="8"/>
    <n v="2164.04"/>
    <n v="0"/>
    <s v="&gt;24m"/>
    <s v="7–8"/>
    <x v="2"/>
    <s v="Q2"/>
  </r>
  <r>
    <n v="95"/>
    <n v="43"/>
    <s v="Female"/>
    <n v="13"/>
    <n v="55.6"/>
    <x v="0"/>
    <x v="1"/>
    <n v="3"/>
    <n v="45.7"/>
    <n v="7"/>
    <n v="670.64"/>
    <n v="0"/>
    <s v="13–24m"/>
    <s v="7–8"/>
    <x v="2"/>
    <s v="Q2"/>
  </r>
  <r>
    <n v="96"/>
    <n v="42"/>
    <s v="Female"/>
    <n v="12"/>
    <n v="109.42"/>
    <x v="1"/>
    <x v="1"/>
    <n v="0"/>
    <n v="85.3"/>
    <n v="1"/>
    <n v="1298.3499999999999"/>
    <n v="1"/>
    <s v="7–12m"/>
    <s v="1–4"/>
    <x v="3"/>
    <s v="Q4"/>
  </r>
  <r>
    <n v="97"/>
    <n v="62"/>
    <s v="Female"/>
    <n v="46"/>
    <n v="32.869999999999997"/>
    <x v="0"/>
    <x v="0"/>
    <n v="6"/>
    <n v="30.5"/>
    <n v="3"/>
    <n v="1550.19"/>
    <n v="1"/>
    <s v="&gt;24m"/>
    <s v="1–4"/>
    <x v="2"/>
    <s v="Q1"/>
  </r>
  <r>
    <n v="98"/>
    <n v="58"/>
    <s v="Female"/>
    <n v="2"/>
    <n v="53.01"/>
    <x v="1"/>
    <x v="0"/>
    <n v="1"/>
    <n v="19.899999999999999"/>
    <n v="2"/>
    <n v="105.78"/>
    <n v="1"/>
    <s v="0–3m"/>
    <s v="1–4"/>
    <x v="1"/>
    <s v="Q2"/>
  </r>
  <r>
    <n v="99"/>
    <n v="46"/>
    <s v="Female"/>
    <n v="35"/>
    <n v="52.16"/>
    <x v="1"/>
    <x v="0"/>
    <n v="4"/>
    <n v="86"/>
    <n v="5"/>
    <n v="1789.74"/>
    <n v="1"/>
    <s v="&gt;24m"/>
    <s v="5–6"/>
    <x v="3"/>
    <s v="Q2"/>
  </r>
  <r>
    <n v="100"/>
    <n v="32"/>
    <s v="Female"/>
    <n v="8"/>
    <n v="29.23"/>
    <x v="0"/>
    <x v="0"/>
    <n v="0"/>
    <n v="9.4"/>
    <n v="5"/>
    <n v="256.94"/>
    <n v="0"/>
    <s v="7–12m"/>
    <s v="5–6"/>
    <x v="1"/>
    <s v="Q1"/>
  </r>
  <r>
    <n v="101"/>
    <n v="62"/>
    <s v="Male"/>
    <n v="26"/>
    <n v="68.11"/>
    <x v="1"/>
    <x v="1"/>
    <n v="1"/>
    <n v="63.9"/>
    <n v="5"/>
    <n v="1905.56"/>
    <n v="0"/>
    <s v="&gt;24m"/>
    <s v="5–6"/>
    <x v="0"/>
    <s v="Q2"/>
  </r>
  <r>
    <n v="102"/>
    <n v="18"/>
    <s v="Female"/>
    <n v="34"/>
    <n v="88.78"/>
    <x v="1"/>
    <x v="2"/>
    <n v="6"/>
    <n v="58.4"/>
    <n v="4"/>
    <n v="3093.02"/>
    <n v="1"/>
    <s v="&gt;24m"/>
    <s v="1–4"/>
    <x v="0"/>
    <s v="Q3"/>
  </r>
  <r>
    <n v="103"/>
    <n v="42"/>
    <s v="Male"/>
    <n v="7"/>
    <n v="71.17"/>
    <x v="1"/>
    <x v="0"/>
    <n v="2"/>
    <n v="37.9"/>
    <n v="5"/>
    <n v="505.1"/>
    <n v="1"/>
    <s v="7–12m"/>
    <s v="5–6"/>
    <x v="2"/>
    <s v="Q2"/>
  </r>
  <r>
    <n v="104"/>
    <n v="24"/>
    <s v="Male"/>
    <n v="68"/>
    <n v="35.700000000000003"/>
    <x v="1"/>
    <x v="2"/>
    <n v="2"/>
    <n v="34.9"/>
    <n v="3"/>
    <n v="2486.1799999999998"/>
    <n v="1"/>
    <s v="&gt;24m"/>
    <s v="1–4"/>
    <x v="2"/>
    <s v="Q1"/>
  </r>
  <r>
    <n v="105"/>
    <n v="26"/>
    <s v="Female"/>
    <n v="58"/>
    <n v="57.73"/>
    <x v="0"/>
    <x v="0"/>
    <n v="2"/>
    <n v="78.3"/>
    <n v="1"/>
    <n v="3148.32"/>
    <n v="1"/>
    <s v="&gt;24m"/>
    <s v="1–4"/>
    <x v="3"/>
    <s v="Q2"/>
  </r>
  <r>
    <n v="106"/>
    <n v="41"/>
    <s v="Male"/>
    <n v="29"/>
    <n v="20.260000000000002"/>
    <x v="1"/>
    <x v="0"/>
    <n v="3"/>
    <n v="13.2"/>
    <n v="5"/>
    <n v="575.22"/>
    <n v="0"/>
    <s v="&gt;24m"/>
    <s v="5–6"/>
    <x v="1"/>
    <s v="Q1"/>
  </r>
  <r>
    <n v="107"/>
    <n v="18"/>
    <s v="Female"/>
    <n v="36"/>
    <n v="106.83"/>
    <x v="1"/>
    <x v="2"/>
    <n v="0"/>
    <n v="27.5"/>
    <n v="9"/>
    <n v="3491.64"/>
    <n v="0"/>
    <s v="&gt;24m"/>
    <s v="9–10"/>
    <x v="2"/>
    <s v="Q4"/>
  </r>
  <r>
    <n v="108"/>
    <n v="61"/>
    <s v="Male"/>
    <n v="21"/>
    <n v="28.45"/>
    <x v="1"/>
    <x v="1"/>
    <n v="1"/>
    <n v="74.599999999999994"/>
    <n v="9"/>
    <n v="594.53"/>
    <n v="0"/>
    <s v="13–24m"/>
    <s v="9–10"/>
    <x v="0"/>
    <s v="Q1"/>
  </r>
  <r>
    <n v="109"/>
    <n v="25"/>
    <s v="Female"/>
    <n v="36"/>
    <n v="79.73"/>
    <x v="0"/>
    <x v="0"/>
    <n v="3"/>
    <n v="57.1"/>
    <n v="4"/>
    <n v="2894.98"/>
    <n v="1"/>
    <s v="&gt;24m"/>
    <s v="1–4"/>
    <x v="0"/>
    <s v="Q3"/>
  </r>
  <r>
    <n v="110"/>
    <n v="41"/>
    <s v="Male"/>
    <n v="10"/>
    <n v="118.63"/>
    <x v="1"/>
    <x v="0"/>
    <n v="4"/>
    <n v="17.2"/>
    <n v="3"/>
    <n v="1121.71"/>
    <n v="0"/>
    <s v="7–12m"/>
    <s v="1–4"/>
    <x v="1"/>
    <s v="Q4"/>
  </r>
  <r>
    <n v="111"/>
    <n v="28"/>
    <s v="Female"/>
    <n v="24"/>
    <n v="73.66"/>
    <x v="2"/>
    <x v="0"/>
    <n v="1"/>
    <n v="88.8"/>
    <n v="1"/>
    <n v="1931.91"/>
    <n v="0"/>
    <s v="13–24m"/>
    <s v="1–4"/>
    <x v="3"/>
    <s v="Q3"/>
  </r>
  <r>
    <n v="112"/>
    <n v="68"/>
    <s v="Female"/>
    <n v="64"/>
    <n v="112.4"/>
    <x v="1"/>
    <x v="2"/>
    <n v="1"/>
    <n v="42.4"/>
    <n v="2"/>
    <n v="7782.69"/>
    <n v="0"/>
    <s v="&gt;24m"/>
    <s v="1–4"/>
    <x v="2"/>
    <s v="Q4"/>
  </r>
  <r>
    <n v="113"/>
    <n v="34"/>
    <s v="Female"/>
    <n v="49"/>
    <n v="43.61"/>
    <x v="0"/>
    <x v="1"/>
    <n v="3"/>
    <n v="83.6"/>
    <n v="8"/>
    <n v="2231.83"/>
    <n v="0"/>
    <s v="&gt;24m"/>
    <s v="7–8"/>
    <x v="3"/>
    <s v="Q1"/>
  </r>
  <r>
    <n v="114"/>
    <n v="25"/>
    <s v="Female"/>
    <n v="36"/>
    <n v="96"/>
    <x v="2"/>
    <x v="2"/>
    <n v="4"/>
    <n v="79.8"/>
    <n v="1"/>
    <n v="3479.08"/>
    <n v="1"/>
    <s v="&gt;24m"/>
    <s v="1–4"/>
    <x v="3"/>
    <s v="Q4"/>
  </r>
  <r>
    <n v="115"/>
    <n v="52"/>
    <s v="Female"/>
    <n v="24"/>
    <n v="73.13"/>
    <x v="0"/>
    <x v="2"/>
    <n v="3"/>
    <n v="64.3"/>
    <n v="8"/>
    <n v="1884.99"/>
    <n v="0"/>
    <s v="13–24m"/>
    <s v="7–8"/>
    <x v="0"/>
    <s v="Q2"/>
  </r>
  <r>
    <n v="116"/>
    <n v="52"/>
    <s v="Male"/>
    <n v="23"/>
    <n v="92.05"/>
    <x v="2"/>
    <x v="1"/>
    <n v="1"/>
    <n v="52"/>
    <n v="7"/>
    <n v="1960.76"/>
    <n v="1"/>
    <s v="13–24m"/>
    <s v="7–8"/>
    <x v="0"/>
    <s v="Q3"/>
  </r>
  <r>
    <n v="117"/>
    <n v="50"/>
    <s v="Male"/>
    <n v="62"/>
    <n v="26.23"/>
    <x v="1"/>
    <x v="2"/>
    <n v="1"/>
    <n v="98.1"/>
    <n v="8"/>
    <n v="1720.75"/>
    <n v="1"/>
    <s v="&gt;24m"/>
    <s v="7–8"/>
    <x v="3"/>
    <s v="Q1"/>
  </r>
  <r>
    <n v="118"/>
    <n v="22"/>
    <s v="Male"/>
    <n v="37"/>
    <n v="34.770000000000003"/>
    <x v="1"/>
    <x v="1"/>
    <n v="4"/>
    <n v="18.8"/>
    <n v="6"/>
    <n v="1189.96"/>
    <n v="1"/>
    <s v="&gt;24m"/>
    <s v="5–6"/>
    <x v="1"/>
    <s v="Q1"/>
  </r>
  <r>
    <n v="119"/>
    <n v="59"/>
    <s v="Female"/>
    <n v="12"/>
    <n v="33.31"/>
    <x v="1"/>
    <x v="0"/>
    <n v="0"/>
    <n v="73.900000000000006"/>
    <n v="9"/>
    <n v="423.24"/>
    <n v="0"/>
    <s v="7–12m"/>
    <s v="9–10"/>
    <x v="0"/>
    <s v="Q1"/>
  </r>
  <r>
    <n v="120"/>
    <n v="56"/>
    <s v="Male"/>
    <n v="55"/>
    <n v="88.72"/>
    <x v="1"/>
    <x v="1"/>
    <n v="4"/>
    <n v="23.2"/>
    <n v="3"/>
    <n v="4660.7700000000004"/>
    <n v="0"/>
    <s v="&gt;24m"/>
    <s v="1–4"/>
    <x v="1"/>
    <s v="Q3"/>
  </r>
  <r>
    <n v="121"/>
    <n v="58"/>
    <s v="Female"/>
    <n v="13"/>
    <n v="104.44"/>
    <x v="1"/>
    <x v="0"/>
    <n v="0"/>
    <n v="37.1"/>
    <n v="10"/>
    <n v="1460.12"/>
    <n v="0"/>
    <s v="13–24m"/>
    <s v="9–10"/>
    <x v="2"/>
    <s v="Q4"/>
  </r>
  <r>
    <n v="122"/>
    <n v="45"/>
    <s v="Female"/>
    <n v="23"/>
    <n v="94.96"/>
    <x v="1"/>
    <x v="2"/>
    <n v="2"/>
    <n v="34.299999999999997"/>
    <n v="4"/>
    <n v="2378.04"/>
    <n v="1"/>
    <s v="13–24m"/>
    <s v="1–4"/>
    <x v="2"/>
    <s v="Q3"/>
  </r>
  <r>
    <n v="123"/>
    <n v="24"/>
    <s v="Male"/>
    <n v="30"/>
    <n v="23.05"/>
    <x v="1"/>
    <x v="2"/>
    <n v="2"/>
    <n v="95"/>
    <n v="6"/>
    <n v="642.92999999999995"/>
    <n v="0"/>
    <s v="&gt;24m"/>
    <s v="5–6"/>
    <x v="3"/>
    <s v="Q1"/>
  </r>
  <r>
    <n v="124"/>
    <n v="26"/>
    <s v="Male"/>
    <n v="17"/>
    <n v="106.72"/>
    <x v="1"/>
    <x v="0"/>
    <n v="2"/>
    <n v="96.9"/>
    <n v="8"/>
    <n v="1800.7"/>
    <n v="0"/>
    <s v="13–24m"/>
    <s v="7–8"/>
    <x v="3"/>
    <s v="Q4"/>
  </r>
  <r>
    <n v="125"/>
    <n v="25"/>
    <s v="Female"/>
    <n v="62"/>
    <n v="55.41"/>
    <x v="2"/>
    <x v="2"/>
    <n v="3"/>
    <n v="22.4"/>
    <n v="5"/>
    <n v="3765.9"/>
    <n v="0"/>
    <s v="&gt;24m"/>
    <s v="5–6"/>
    <x v="1"/>
    <s v="Q2"/>
  </r>
  <r>
    <n v="126"/>
    <n v="29"/>
    <s v="Male"/>
    <n v="13"/>
    <n v="59.72"/>
    <x v="1"/>
    <x v="1"/>
    <n v="0"/>
    <n v="7.1"/>
    <n v="3"/>
    <n v="773.78"/>
    <n v="0"/>
    <s v="13–24m"/>
    <s v="1–4"/>
    <x v="1"/>
    <s v="Q2"/>
  </r>
  <r>
    <n v="127"/>
    <n v="51"/>
    <s v="Female"/>
    <n v="59"/>
    <n v="30.49"/>
    <x v="0"/>
    <x v="0"/>
    <n v="4"/>
    <n v="73.400000000000006"/>
    <n v="6"/>
    <n v="1929.71"/>
    <n v="0"/>
    <s v="&gt;24m"/>
    <s v="5–6"/>
    <x v="0"/>
    <s v="Q1"/>
  </r>
  <r>
    <n v="128"/>
    <n v="50"/>
    <s v="Female"/>
    <n v="19"/>
    <n v="93.74"/>
    <x v="0"/>
    <x v="2"/>
    <n v="1"/>
    <n v="44.7"/>
    <n v="4"/>
    <n v="1812.67"/>
    <n v="0"/>
    <s v="13–24m"/>
    <s v="1–4"/>
    <x v="2"/>
    <s v="Q3"/>
  </r>
  <r>
    <n v="129"/>
    <n v="65"/>
    <s v="Female"/>
    <n v="49"/>
    <n v="38.229999999999997"/>
    <x v="2"/>
    <x v="0"/>
    <n v="3"/>
    <n v="13.4"/>
    <n v="9"/>
    <n v="1826.56"/>
    <n v="1"/>
    <s v="&gt;24m"/>
    <s v="9–10"/>
    <x v="1"/>
    <s v="Q1"/>
  </r>
  <r>
    <n v="130"/>
    <n v="40"/>
    <s v="Female"/>
    <n v="12"/>
    <n v="76.400000000000006"/>
    <x v="0"/>
    <x v="1"/>
    <n v="3"/>
    <n v="70"/>
    <n v="3"/>
    <n v="877.52"/>
    <n v="1"/>
    <s v="7–12m"/>
    <s v="1–4"/>
    <x v="0"/>
    <s v="Q3"/>
  </r>
  <r>
    <n v="131"/>
    <n v="41"/>
    <s v="Female"/>
    <n v="61"/>
    <n v="104.07"/>
    <x v="0"/>
    <x v="1"/>
    <n v="2"/>
    <n v="56.8"/>
    <n v="4"/>
    <n v="5971.47"/>
    <n v="1"/>
    <s v="&gt;24m"/>
    <s v="1–4"/>
    <x v="0"/>
    <s v="Q4"/>
  </r>
  <r>
    <n v="132"/>
    <n v="54"/>
    <s v="Male"/>
    <n v="19"/>
    <n v="28.92"/>
    <x v="2"/>
    <x v="2"/>
    <n v="1"/>
    <n v="98.1"/>
    <n v="7"/>
    <n v="578.25"/>
    <n v="1"/>
    <s v="13–24m"/>
    <s v="7–8"/>
    <x v="3"/>
    <s v="Q1"/>
  </r>
  <r>
    <n v="133"/>
    <n v="52"/>
    <s v="Male"/>
    <n v="9"/>
    <n v="73.53"/>
    <x v="2"/>
    <x v="1"/>
    <n v="2"/>
    <n v="26.6"/>
    <n v="7"/>
    <n v="646.75"/>
    <n v="1"/>
    <s v="7–12m"/>
    <s v="7–8"/>
    <x v="2"/>
    <s v="Q2"/>
  </r>
  <r>
    <n v="134"/>
    <n v="61"/>
    <s v="Female"/>
    <n v="71"/>
    <n v="43.32"/>
    <x v="1"/>
    <x v="0"/>
    <n v="1"/>
    <n v="43.4"/>
    <n v="4"/>
    <n v="3082.66"/>
    <n v="1"/>
    <s v="&gt;24m"/>
    <s v="1–4"/>
    <x v="2"/>
    <s v="Q1"/>
  </r>
  <r>
    <n v="135"/>
    <n v="57"/>
    <s v="Female"/>
    <n v="28"/>
    <n v="54.29"/>
    <x v="1"/>
    <x v="1"/>
    <n v="1"/>
    <n v="56.5"/>
    <n v="6"/>
    <n v="1517.79"/>
    <n v="0"/>
    <s v="&gt;24m"/>
    <s v="5–6"/>
    <x v="0"/>
    <s v="Q2"/>
  </r>
  <r>
    <n v="136"/>
    <n v="39"/>
    <s v="Male"/>
    <n v="52"/>
    <n v="67.400000000000006"/>
    <x v="1"/>
    <x v="0"/>
    <n v="1"/>
    <n v="80.2"/>
    <n v="3"/>
    <n v="3558.97"/>
    <n v="1"/>
    <s v="&gt;24m"/>
    <s v="1–4"/>
    <x v="3"/>
    <s v="Q2"/>
  </r>
  <r>
    <n v="137"/>
    <n v="44"/>
    <s v="Male"/>
    <n v="16"/>
    <n v="55.51"/>
    <x v="1"/>
    <x v="0"/>
    <n v="2"/>
    <n v="57.1"/>
    <n v="6"/>
    <n v="953.1"/>
    <n v="1"/>
    <s v="13–24m"/>
    <s v="5–6"/>
    <x v="0"/>
    <s v="Q2"/>
  </r>
  <r>
    <n v="138"/>
    <n v="52"/>
    <s v="Female"/>
    <n v="69"/>
    <n v="84.88"/>
    <x v="0"/>
    <x v="1"/>
    <n v="1"/>
    <n v="63.2"/>
    <n v="2"/>
    <n v="6419.83"/>
    <n v="0"/>
    <s v="&gt;24m"/>
    <s v="1–4"/>
    <x v="0"/>
    <s v="Q3"/>
  </r>
  <r>
    <n v="139"/>
    <n v="18"/>
    <s v="Male"/>
    <n v="12"/>
    <n v="67.959999999999994"/>
    <x v="0"/>
    <x v="2"/>
    <n v="3"/>
    <n v="26.5"/>
    <n v="8"/>
    <n v="800.45"/>
    <n v="0"/>
    <s v="7–12m"/>
    <s v="7–8"/>
    <x v="2"/>
    <s v="Q2"/>
  </r>
  <r>
    <n v="140"/>
    <n v="52"/>
    <s v="Female"/>
    <n v="25"/>
    <n v="78.42"/>
    <x v="0"/>
    <x v="1"/>
    <n v="1"/>
    <n v="85.5"/>
    <n v="2"/>
    <n v="2088.92"/>
    <n v="1"/>
    <s v="&gt;24m"/>
    <s v="1–4"/>
    <x v="3"/>
    <s v="Q3"/>
  </r>
  <r>
    <n v="141"/>
    <n v="54"/>
    <s v="Male"/>
    <n v="52"/>
    <n v="93.68"/>
    <x v="1"/>
    <x v="0"/>
    <n v="3"/>
    <n v="45.7"/>
    <n v="7"/>
    <n v="5129.08"/>
    <n v="0"/>
    <s v="&gt;24m"/>
    <s v="7–8"/>
    <x v="2"/>
    <s v="Q3"/>
  </r>
  <r>
    <n v="142"/>
    <n v="64"/>
    <s v="Female"/>
    <n v="53"/>
    <n v="75.77"/>
    <x v="2"/>
    <x v="0"/>
    <n v="3"/>
    <n v="18.399999999999999"/>
    <n v="9"/>
    <n v="4074.87"/>
    <n v="0"/>
    <s v="&gt;24m"/>
    <s v="9–10"/>
    <x v="1"/>
    <s v="Q3"/>
  </r>
  <r>
    <n v="143"/>
    <n v="31"/>
    <s v="Male"/>
    <n v="23"/>
    <n v="78.650000000000006"/>
    <x v="0"/>
    <x v="1"/>
    <n v="2"/>
    <n v="68.099999999999994"/>
    <n v="1"/>
    <n v="1973.94"/>
    <n v="1"/>
    <s v="13–24m"/>
    <s v="1–4"/>
    <x v="0"/>
    <s v="Q3"/>
  </r>
  <r>
    <n v="144"/>
    <n v="20"/>
    <s v="Female"/>
    <n v="16"/>
    <n v="76.45"/>
    <x v="0"/>
    <x v="2"/>
    <n v="2"/>
    <n v="25.5"/>
    <n v="8"/>
    <n v="1149.92"/>
    <n v="0"/>
    <s v="13–24m"/>
    <s v="7–8"/>
    <x v="1"/>
    <s v="Q3"/>
  </r>
  <r>
    <n v="145"/>
    <n v="18"/>
    <s v="Male"/>
    <n v="57"/>
    <n v="57.88"/>
    <x v="2"/>
    <x v="2"/>
    <n v="2"/>
    <n v="14.3"/>
    <n v="7"/>
    <n v="3041.34"/>
    <n v="0"/>
    <s v="&gt;24m"/>
    <s v="7–8"/>
    <x v="1"/>
    <s v="Q2"/>
  </r>
  <r>
    <n v="146"/>
    <n v="22"/>
    <s v="Male"/>
    <n v="39"/>
    <n v="53.74"/>
    <x v="0"/>
    <x v="0"/>
    <n v="2"/>
    <n v="86.9"/>
    <n v="6"/>
    <n v="2244.23"/>
    <n v="0"/>
    <s v="&gt;24m"/>
    <s v="5–6"/>
    <x v="3"/>
    <s v="Q2"/>
  </r>
  <r>
    <n v="147"/>
    <n v="43"/>
    <s v="Female"/>
    <n v="53"/>
    <n v="109.96"/>
    <x v="1"/>
    <x v="0"/>
    <n v="2"/>
    <n v="48.7"/>
    <n v="6"/>
    <n v="5756.95"/>
    <n v="0"/>
    <s v="&gt;24m"/>
    <s v="5–6"/>
    <x v="2"/>
    <s v="Q4"/>
  </r>
  <r>
    <n v="148"/>
    <n v="31"/>
    <s v="Male"/>
    <n v="42"/>
    <n v="80.760000000000005"/>
    <x v="0"/>
    <x v="2"/>
    <n v="1"/>
    <n v="76.2"/>
    <n v="6"/>
    <n v="3627.3"/>
    <n v="0"/>
    <s v="&gt;24m"/>
    <s v="5–6"/>
    <x v="3"/>
    <s v="Q3"/>
  </r>
  <r>
    <n v="149"/>
    <n v="56"/>
    <s v="Female"/>
    <n v="58"/>
    <n v="44.44"/>
    <x v="1"/>
    <x v="1"/>
    <n v="3"/>
    <n v="32.6"/>
    <n v="9"/>
    <n v="2780.16"/>
    <n v="1"/>
    <s v="&gt;24m"/>
    <s v="9–10"/>
    <x v="2"/>
    <s v="Q1"/>
  </r>
  <r>
    <n v="150"/>
    <n v="44"/>
    <s v="Male"/>
    <n v="39"/>
    <n v="69.819999999999993"/>
    <x v="1"/>
    <x v="0"/>
    <n v="2"/>
    <n v="79.8"/>
    <n v="2"/>
    <n v="2484.6999999999998"/>
    <n v="1"/>
    <s v="&gt;24m"/>
    <s v="1–4"/>
    <x v="3"/>
    <s v="Q2"/>
  </r>
  <r>
    <n v="151"/>
    <n v="26"/>
    <s v="Female"/>
    <n v="14"/>
    <n v="53.03"/>
    <x v="0"/>
    <x v="0"/>
    <n v="3"/>
    <n v="15.6"/>
    <n v="1"/>
    <n v="799.36"/>
    <n v="1"/>
    <s v="13–24m"/>
    <s v="1–4"/>
    <x v="1"/>
    <s v="Q2"/>
  </r>
  <r>
    <n v="152"/>
    <n v="32"/>
    <s v="Male"/>
    <n v="5"/>
    <n v="113.37"/>
    <x v="1"/>
    <x v="2"/>
    <n v="3"/>
    <n v="38.799999999999997"/>
    <n v="6"/>
    <n v="560.99"/>
    <n v="0"/>
    <s v="4–6m"/>
    <s v="5–6"/>
    <x v="2"/>
    <s v="Q4"/>
  </r>
  <r>
    <n v="153"/>
    <n v="32"/>
    <s v="Female"/>
    <n v="35"/>
    <n v="20.75"/>
    <x v="0"/>
    <x v="1"/>
    <n v="3"/>
    <n v="97.9"/>
    <n v="10"/>
    <n v="727.77"/>
    <n v="0"/>
    <s v="&gt;24m"/>
    <s v="9–10"/>
    <x v="3"/>
    <s v="Q1"/>
  </r>
  <r>
    <n v="154"/>
    <n v="43"/>
    <s v="Male"/>
    <n v="18"/>
    <n v="42.53"/>
    <x v="1"/>
    <x v="2"/>
    <n v="0"/>
    <n v="80.400000000000006"/>
    <n v="8"/>
    <n v="784.92"/>
    <n v="1"/>
    <s v="13–24m"/>
    <s v="7–8"/>
    <x v="3"/>
    <s v="Q1"/>
  </r>
  <r>
    <n v="155"/>
    <n v="59"/>
    <s v="Female"/>
    <n v="9"/>
    <n v="56.54"/>
    <x v="2"/>
    <x v="1"/>
    <n v="1"/>
    <n v="52.2"/>
    <n v="3"/>
    <n v="552.25"/>
    <n v="0"/>
    <s v="7–12m"/>
    <s v="1–4"/>
    <x v="0"/>
    <s v="Q2"/>
  </r>
  <r>
    <n v="156"/>
    <n v="30"/>
    <s v="Male"/>
    <n v="58"/>
    <n v="68.78"/>
    <x v="1"/>
    <x v="1"/>
    <n v="3"/>
    <n v="37.299999999999997"/>
    <n v="10"/>
    <n v="3605.57"/>
    <n v="0"/>
    <s v="&gt;24m"/>
    <s v="9–10"/>
    <x v="2"/>
    <s v="Q2"/>
  </r>
  <r>
    <n v="157"/>
    <n v="68"/>
    <s v="Female"/>
    <n v="17"/>
    <n v="105.08"/>
    <x v="2"/>
    <x v="1"/>
    <n v="0"/>
    <n v="87.9"/>
    <n v="1"/>
    <n v="1778.09"/>
    <n v="1"/>
    <s v="13–24m"/>
    <s v="1–4"/>
    <x v="3"/>
    <s v="Q4"/>
  </r>
  <r>
    <n v="158"/>
    <n v="49"/>
    <s v="Female"/>
    <n v="7"/>
    <n v="28.79"/>
    <x v="0"/>
    <x v="0"/>
    <n v="3"/>
    <n v="56.8"/>
    <n v="9"/>
    <n v="209.1"/>
    <n v="0"/>
    <s v="7–12m"/>
    <s v="9–10"/>
    <x v="0"/>
    <s v="Q1"/>
  </r>
  <r>
    <n v="159"/>
    <n v="56"/>
    <s v="Female"/>
    <n v="46"/>
    <n v="100.59"/>
    <x v="1"/>
    <x v="2"/>
    <n v="1"/>
    <n v="77.099999999999994"/>
    <n v="1"/>
    <n v="4833.24"/>
    <n v="0"/>
    <s v="&gt;24m"/>
    <s v="1–4"/>
    <x v="3"/>
    <s v="Q4"/>
  </r>
  <r>
    <n v="160"/>
    <n v="66"/>
    <s v="Male"/>
    <n v="13"/>
    <n v="25.57"/>
    <x v="1"/>
    <x v="2"/>
    <n v="0"/>
    <n v="76.599999999999994"/>
    <n v="3"/>
    <n v="345.21"/>
    <n v="1"/>
    <s v="13–24m"/>
    <s v="1–4"/>
    <x v="3"/>
    <s v="Q1"/>
  </r>
  <r>
    <n v="161"/>
    <n v="69"/>
    <s v="Female"/>
    <n v="40"/>
    <n v="104.23"/>
    <x v="2"/>
    <x v="1"/>
    <n v="0"/>
    <n v="6.7"/>
    <n v="8"/>
    <n v="3864.38"/>
    <n v="0"/>
    <s v="&gt;24m"/>
    <s v="7–8"/>
    <x v="1"/>
    <s v="Q4"/>
  </r>
  <r>
    <n v="162"/>
    <n v="49"/>
    <s v="Male"/>
    <n v="42"/>
    <n v="25.16"/>
    <x v="1"/>
    <x v="0"/>
    <n v="1"/>
    <n v="17"/>
    <n v="3"/>
    <n v="1014.32"/>
    <n v="0"/>
    <s v="&gt;24m"/>
    <s v="1–4"/>
    <x v="1"/>
    <s v="Q1"/>
  </r>
  <r>
    <n v="163"/>
    <n v="21"/>
    <s v="Female"/>
    <n v="9"/>
    <n v="21.82"/>
    <x v="1"/>
    <x v="0"/>
    <n v="1"/>
    <n v="67.7"/>
    <n v="4"/>
    <n v="190.83"/>
    <n v="1"/>
    <s v="7–12m"/>
    <s v="1–4"/>
    <x v="0"/>
    <s v="Q1"/>
  </r>
  <r>
    <n v="164"/>
    <n v="47"/>
    <s v="Male"/>
    <n v="50"/>
    <n v="89.7"/>
    <x v="1"/>
    <x v="2"/>
    <n v="1"/>
    <n v="20.399999999999999"/>
    <n v="8"/>
    <n v="4758.08"/>
    <n v="0"/>
    <s v="&gt;24m"/>
    <s v="7–8"/>
    <x v="1"/>
    <s v="Q3"/>
  </r>
  <r>
    <n v="165"/>
    <n v="54"/>
    <s v="Female"/>
    <n v="27"/>
    <n v="119.73"/>
    <x v="1"/>
    <x v="0"/>
    <n v="4"/>
    <n v="29.3"/>
    <n v="1"/>
    <n v="3089.67"/>
    <n v="1"/>
    <s v="&gt;24m"/>
    <s v="1–4"/>
    <x v="2"/>
    <s v="Q4"/>
  </r>
  <r>
    <n v="166"/>
    <n v="40"/>
    <s v="Male"/>
    <n v="66"/>
    <n v="109.66"/>
    <x v="0"/>
    <x v="0"/>
    <n v="3"/>
    <n v="94.9"/>
    <n v="6"/>
    <n v="6818.8"/>
    <n v="1"/>
    <s v="&gt;24m"/>
    <s v="5–6"/>
    <x v="3"/>
    <s v="Q4"/>
  </r>
  <r>
    <n v="167"/>
    <n v="56"/>
    <s v="Male"/>
    <n v="5"/>
    <n v="77.599999999999994"/>
    <x v="0"/>
    <x v="1"/>
    <n v="2"/>
    <n v="58.2"/>
    <n v="1"/>
    <n v="423.5"/>
    <n v="1"/>
    <s v="4–6m"/>
    <s v="1–4"/>
    <x v="0"/>
    <s v="Q3"/>
  </r>
  <r>
    <n v="168"/>
    <n v="62"/>
    <s v="Female"/>
    <n v="29"/>
    <n v="111.74"/>
    <x v="1"/>
    <x v="0"/>
    <n v="4"/>
    <n v="76.3"/>
    <n v="1"/>
    <n v="2922.16"/>
    <n v="1"/>
    <s v="&gt;24m"/>
    <s v="1–4"/>
    <x v="3"/>
    <s v="Q4"/>
  </r>
  <r>
    <n v="169"/>
    <n v="32"/>
    <s v="Male"/>
    <n v="37"/>
    <n v="20.53"/>
    <x v="1"/>
    <x v="1"/>
    <n v="2"/>
    <n v="58"/>
    <n v="8"/>
    <n v="835.24"/>
    <n v="1"/>
    <s v="&gt;24m"/>
    <s v="7–8"/>
    <x v="0"/>
    <s v="Q1"/>
  </r>
  <r>
    <n v="170"/>
    <n v="60"/>
    <s v="Male"/>
    <n v="38"/>
    <n v="117.51"/>
    <x v="0"/>
    <x v="2"/>
    <n v="0"/>
    <n v="57.5"/>
    <n v="4"/>
    <n v="4623.29"/>
    <n v="1"/>
    <s v="&gt;24m"/>
    <s v="1–4"/>
    <x v="0"/>
    <s v="Q4"/>
  </r>
  <r>
    <n v="171"/>
    <n v="46"/>
    <s v="Female"/>
    <n v="8"/>
    <n v="69.069999999999993"/>
    <x v="1"/>
    <x v="0"/>
    <n v="1"/>
    <n v="13.9"/>
    <n v="1"/>
    <n v="588.86"/>
    <n v="0"/>
    <s v="7–12m"/>
    <s v="1–4"/>
    <x v="1"/>
    <s v="Q2"/>
  </r>
  <r>
    <n v="172"/>
    <n v="53"/>
    <s v="Male"/>
    <n v="65"/>
    <n v="92.29"/>
    <x v="1"/>
    <x v="2"/>
    <n v="5"/>
    <n v="37.6"/>
    <n v="10"/>
    <n v="5752.44"/>
    <n v="0"/>
    <s v="&gt;24m"/>
    <s v="9–10"/>
    <x v="2"/>
    <s v="Q3"/>
  </r>
  <r>
    <n v="173"/>
    <n v="30"/>
    <s v="Male"/>
    <n v="17"/>
    <n v="102.09"/>
    <x v="2"/>
    <x v="2"/>
    <n v="1"/>
    <n v="31.8"/>
    <n v="7"/>
    <n v="1566.95"/>
    <n v="0"/>
    <s v="13–24m"/>
    <s v="7–8"/>
    <x v="2"/>
    <s v="Q4"/>
  </r>
  <r>
    <n v="174"/>
    <n v="49"/>
    <s v="Male"/>
    <n v="71"/>
    <n v="91.85"/>
    <x v="0"/>
    <x v="0"/>
    <n v="5"/>
    <n v="42.1"/>
    <n v="5"/>
    <n v="6831.6"/>
    <n v="0"/>
    <s v="&gt;24m"/>
    <s v="5–6"/>
    <x v="2"/>
    <s v="Q3"/>
  </r>
  <r>
    <n v="175"/>
    <n v="24"/>
    <s v="Female"/>
    <n v="45"/>
    <n v="73.5"/>
    <x v="0"/>
    <x v="0"/>
    <n v="0"/>
    <n v="80.8"/>
    <n v="5"/>
    <n v="3528.54"/>
    <n v="0"/>
    <s v="&gt;24m"/>
    <s v="5–6"/>
    <x v="3"/>
    <s v="Q2"/>
  </r>
  <r>
    <n v="176"/>
    <n v="68"/>
    <s v="Male"/>
    <n v="4"/>
    <n v="67.66"/>
    <x v="0"/>
    <x v="2"/>
    <n v="2"/>
    <n v="40.299999999999997"/>
    <n v="1"/>
    <n v="283.66000000000003"/>
    <n v="0"/>
    <s v="4–6m"/>
    <s v="1–4"/>
    <x v="2"/>
    <s v="Q2"/>
  </r>
  <r>
    <n v="177"/>
    <n v="39"/>
    <s v="Female"/>
    <n v="36"/>
    <n v="103.86"/>
    <x v="1"/>
    <x v="0"/>
    <n v="0"/>
    <n v="47.9"/>
    <n v="10"/>
    <n v="3471.89"/>
    <n v="1"/>
    <s v="&gt;24m"/>
    <s v="9–10"/>
    <x v="2"/>
    <s v="Q4"/>
  </r>
  <r>
    <n v="178"/>
    <n v="45"/>
    <s v="Male"/>
    <n v="70"/>
    <n v="40.51"/>
    <x v="0"/>
    <x v="1"/>
    <n v="1"/>
    <n v="42.8"/>
    <n v="6"/>
    <n v="2979.43"/>
    <n v="0"/>
    <s v="&gt;24m"/>
    <s v="5–6"/>
    <x v="2"/>
    <s v="Q1"/>
  </r>
  <r>
    <n v="179"/>
    <n v="19"/>
    <s v="Male"/>
    <n v="31"/>
    <n v="116.8"/>
    <x v="1"/>
    <x v="1"/>
    <n v="4"/>
    <n v="13.9"/>
    <n v="9"/>
    <n v="3815.54"/>
    <n v="0"/>
    <s v="&gt;24m"/>
    <s v="9–10"/>
    <x v="1"/>
    <s v="Q4"/>
  </r>
  <r>
    <n v="180"/>
    <n v="59"/>
    <s v="Male"/>
    <n v="19"/>
    <n v="91.1"/>
    <x v="1"/>
    <x v="0"/>
    <n v="0"/>
    <n v="46.9"/>
    <n v="9"/>
    <n v="1785.78"/>
    <n v="0"/>
    <s v="13–24m"/>
    <s v="9–10"/>
    <x v="2"/>
    <s v="Q3"/>
  </r>
  <r>
    <n v="181"/>
    <n v="62"/>
    <s v="Female"/>
    <n v="61"/>
    <n v="39.950000000000003"/>
    <x v="1"/>
    <x v="2"/>
    <n v="0"/>
    <n v="23.6"/>
    <n v="8"/>
    <n v="2566.65"/>
    <n v="0"/>
    <s v="&gt;24m"/>
    <s v="7–8"/>
    <x v="1"/>
    <s v="Q1"/>
  </r>
  <r>
    <n v="182"/>
    <n v="23"/>
    <s v="Male"/>
    <n v="54"/>
    <n v="93.62"/>
    <x v="1"/>
    <x v="0"/>
    <n v="2"/>
    <n v="22.7"/>
    <n v="5"/>
    <n v="5405.24"/>
    <n v="0"/>
    <s v="&gt;24m"/>
    <s v="5–6"/>
    <x v="1"/>
    <s v="Q3"/>
  </r>
  <r>
    <n v="183"/>
    <n v="45"/>
    <s v="Male"/>
    <n v="39"/>
    <n v="72.98"/>
    <x v="0"/>
    <x v="0"/>
    <n v="1"/>
    <n v="13.9"/>
    <n v="1"/>
    <n v="2910.89"/>
    <n v="1"/>
    <s v="&gt;24m"/>
    <s v="1–4"/>
    <x v="1"/>
    <s v="Q2"/>
  </r>
  <r>
    <n v="184"/>
    <n v="45"/>
    <s v="Female"/>
    <n v="19"/>
    <n v="90.72"/>
    <x v="1"/>
    <x v="2"/>
    <n v="1"/>
    <n v="38.9"/>
    <n v="9"/>
    <n v="1581.86"/>
    <n v="1"/>
    <s v="13–24m"/>
    <s v="9–10"/>
    <x v="2"/>
    <s v="Q3"/>
  </r>
  <r>
    <n v="185"/>
    <n v="61"/>
    <s v="Male"/>
    <n v="39"/>
    <n v="96.78"/>
    <x v="1"/>
    <x v="2"/>
    <n v="3"/>
    <n v="77"/>
    <n v="1"/>
    <n v="3765.08"/>
    <n v="1"/>
    <s v="&gt;24m"/>
    <s v="1–4"/>
    <x v="3"/>
    <s v="Q4"/>
  </r>
  <r>
    <n v="186"/>
    <n v="61"/>
    <s v="Female"/>
    <n v="67"/>
    <n v="28.73"/>
    <x v="1"/>
    <x v="1"/>
    <n v="1"/>
    <n v="31.3"/>
    <n v="8"/>
    <n v="1762.31"/>
    <n v="1"/>
    <s v="&gt;24m"/>
    <s v="7–8"/>
    <x v="2"/>
    <s v="Q1"/>
  </r>
  <r>
    <n v="187"/>
    <n v="37"/>
    <s v="Female"/>
    <n v="45"/>
    <n v="70.61"/>
    <x v="1"/>
    <x v="2"/>
    <n v="2"/>
    <n v="34.700000000000003"/>
    <n v="5"/>
    <n v="3118.69"/>
    <n v="0"/>
    <s v="&gt;24m"/>
    <s v="5–6"/>
    <x v="2"/>
    <s v="Q2"/>
  </r>
  <r>
    <n v="188"/>
    <n v="47"/>
    <s v="Male"/>
    <n v="13"/>
    <n v="113.2"/>
    <x v="0"/>
    <x v="1"/>
    <n v="3"/>
    <n v="66.099999999999994"/>
    <n v="3"/>
    <n v="1444.26"/>
    <n v="0"/>
    <s v="13–24m"/>
    <s v="1–4"/>
    <x v="0"/>
    <s v="Q4"/>
  </r>
  <r>
    <n v="189"/>
    <n v="28"/>
    <s v="Female"/>
    <n v="58"/>
    <n v="52.06"/>
    <x v="1"/>
    <x v="2"/>
    <n v="1"/>
    <n v="23.6"/>
    <n v="7"/>
    <n v="2757.4"/>
    <n v="1"/>
    <s v="&gt;24m"/>
    <s v="7–8"/>
    <x v="1"/>
    <s v="Q2"/>
  </r>
  <r>
    <n v="190"/>
    <n v="45"/>
    <s v="Male"/>
    <n v="20"/>
    <n v="79.39"/>
    <x v="0"/>
    <x v="0"/>
    <n v="1"/>
    <n v="90.2"/>
    <n v="7"/>
    <n v="1539.79"/>
    <n v="0"/>
    <s v="13–24m"/>
    <s v="7–8"/>
    <x v="3"/>
    <s v="Q3"/>
  </r>
  <r>
    <n v="191"/>
    <n v="42"/>
    <s v="Female"/>
    <n v="61"/>
    <n v="56.92"/>
    <x v="1"/>
    <x v="1"/>
    <n v="4"/>
    <n v="54.4"/>
    <n v="9"/>
    <n v="3201.99"/>
    <n v="0"/>
    <s v="&gt;24m"/>
    <s v="9–10"/>
    <x v="0"/>
    <s v="Q2"/>
  </r>
  <r>
    <n v="192"/>
    <n v="56"/>
    <s v="Female"/>
    <n v="39"/>
    <n v="65.430000000000007"/>
    <x v="1"/>
    <x v="1"/>
    <n v="2"/>
    <n v="47.5"/>
    <n v="7"/>
    <n v="2709.08"/>
    <n v="0"/>
    <s v="&gt;24m"/>
    <s v="7–8"/>
    <x v="2"/>
    <s v="Q2"/>
  </r>
  <r>
    <n v="193"/>
    <n v="50"/>
    <s v="Male"/>
    <n v="1"/>
    <n v="74.86"/>
    <x v="0"/>
    <x v="1"/>
    <n v="1"/>
    <n v="58"/>
    <n v="3"/>
    <n v="81.56"/>
    <n v="0"/>
    <s v="0–3m"/>
    <s v="1–4"/>
    <x v="0"/>
    <s v="Q3"/>
  </r>
  <r>
    <n v="194"/>
    <n v="18"/>
    <s v="Female"/>
    <n v="3"/>
    <n v="74.89"/>
    <x v="1"/>
    <x v="0"/>
    <n v="2"/>
    <n v="20.8"/>
    <n v="1"/>
    <n v="205.45"/>
    <n v="1"/>
    <s v="0–3m"/>
    <s v="1–4"/>
    <x v="1"/>
    <s v="Q3"/>
  </r>
  <r>
    <n v="195"/>
    <n v="44"/>
    <s v="Female"/>
    <n v="62"/>
    <n v="40.17"/>
    <x v="0"/>
    <x v="0"/>
    <n v="3"/>
    <n v="63.3"/>
    <n v="8"/>
    <n v="2717.24"/>
    <n v="0"/>
    <s v="&gt;24m"/>
    <s v="7–8"/>
    <x v="0"/>
    <s v="Q1"/>
  </r>
  <r>
    <n v="196"/>
    <n v="69"/>
    <s v="Female"/>
    <n v="63"/>
    <n v="88.46"/>
    <x v="1"/>
    <x v="0"/>
    <n v="1"/>
    <n v="39.5"/>
    <n v="3"/>
    <n v="5598.14"/>
    <n v="0"/>
    <s v="&gt;24m"/>
    <s v="1–4"/>
    <x v="2"/>
    <s v="Q3"/>
  </r>
  <r>
    <n v="197"/>
    <n v="30"/>
    <s v="Female"/>
    <n v="25"/>
    <n v="28.79"/>
    <x v="1"/>
    <x v="0"/>
    <n v="3"/>
    <n v="90.2"/>
    <n v="8"/>
    <n v="690.9"/>
    <n v="1"/>
    <s v="&gt;24m"/>
    <s v="7–8"/>
    <x v="3"/>
    <s v="Q1"/>
  </r>
  <r>
    <n v="198"/>
    <n v="58"/>
    <s v="Female"/>
    <n v="56"/>
    <n v="33.880000000000003"/>
    <x v="2"/>
    <x v="0"/>
    <n v="0"/>
    <n v="21"/>
    <n v="8"/>
    <n v="1736.72"/>
    <n v="0"/>
    <s v="&gt;24m"/>
    <s v="7–8"/>
    <x v="1"/>
    <s v="Q1"/>
  </r>
  <r>
    <n v="199"/>
    <n v="20"/>
    <s v="Male"/>
    <n v="33"/>
    <n v="20.27"/>
    <x v="1"/>
    <x v="1"/>
    <n v="0"/>
    <n v="53.2"/>
    <n v="5"/>
    <n v="668.99"/>
    <n v="0"/>
    <s v="&gt;24m"/>
    <s v="5–6"/>
    <x v="0"/>
    <s v="Q1"/>
  </r>
  <r>
    <n v="200"/>
    <n v="56"/>
    <s v="Female"/>
    <n v="38"/>
    <n v="31.67"/>
    <x v="1"/>
    <x v="0"/>
    <n v="1"/>
    <n v="61.8"/>
    <n v="1"/>
    <n v="1274.3499999999999"/>
    <n v="1"/>
    <s v="&gt;24m"/>
    <s v="1–4"/>
    <x v="0"/>
    <s v="Q1"/>
  </r>
  <r>
    <n v="201"/>
    <n v="23"/>
    <s v="Male"/>
    <n v="6"/>
    <n v="67.319999999999993"/>
    <x v="0"/>
    <x v="1"/>
    <n v="2"/>
    <n v="8.1999999999999993"/>
    <n v="10"/>
    <n v="420.65"/>
    <n v="0"/>
    <s v="4–6m"/>
    <s v="9–10"/>
    <x v="1"/>
    <s v="Q2"/>
  </r>
  <r>
    <n v="202"/>
    <n v="25"/>
    <s v="Female"/>
    <n v="58"/>
    <n v="80.61"/>
    <x v="1"/>
    <x v="0"/>
    <n v="1"/>
    <n v="39.6"/>
    <n v="7"/>
    <n v="4254.8100000000004"/>
    <n v="0"/>
    <s v="&gt;24m"/>
    <s v="7–8"/>
    <x v="2"/>
    <s v="Q3"/>
  </r>
  <r>
    <n v="203"/>
    <n v="44"/>
    <s v="Male"/>
    <n v="44"/>
    <n v="99.43"/>
    <x v="0"/>
    <x v="2"/>
    <n v="3"/>
    <n v="74.599999999999994"/>
    <n v="10"/>
    <n v="4001.22"/>
    <n v="1"/>
    <s v="&gt;24m"/>
    <s v="9–10"/>
    <x v="0"/>
    <s v="Q4"/>
  </r>
  <r>
    <n v="204"/>
    <n v="26"/>
    <s v="Male"/>
    <n v="45"/>
    <n v="30.67"/>
    <x v="1"/>
    <x v="1"/>
    <n v="4"/>
    <n v="82.9"/>
    <n v="5"/>
    <n v="1353.34"/>
    <n v="0"/>
    <s v="&gt;24m"/>
    <s v="5–6"/>
    <x v="3"/>
    <s v="Q1"/>
  </r>
  <r>
    <n v="205"/>
    <n v="54"/>
    <s v="Female"/>
    <n v="32"/>
    <n v="105.07"/>
    <x v="2"/>
    <x v="2"/>
    <n v="0"/>
    <n v="34.799999999999997"/>
    <n v="8"/>
    <n v="3224.58"/>
    <n v="0"/>
    <s v="&gt;24m"/>
    <s v="7–8"/>
    <x v="2"/>
    <s v="Q4"/>
  </r>
  <r>
    <n v="206"/>
    <n v="50"/>
    <s v="Female"/>
    <n v="45"/>
    <n v="94.6"/>
    <x v="0"/>
    <x v="1"/>
    <n v="3"/>
    <n v="80.900000000000006"/>
    <n v="9"/>
    <n v="4029.15"/>
    <n v="0"/>
    <s v="&gt;24m"/>
    <s v="9–10"/>
    <x v="3"/>
    <s v="Q3"/>
  </r>
  <r>
    <n v="207"/>
    <n v="68"/>
    <s v="Female"/>
    <n v="61"/>
    <n v="60.85"/>
    <x v="0"/>
    <x v="2"/>
    <n v="2"/>
    <n v="96.9"/>
    <n v="7"/>
    <n v="3549.27"/>
    <n v="1"/>
    <s v="&gt;24m"/>
    <s v="7–8"/>
    <x v="3"/>
    <s v="Q2"/>
  </r>
  <r>
    <n v="208"/>
    <n v="59"/>
    <s v="Male"/>
    <n v="47"/>
    <n v="113.29"/>
    <x v="2"/>
    <x v="0"/>
    <n v="3"/>
    <n v="86.4"/>
    <n v="7"/>
    <n v="5647.82"/>
    <n v="1"/>
    <s v="&gt;24m"/>
    <s v="7–8"/>
    <x v="3"/>
    <s v="Q4"/>
  </r>
  <r>
    <n v="209"/>
    <n v="61"/>
    <s v="Female"/>
    <n v="21"/>
    <n v="119.09"/>
    <x v="1"/>
    <x v="0"/>
    <n v="1"/>
    <n v="16.2"/>
    <n v="1"/>
    <n v="2715.58"/>
    <n v="1"/>
    <s v="13–24m"/>
    <s v="1–4"/>
    <x v="1"/>
    <s v="Q4"/>
  </r>
  <r>
    <n v="210"/>
    <n v="41"/>
    <s v="Male"/>
    <n v="36"/>
    <n v="40.5"/>
    <x v="2"/>
    <x v="0"/>
    <n v="3"/>
    <n v="75.3"/>
    <n v="4"/>
    <n v="1430.33"/>
    <n v="0"/>
    <s v="&gt;24m"/>
    <s v="1–4"/>
    <x v="0"/>
    <s v="Q1"/>
  </r>
  <r>
    <n v="211"/>
    <n v="32"/>
    <s v="Male"/>
    <n v="19"/>
    <n v="57.92"/>
    <x v="1"/>
    <x v="1"/>
    <n v="2"/>
    <n v="35.4"/>
    <n v="2"/>
    <n v="1189.8599999999999"/>
    <n v="1"/>
    <s v="13–24m"/>
    <s v="1–4"/>
    <x v="2"/>
    <s v="Q2"/>
  </r>
  <r>
    <n v="212"/>
    <n v="49"/>
    <s v="Male"/>
    <n v="20"/>
    <n v="112.64"/>
    <x v="1"/>
    <x v="2"/>
    <n v="0"/>
    <n v="98.9"/>
    <n v="2"/>
    <n v="2172.37"/>
    <n v="1"/>
    <s v="13–24m"/>
    <s v="1–4"/>
    <x v="3"/>
    <s v="Q4"/>
  </r>
  <r>
    <n v="213"/>
    <n v="49"/>
    <s v="Female"/>
    <n v="57"/>
    <n v="92.16"/>
    <x v="1"/>
    <x v="0"/>
    <n v="3"/>
    <n v="51.1"/>
    <n v="2"/>
    <n v="5228.3599999999997"/>
    <n v="1"/>
    <s v="&gt;24m"/>
    <s v="1–4"/>
    <x v="0"/>
    <s v="Q3"/>
  </r>
  <r>
    <n v="214"/>
    <n v="41"/>
    <s v="Female"/>
    <n v="18"/>
    <n v="24.81"/>
    <x v="1"/>
    <x v="2"/>
    <n v="0"/>
    <n v="16.600000000000001"/>
    <n v="4"/>
    <n v="422.11"/>
    <n v="1"/>
    <s v="13–24m"/>
    <s v="1–4"/>
    <x v="1"/>
    <s v="Q1"/>
  </r>
  <r>
    <n v="215"/>
    <n v="58"/>
    <s v="Male"/>
    <n v="47"/>
    <n v="98.15"/>
    <x v="1"/>
    <x v="2"/>
    <n v="2"/>
    <n v="73.900000000000006"/>
    <n v="1"/>
    <n v="4742.6499999999996"/>
    <n v="0"/>
    <s v="&gt;24m"/>
    <s v="1–4"/>
    <x v="0"/>
    <s v="Q4"/>
  </r>
  <r>
    <n v="216"/>
    <n v="69"/>
    <s v="Male"/>
    <n v="49"/>
    <n v="102.79"/>
    <x v="0"/>
    <x v="0"/>
    <n v="5"/>
    <n v="35.700000000000003"/>
    <n v="4"/>
    <n v="5519.21"/>
    <n v="0"/>
    <s v="&gt;24m"/>
    <s v="1–4"/>
    <x v="2"/>
    <s v="Q4"/>
  </r>
  <r>
    <n v="217"/>
    <n v="66"/>
    <s v="Female"/>
    <n v="14"/>
    <n v="95.05"/>
    <x v="0"/>
    <x v="0"/>
    <n v="2"/>
    <n v="99.7"/>
    <n v="2"/>
    <n v="1358.24"/>
    <n v="1"/>
    <s v="13–24m"/>
    <s v="1–4"/>
    <x v="3"/>
    <s v="Q4"/>
  </r>
  <r>
    <n v="218"/>
    <n v="66"/>
    <s v="Male"/>
    <n v="15"/>
    <n v="99.95"/>
    <x v="2"/>
    <x v="2"/>
    <n v="1"/>
    <n v="98.1"/>
    <n v="5"/>
    <n v="1456.62"/>
    <n v="0"/>
    <s v="13–24m"/>
    <s v="5–6"/>
    <x v="3"/>
    <s v="Q4"/>
  </r>
  <r>
    <n v="219"/>
    <n v="69"/>
    <s v="Female"/>
    <n v="31"/>
    <n v="102.51"/>
    <x v="1"/>
    <x v="0"/>
    <n v="3"/>
    <n v="67.3"/>
    <n v="3"/>
    <n v="3271.76"/>
    <n v="1"/>
    <s v="&gt;24m"/>
    <s v="1–4"/>
    <x v="0"/>
    <s v="Q4"/>
  </r>
  <r>
    <n v="220"/>
    <n v="29"/>
    <s v="Male"/>
    <n v="1"/>
    <n v="38.64"/>
    <x v="0"/>
    <x v="0"/>
    <n v="2"/>
    <n v="17.3"/>
    <n v="8"/>
    <n v="35.729999999999997"/>
    <n v="0"/>
    <s v="0–3m"/>
    <s v="7–8"/>
    <x v="1"/>
    <s v="Q1"/>
  </r>
  <r>
    <n v="221"/>
    <n v="56"/>
    <s v="Female"/>
    <n v="54"/>
    <n v="43.57"/>
    <x v="1"/>
    <x v="0"/>
    <n v="1"/>
    <n v="70.3"/>
    <n v="4"/>
    <n v="2535.67"/>
    <n v="0"/>
    <s v="&gt;24m"/>
    <s v="1–4"/>
    <x v="0"/>
    <s v="Q1"/>
  </r>
  <r>
    <n v="222"/>
    <n v="19"/>
    <s v="Male"/>
    <n v="3"/>
    <n v="83.38"/>
    <x v="1"/>
    <x v="1"/>
    <n v="0"/>
    <n v="13.8"/>
    <n v="1"/>
    <n v="250.29"/>
    <n v="1"/>
    <s v="0–3m"/>
    <s v="1–4"/>
    <x v="1"/>
    <s v="Q3"/>
  </r>
  <r>
    <n v="223"/>
    <n v="20"/>
    <s v="Female"/>
    <n v="16"/>
    <n v="110.79"/>
    <x v="1"/>
    <x v="2"/>
    <n v="3"/>
    <n v="7.8"/>
    <n v="1"/>
    <n v="1754.68"/>
    <n v="1"/>
    <s v="13–24m"/>
    <s v="1–4"/>
    <x v="1"/>
    <s v="Q4"/>
  </r>
  <r>
    <n v="224"/>
    <n v="66"/>
    <s v="Male"/>
    <n v="57"/>
    <n v="51.62"/>
    <x v="1"/>
    <x v="2"/>
    <n v="0"/>
    <n v="83.2"/>
    <n v="10"/>
    <n v="2992.87"/>
    <n v="1"/>
    <s v="&gt;24m"/>
    <s v="9–10"/>
    <x v="3"/>
    <s v="Q2"/>
  </r>
  <r>
    <n v="225"/>
    <n v="54"/>
    <s v="Female"/>
    <n v="12"/>
    <n v="78.83"/>
    <x v="0"/>
    <x v="1"/>
    <n v="1"/>
    <n v="24.9"/>
    <n v="3"/>
    <n v="969.57"/>
    <n v="0"/>
    <s v="7–12m"/>
    <s v="1–4"/>
    <x v="1"/>
    <s v="Q3"/>
  </r>
  <r>
    <n v="226"/>
    <n v="66"/>
    <s v="Female"/>
    <n v="16"/>
    <n v="88.3"/>
    <x v="1"/>
    <x v="2"/>
    <n v="4"/>
    <n v="41"/>
    <n v="9"/>
    <n v="1291.8"/>
    <n v="0"/>
    <s v="13–24m"/>
    <s v="9–10"/>
    <x v="2"/>
    <s v="Q3"/>
  </r>
  <r>
    <n v="227"/>
    <n v="34"/>
    <s v="Male"/>
    <n v="24"/>
    <n v="65.19"/>
    <x v="1"/>
    <x v="0"/>
    <n v="0"/>
    <n v="97.5"/>
    <n v="7"/>
    <n v="1621.7"/>
    <n v="1"/>
    <s v="13–24m"/>
    <s v="7–8"/>
    <x v="3"/>
    <s v="Q2"/>
  </r>
  <r>
    <n v="228"/>
    <n v="66"/>
    <s v="Male"/>
    <n v="28"/>
    <n v="91.38"/>
    <x v="1"/>
    <x v="2"/>
    <n v="0"/>
    <n v="37"/>
    <n v="2"/>
    <n v="2426.58"/>
    <n v="0"/>
    <s v="&gt;24m"/>
    <s v="1–4"/>
    <x v="2"/>
    <s v="Q3"/>
  </r>
  <r>
    <n v="229"/>
    <n v="19"/>
    <s v="Female"/>
    <n v="8"/>
    <n v="109.97"/>
    <x v="1"/>
    <x v="0"/>
    <n v="1"/>
    <n v="33.200000000000003"/>
    <n v="9"/>
    <n v="917.41"/>
    <n v="1"/>
    <s v="7–12m"/>
    <s v="9–10"/>
    <x v="2"/>
    <s v="Q4"/>
  </r>
  <r>
    <n v="230"/>
    <n v="19"/>
    <s v="Male"/>
    <n v="36"/>
    <n v="82.41"/>
    <x v="1"/>
    <x v="1"/>
    <n v="2"/>
    <n v="92.2"/>
    <n v="10"/>
    <n v="3158.14"/>
    <n v="1"/>
    <s v="&gt;24m"/>
    <s v="9–10"/>
    <x v="3"/>
    <s v="Q3"/>
  </r>
  <r>
    <n v="231"/>
    <n v="45"/>
    <s v="Female"/>
    <n v="8"/>
    <n v="73.98"/>
    <x v="2"/>
    <x v="0"/>
    <n v="1"/>
    <n v="15.5"/>
    <n v="2"/>
    <n v="627.82000000000005"/>
    <n v="0"/>
    <s v="7–12m"/>
    <s v="1–4"/>
    <x v="1"/>
    <s v="Q3"/>
  </r>
  <r>
    <n v="232"/>
    <n v="40"/>
    <s v="Male"/>
    <n v="58"/>
    <n v="63.87"/>
    <x v="1"/>
    <x v="2"/>
    <n v="3"/>
    <n v="77.2"/>
    <n v="3"/>
    <n v="3743.36"/>
    <n v="0"/>
    <s v="&gt;24m"/>
    <s v="1–4"/>
    <x v="3"/>
    <s v="Q2"/>
  </r>
  <r>
    <n v="233"/>
    <n v="54"/>
    <s v="Female"/>
    <n v="60"/>
    <n v="77.75"/>
    <x v="1"/>
    <x v="2"/>
    <n v="4"/>
    <n v="98.9"/>
    <n v="10"/>
    <n v="4683.82"/>
    <n v="0"/>
    <s v="&gt;24m"/>
    <s v="9–10"/>
    <x v="3"/>
    <s v="Q3"/>
  </r>
  <r>
    <n v="234"/>
    <n v="49"/>
    <s v="Female"/>
    <n v="50"/>
    <n v="55.54"/>
    <x v="1"/>
    <x v="2"/>
    <n v="2"/>
    <n v="90.6"/>
    <n v="2"/>
    <n v="2578.65"/>
    <n v="1"/>
    <s v="&gt;24m"/>
    <s v="1–4"/>
    <x v="3"/>
    <s v="Q2"/>
  </r>
  <r>
    <n v="235"/>
    <n v="50"/>
    <s v="Female"/>
    <n v="28"/>
    <n v="59.15"/>
    <x v="0"/>
    <x v="1"/>
    <n v="3"/>
    <n v="66.900000000000006"/>
    <n v="3"/>
    <n v="1747.41"/>
    <n v="1"/>
    <s v="&gt;24m"/>
    <s v="1–4"/>
    <x v="0"/>
    <s v="Q2"/>
  </r>
  <r>
    <n v="236"/>
    <n v="18"/>
    <s v="Female"/>
    <n v="41"/>
    <n v="73.19"/>
    <x v="2"/>
    <x v="1"/>
    <n v="0"/>
    <n v="34.799999999999997"/>
    <n v="6"/>
    <n v="2863.6"/>
    <n v="0"/>
    <s v="&gt;24m"/>
    <s v="5–6"/>
    <x v="2"/>
    <s v="Q2"/>
  </r>
  <r>
    <n v="237"/>
    <n v="36"/>
    <s v="Female"/>
    <n v="64"/>
    <n v="26.66"/>
    <x v="0"/>
    <x v="2"/>
    <n v="2"/>
    <n v="29.2"/>
    <n v="9"/>
    <n v="1705.11"/>
    <n v="0"/>
    <s v="&gt;24m"/>
    <s v="9–10"/>
    <x v="2"/>
    <s v="Q1"/>
  </r>
  <r>
    <n v="238"/>
    <n v="19"/>
    <s v="Female"/>
    <n v="27"/>
    <n v="42.9"/>
    <x v="0"/>
    <x v="0"/>
    <n v="2"/>
    <n v="82.8"/>
    <n v="9"/>
    <n v="1108.32"/>
    <n v="0"/>
    <s v="&gt;24m"/>
    <s v="9–10"/>
    <x v="3"/>
    <s v="Q1"/>
  </r>
  <r>
    <n v="239"/>
    <n v="61"/>
    <s v="Male"/>
    <n v="63"/>
    <n v="74.28"/>
    <x v="1"/>
    <x v="1"/>
    <n v="1"/>
    <n v="88.6"/>
    <n v="7"/>
    <n v="4336.93"/>
    <n v="1"/>
    <s v="&gt;24m"/>
    <s v="7–8"/>
    <x v="3"/>
    <s v="Q3"/>
  </r>
  <r>
    <n v="240"/>
    <n v="43"/>
    <s v="Male"/>
    <n v="17"/>
    <n v="63.15"/>
    <x v="1"/>
    <x v="2"/>
    <n v="2"/>
    <n v="54.9"/>
    <n v="3"/>
    <n v="1101.3699999999999"/>
    <n v="0"/>
    <s v="13–24m"/>
    <s v="1–4"/>
    <x v="0"/>
    <s v="Q2"/>
  </r>
  <r>
    <n v="241"/>
    <n v="49"/>
    <s v="Male"/>
    <n v="33"/>
    <n v="53.28"/>
    <x v="2"/>
    <x v="2"/>
    <n v="2"/>
    <n v="28.2"/>
    <n v="4"/>
    <n v="1601.52"/>
    <n v="1"/>
    <s v="&gt;24m"/>
    <s v="1–4"/>
    <x v="2"/>
    <s v="Q2"/>
  </r>
  <r>
    <n v="242"/>
    <n v="23"/>
    <s v="Female"/>
    <n v="29"/>
    <n v="93.05"/>
    <x v="0"/>
    <x v="1"/>
    <n v="2"/>
    <n v="15.7"/>
    <n v="6"/>
    <n v="2832.64"/>
    <n v="1"/>
    <s v="&gt;24m"/>
    <s v="5–6"/>
    <x v="1"/>
    <s v="Q3"/>
  </r>
  <r>
    <n v="243"/>
    <n v="49"/>
    <s v="Female"/>
    <n v="13"/>
    <n v="89.37"/>
    <x v="0"/>
    <x v="1"/>
    <n v="1"/>
    <n v="13.3"/>
    <n v="5"/>
    <n v="1119.42"/>
    <n v="0"/>
    <s v="13–24m"/>
    <s v="5–6"/>
    <x v="1"/>
    <s v="Q3"/>
  </r>
  <r>
    <n v="244"/>
    <n v="21"/>
    <s v="Female"/>
    <n v="46"/>
    <n v="36.67"/>
    <x v="0"/>
    <x v="1"/>
    <n v="3"/>
    <n v="73.3"/>
    <n v="2"/>
    <n v="1518.18"/>
    <n v="1"/>
    <s v="&gt;24m"/>
    <s v="1–4"/>
    <x v="0"/>
    <s v="Q1"/>
  </r>
  <r>
    <n v="245"/>
    <n v="28"/>
    <s v="Female"/>
    <n v="35"/>
    <n v="107.86"/>
    <x v="0"/>
    <x v="0"/>
    <n v="4"/>
    <n v="44.9"/>
    <n v="6"/>
    <n v="3783.5"/>
    <n v="0"/>
    <s v="&gt;24m"/>
    <s v="5–6"/>
    <x v="2"/>
    <s v="Q4"/>
  </r>
  <r>
    <n v="246"/>
    <n v="34"/>
    <s v="Male"/>
    <n v="6"/>
    <n v="69.540000000000006"/>
    <x v="0"/>
    <x v="0"/>
    <n v="2"/>
    <n v="91"/>
    <n v="3"/>
    <n v="379.43"/>
    <n v="1"/>
    <s v="4–6m"/>
    <s v="1–4"/>
    <x v="3"/>
    <s v="Q2"/>
  </r>
  <r>
    <n v="247"/>
    <n v="55"/>
    <s v="Male"/>
    <n v="69"/>
    <n v="94.15"/>
    <x v="2"/>
    <x v="2"/>
    <n v="3"/>
    <n v="75.3"/>
    <n v="8"/>
    <n v="6205.53"/>
    <n v="1"/>
    <s v="&gt;24m"/>
    <s v="7–8"/>
    <x v="0"/>
    <s v="Q3"/>
  </r>
  <r>
    <n v="248"/>
    <n v="41"/>
    <s v="Female"/>
    <n v="47"/>
    <n v="77.319999999999993"/>
    <x v="2"/>
    <x v="1"/>
    <n v="3"/>
    <n v="23.2"/>
    <n v="2"/>
    <n v="3784.47"/>
    <n v="1"/>
    <s v="&gt;24m"/>
    <s v="1–4"/>
    <x v="1"/>
    <s v="Q3"/>
  </r>
  <r>
    <n v="249"/>
    <n v="22"/>
    <s v="Male"/>
    <n v="25"/>
    <n v="119.77"/>
    <x v="0"/>
    <x v="0"/>
    <n v="3"/>
    <n v="63.3"/>
    <n v="1"/>
    <n v="2732.37"/>
    <n v="1"/>
    <s v="&gt;24m"/>
    <s v="1–4"/>
    <x v="0"/>
    <s v="Q4"/>
  </r>
  <r>
    <n v="250"/>
    <n v="69"/>
    <s v="Male"/>
    <n v="66"/>
    <n v="95.24"/>
    <x v="0"/>
    <x v="1"/>
    <n v="5"/>
    <n v="46.4"/>
    <n v="9"/>
    <n v="6712.45"/>
    <n v="0"/>
    <s v="&gt;24m"/>
    <s v="9–10"/>
    <x v="2"/>
    <s v="Q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n v="1"/>
    <n v="56"/>
    <s v="Female"/>
    <n v="58"/>
    <n v="28.27"/>
    <x v="0"/>
    <s v="Credit Card"/>
    <n v="2"/>
    <n v="52.7"/>
    <n v="6"/>
    <n v="1614.09"/>
    <n v="1"/>
    <x v="0"/>
    <x v="0"/>
    <x v="0"/>
    <x v="0"/>
    <x v="0"/>
  </r>
  <r>
    <n v="2"/>
    <n v="69"/>
    <s v="Female"/>
    <n v="63"/>
    <n v="107.67"/>
    <x v="0"/>
    <s v="Credit Card"/>
    <n v="1"/>
    <n v="16.8"/>
    <n v="1"/>
    <n v="6505.15"/>
    <n v="1"/>
    <x v="1"/>
    <x v="0"/>
    <x v="1"/>
    <x v="1"/>
    <x v="1"/>
  </r>
  <r>
    <n v="3"/>
    <n v="46"/>
    <s v="Female"/>
    <n v="62"/>
    <n v="75.16"/>
    <x v="1"/>
    <s v="Bank Transfer"/>
    <n v="1"/>
    <n v="41.6"/>
    <n v="5"/>
    <n v="4646.87"/>
    <n v="0"/>
    <x v="0"/>
    <x v="0"/>
    <x v="2"/>
    <x v="0"/>
    <x v="0"/>
  </r>
  <r>
    <n v="4"/>
    <n v="32"/>
    <s v="Male"/>
    <n v="22"/>
    <n v="36.479999999999997"/>
    <x v="1"/>
    <s v="PayPal"/>
    <n v="1"/>
    <n v="66.099999999999994"/>
    <n v="3"/>
    <n v="814.95"/>
    <n v="1"/>
    <x v="1"/>
    <x v="1"/>
    <x v="3"/>
    <x v="1"/>
    <x v="0"/>
  </r>
  <r>
    <n v="5"/>
    <n v="60"/>
    <s v="Male"/>
    <n v="58"/>
    <n v="61.13"/>
    <x v="0"/>
    <s v="Bank Transfer"/>
    <n v="3"/>
    <n v="79.099999999999994"/>
    <n v="1"/>
    <n v="3222"/>
    <n v="1"/>
    <x v="1"/>
    <x v="0"/>
    <x v="2"/>
    <x v="1"/>
    <x v="0"/>
  </r>
  <r>
    <n v="6"/>
    <n v="25"/>
    <s v="Female"/>
    <n v="58"/>
    <n v="97.76"/>
    <x v="1"/>
    <s v="PayPal"/>
    <n v="2"/>
    <n v="25.6"/>
    <n v="4"/>
    <n v="5242.5600000000004"/>
    <n v="1"/>
    <x v="1"/>
    <x v="0"/>
    <x v="1"/>
    <x v="0"/>
    <x v="2"/>
  </r>
  <r>
    <n v="7"/>
    <n v="38"/>
    <s v="Female"/>
    <n v="49"/>
    <n v="68.040000000000006"/>
    <x v="0"/>
    <s v="Credit Card"/>
    <n v="2"/>
    <n v="18.100000000000001"/>
    <n v="2"/>
    <n v="3373.06"/>
    <n v="1"/>
    <x v="1"/>
    <x v="0"/>
    <x v="2"/>
    <x v="1"/>
    <x v="1"/>
  </r>
  <r>
    <n v="8"/>
    <n v="56"/>
    <s v="Male"/>
    <n v="52"/>
    <n v="118.53"/>
    <x v="1"/>
    <s v="PayPal"/>
    <n v="3"/>
    <n v="68"/>
    <n v="2"/>
    <n v="5970.23"/>
    <n v="0"/>
    <x v="0"/>
    <x v="0"/>
    <x v="1"/>
    <x v="1"/>
    <x v="0"/>
  </r>
  <r>
    <n v="9"/>
    <n v="36"/>
    <s v="Male"/>
    <n v="42"/>
    <n v="57.67"/>
    <x v="1"/>
    <s v="Bank Transfer"/>
    <n v="0"/>
    <n v="5.2"/>
    <n v="3"/>
    <n v="2533.16"/>
    <n v="1"/>
    <x v="0"/>
    <x v="0"/>
    <x v="3"/>
    <x v="1"/>
    <x v="1"/>
  </r>
  <r>
    <n v="10"/>
    <n v="40"/>
    <s v="Female"/>
    <n v="70"/>
    <n v="94.96"/>
    <x v="1"/>
    <s v="Credit Card"/>
    <n v="5"/>
    <n v="21.9"/>
    <n v="8"/>
    <n v="6849.66"/>
    <n v="0"/>
    <x v="0"/>
    <x v="0"/>
    <x v="1"/>
    <x v="2"/>
    <x v="2"/>
  </r>
  <r>
    <n v="11"/>
    <n v="28"/>
    <s v="Male"/>
    <n v="15"/>
    <n v="59.3"/>
    <x v="1"/>
    <s v="Bank Transfer"/>
    <n v="1"/>
    <n v="7.8"/>
    <n v="8"/>
    <n v="950.98"/>
    <n v="0"/>
    <x v="1"/>
    <x v="1"/>
    <x v="3"/>
    <x v="2"/>
    <x v="1"/>
  </r>
  <r>
    <n v="12"/>
    <n v="28"/>
    <s v="Female"/>
    <n v="54"/>
    <n v="102.92"/>
    <x v="0"/>
    <s v="Bank Transfer"/>
    <n v="3"/>
    <n v="20.9"/>
    <n v="7"/>
    <n v="5771.64"/>
    <n v="0"/>
    <x v="0"/>
    <x v="0"/>
    <x v="1"/>
    <x v="2"/>
    <x v="2"/>
  </r>
  <r>
    <n v="13"/>
    <n v="41"/>
    <s v="Female"/>
    <n v="60"/>
    <n v="76.91"/>
    <x v="1"/>
    <s v="PayPal"/>
    <n v="0"/>
    <n v="22.2"/>
    <n v="6"/>
    <n v="4549.93"/>
    <n v="0"/>
    <x v="1"/>
    <x v="0"/>
    <x v="2"/>
    <x v="0"/>
    <x v="2"/>
  </r>
  <r>
    <n v="14"/>
    <n v="53"/>
    <s v="Male"/>
    <n v="8"/>
    <n v="26.35"/>
    <x v="1"/>
    <s v="Bank Transfer"/>
    <n v="1"/>
    <n v="41.8"/>
    <n v="9"/>
    <n v="218.09"/>
    <n v="1"/>
    <x v="1"/>
    <x v="2"/>
    <x v="0"/>
    <x v="2"/>
    <x v="0"/>
  </r>
  <r>
    <n v="15"/>
    <n v="57"/>
    <s v="Male"/>
    <n v="53"/>
    <n v="23.68"/>
    <x v="1"/>
    <s v="PayPal"/>
    <n v="1"/>
    <n v="43.2"/>
    <n v="4"/>
    <n v="1198.6600000000001"/>
    <n v="0"/>
    <x v="1"/>
    <x v="0"/>
    <x v="0"/>
    <x v="0"/>
    <x v="0"/>
  </r>
  <r>
    <n v="16"/>
    <n v="41"/>
    <s v="Female"/>
    <n v="60"/>
    <n v="33.39"/>
    <x v="1"/>
    <s v="Credit Card"/>
    <n v="3"/>
    <n v="88.1"/>
    <n v="1"/>
    <n v="1925.79"/>
    <n v="1"/>
    <x v="1"/>
    <x v="0"/>
    <x v="3"/>
    <x v="1"/>
    <x v="3"/>
  </r>
  <r>
    <n v="17"/>
    <n v="20"/>
    <s v="Female"/>
    <n v="5"/>
    <n v="21.37"/>
    <x v="0"/>
    <s v="PayPal"/>
    <n v="3"/>
    <n v="53.5"/>
    <n v="8"/>
    <n v="113.03"/>
    <n v="0"/>
    <x v="1"/>
    <x v="3"/>
    <x v="0"/>
    <x v="2"/>
    <x v="0"/>
  </r>
  <r>
    <n v="18"/>
    <n v="39"/>
    <s v="Male"/>
    <n v="68"/>
    <n v="27.54"/>
    <x v="1"/>
    <s v="Credit Card"/>
    <n v="2"/>
    <n v="73.7"/>
    <n v="7"/>
    <n v="1852.65"/>
    <n v="0"/>
    <x v="0"/>
    <x v="0"/>
    <x v="0"/>
    <x v="2"/>
    <x v="0"/>
  </r>
  <r>
    <n v="19"/>
    <n v="19"/>
    <s v="Female"/>
    <n v="6"/>
    <n v="89.17"/>
    <x v="1"/>
    <s v="PayPal"/>
    <n v="6"/>
    <n v="14.9"/>
    <n v="7"/>
    <n v="566.95000000000005"/>
    <n v="1"/>
    <x v="0"/>
    <x v="2"/>
    <x v="2"/>
    <x v="2"/>
    <x v="1"/>
  </r>
  <r>
    <n v="20"/>
    <n v="41"/>
    <s v="Male"/>
    <n v="47"/>
    <n v="73.430000000000007"/>
    <x v="1"/>
    <s v="Bank Transfer"/>
    <n v="3"/>
    <n v="26.4"/>
    <n v="3"/>
    <n v="3673.76"/>
    <n v="1"/>
    <x v="1"/>
    <x v="0"/>
    <x v="2"/>
    <x v="1"/>
    <x v="2"/>
  </r>
  <r>
    <n v="21"/>
    <n v="61"/>
    <s v="Female"/>
    <n v="55"/>
    <n v="94.99"/>
    <x v="0"/>
    <s v="PayPal"/>
    <n v="4"/>
    <n v="71.8"/>
    <n v="4"/>
    <n v="5598.06"/>
    <n v="0"/>
    <x v="0"/>
    <x v="0"/>
    <x v="1"/>
    <x v="0"/>
    <x v="0"/>
  </r>
  <r>
    <n v="22"/>
    <n v="47"/>
    <s v="Male"/>
    <n v="40"/>
    <n v="111.32"/>
    <x v="1"/>
    <s v="PayPal"/>
    <n v="1"/>
    <n v="10"/>
    <n v="10"/>
    <n v="4823.84"/>
    <n v="1"/>
    <x v="1"/>
    <x v="0"/>
    <x v="1"/>
    <x v="2"/>
    <x v="1"/>
  </r>
  <r>
    <n v="23"/>
    <n v="55"/>
    <s v="Male"/>
    <n v="52"/>
    <n v="78.510000000000005"/>
    <x v="0"/>
    <s v="Credit Card"/>
    <n v="0"/>
    <n v="51.2"/>
    <n v="9"/>
    <n v="4026.17"/>
    <n v="1"/>
    <x v="1"/>
    <x v="0"/>
    <x v="2"/>
    <x v="2"/>
    <x v="0"/>
  </r>
  <r>
    <n v="24"/>
    <n v="19"/>
    <s v="Male"/>
    <n v="16"/>
    <n v="92.61"/>
    <x v="2"/>
    <s v="Bank Transfer"/>
    <n v="1"/>
    <n v="61.9"/>
    <n v="6"/>
    <n v="1428.08"/>
    <n v="0"/>
    <x v="0"/>
    <x v="1"/>
    <x v="1"/>
    <x v="0"/>
    <x v="0"/>
  </r>
  <r>
    <n v="25"/>
    <n v="38"/>
    <s v="Female"/>
    <n v="13"/>
    <n v="95.71"/>
    <x v="1"/>
    <s v="PayPal"/>
    <n v="1"/>
    <n v="62.2"/>
    <n v="5"/>
    <n v="1264.68"/>
    <n v="0"/>
    <x v="1"/>
    <x v="1"/>
    <x v="1"/>
    <x v="0"/>
    <x v="0"/>
  </r>
  <r>
    <n v="26"/>
    <n v="50"/>
    <s v="Female"/>
    <n v="30"/>
    <n v="57.79"/>
    <x v="1"/>
    <s v="Bank Transfer"/>
    <n v="4"/>
    <n v="7.2"/>
    <n v="3"/>
    <n v="1689.03"/>
    <n v="0"/>
    <x v="1"/>
    <x v="0"/>
    <x v="3"/>
    <x v="1"/>
    <x v="1"/>
  </r>
  <r>
    <n v="27"/>
    <n v="29"/>
    <s v="Male"/>
    <n v="19"/>
    <n v="44.11"/>
    <x v="1"/>
    <s v="PayPal"/>
    <n v="1"/>
    <n v="35.6"/>
    <n v="9"/>
    <n v="855.03"/>
    <n v="0"/>
    <x v="0"/>
    <x v="1"/>
    <x v="3"/>
    <x v="2"/>
    <x v="2"/>
  </r>
  <r>
    <n v="28"/>
    <n v="39"/>
    <s v="Female"/>
    <n v="17"/>
    <n v="40.5"/>
    <x v="1"/>
    <s v="PayPal"/>
    <n v="2"/>
    <n v="65.5"/>
    <n v="5"/>
    <n v="716.81"/>
    <n v="0"/>
    <x v="0"/>
    <x v="1"/>
    <x v="3"/>
    <x v="0"/>
    <x v="0"/>
  </r>
  <r>
    <n v="29"/>
    <n v="61"/>
    <s v="Male"/>
    <n v="63"/>
    <n v="45.14"/>
    <x v="0"/>
    <s v="Bank Transfer"/>
    <n v="1"/>
    <n v="19.2"/>
    <n v="5"/>
    <n v="2950.98"/>
    <n v="0"/>
    <x v="1"/>
    <x v="0"/>
    <x v="3"/>
    <x v="0"/>
    <x v="1"/>
  </r>
  <r>
    <n v="30"/>
    <n v="42"/>
    <s v="Male"/>
    <n v="19"/>
    <n v="47.47"/>
    <x v="2"/>
    <s v="PayPal"/>
    <n v="1"/>
    <n v="71.099999999999994"/>
    <n v="4"/>
    <n v="879.3"/>
    <n v="1"/>
    <x v="1"/>
    <x v="1"/>
    <x v="3"/>
    <x v="0"/>
    <x v="0"/>
  </r>
  <r>
    <n v="31"/>
    <n v="66"/>
    <s v="Female"/>
    <n v="58"/>
    <n v="40.72"/>
    <x v="1"/>
    <s v="Bank Transfer"/>
    <n v="2"/>
    <n v="75.900000000000006"/>
    <n v="4"/>
    <n v="2204.4"/>
    <n v="1"/>
    <x v="0"/>
    <x v="0"/>
    <x v="3"/>
    <x v="0"/>
    <x v="0"/>
  </r>
  <r>
    <n v="32"/>
    <n v="44"/>
    <s v="Female"/>
    <n v="55"/>
    <n v="107.82"/>
    <x v="1"/>
    <s v="PayPal"/>
    <n v="2"/>
    <n v="98.3"/>
    <n v="1"/>
    <n v="5847.71"/>
    <n v="0"/>
    <x v="1"/>
    <x v="0"/>
    <x v="1"/>
    <x v="1"/>
    <x v="3"/>
  </r>
  <r>
    <n v="33"/>
    <n v="59"/>
    <s v="Male"/>
    <n v="62"/>
    <n v="95.7"/>
    <x v="1"/>
    <s v="Credit Card"/>
    <n v="4"/>
    <n v="24.9"/>
    <n v="7"/>
    <n v="5509.27"/>
    <n v="0"/>
    <x v="1"/>
    <x v="0"/>
    <x v="1"/>
    <x v="2"/>
    <x v="2"/>
  </r>
  <r>
    <n v="34"/>
    <n v="45"/>
    <s v="Female"/>
    <n v="23"/>
    <n v="24.69"/>
    <x v="0"/>
    <s v="Bank Transfer"/>
    <n v="5"/>
    <n v="83.4"/>
    <n v="9"/>
    <n v="612.16999999999996"/>
    <n v="1"/>
    <x v="0"/>
    <x v="1"/>
    <x v="0"/>
    <x v="2"/>
    <x v="3"/>
  </r>
  <r>
    <n v="35"/>
    <n v="33"/>
    <s v="Female"/>
    <n v="9"/>
    <n v="46.87"/>
    <x v="1"/>
    <s v="PayPal"/>
    <n v="0"/>
    <n v="54.4"/>
    <n v="3"/>
    <n v="408.83"/>
    <n v="1"/>
    <x v="1"/>
    <x v="2"/>
    <x v="3"/>
    <x v="1"/>
    <x v="0"/>
  </r>
  <r>
    <n v="36"/>
    <n v="32"/>
    <s v="Male"/>
    <n v="12"/>
    <n v="22.22"/>
    <x v="1"/>
    <s v="PayPal"/>
    <n v="1"/>
    <n v="40.5"/>
    <n v="2"/>
    <n v="248.21"/>
    <n v="0"/>
    <x v="1"/>
    <x v="1"/>
    <x v="0"/>
    <x v="1"/>
    <x v="0"/>
  </r>
  <r>
    <n v="37"/>
    <n v="64"/>
    <s v="Male"/>
    <n v="1"/>
    <n v="69.819999999999993"/>
    <x v="2"/>
    <s v="Credit Card"/>
    <n v="1"/>
    <n v="16.600000000000001"/>
    <n v="3"/>
    <n v="63.19"/>
    <n v="0"/>
    <x v="0"/>
    <x v="3"/>
    <x v="2"/>
    <x v="1"/>
    <x v="1"/>
  </r>
  <r>
    <n v="38"/>
    <n v="68"/>
    <s v="Female"/>
    <n v="58"/>
    <n v="67.62"/>
    <x v="0"/>
    <s v="Bank Transfer"/>
    <n v="3"/>
    <n v="74.900000000000006"/>
    <n v="1"/>
    <n v="4036.34"/>
    <n v="0"/>
    <x v="0"/>
    <x v="0"/>
    <x v="2"/>
    <x v="1"/>
    <x v="0"/>
  </r>
  <r>
    <n v="39"/>
    <n v="61"/>
    <s v="Male"/>
    <n v="1"/>
    <n v="103.14"/>
    <x v="1"/>
    <s v="PayPal"/>
    <n v="2"/>
    <n v="27.4"/>
    <n v="6"/>
    <n v="105.96"/>
    <n v="1"/>
    <x v="0"/>
    <x v="3"/>
    <x v="1"/>
    <x v="0"/>
    <x v="2"/>
  </r>
  <r>
    <n v="40"/>
    <n v="69"/>
    <s v="Male"/>
    <n v="34"/>
    <n v="50.78"/>
    <x v="0"/>
    <s v="Credit Card"/>
    <n v="2"/>
    <n v="40.299999999999997"/>
    <n v="7"/>
    <n v="1671.48"/>
    <n v="0"/>
    <x v="1"/>
    <x v="0"/>
    <x v="3"/>
    <x v="2"/>
    <x v="0"/>
  </r>
  <r>
    <n v="41"/>
    <n v="20"/>
    <s v="Female"/>
    <n v="48"/>
    <n v="101.64"/>
    <x v="0"/>
    <s v="PayPal"/>
    <n v="3"/>
    <n v="10.9"/>
    <n v="2"/>
    <n v="4460.82"/>
    <n v="1"/>
    <x v="1"/>
    <x v="0"/>
    <x v="1"/>
    <x v="1"/>
    <x v="1"/>
  </r>
  <r>
    <n v="42"/>
    <n v="54"/>
    <s v="Male"/>
    <n v="1"/>
    <n v="116.8"/>
    <x v="1"/>
    <s v="Bank Transfer"/>
    <n v="0"/>
    <n v="81.099999999999994"/>
    <n v="8"/>
    <n v="114.69"/>
    <n v="1"/>
    <x v="1"/>
    <x v="3"/>
    <x v="1"/>
    <x v="2"/>
    <x v="3"/>
  </r>
  <r>
    <n v="43"/>
    <n v="68"/>
    <s v="Male"/>
    <n v="16"/>
    <n v="28.84"/>
    <x v="1"/>
    <s v="PayPal"/>
    <n v="2"/>
    <n v="77.8"/>
    <n v="6"/>
    <n v="444.02"/>
    <n v="1"/>
    <x v="1"/>
    <x v="1"/>
    <x v="0"/>
    <x v="0"/>
    <x v="0"/>
  </r>
  <r>
    <n v="44"/>
    <n v="24"/>
    <s v="Female"/>
    <n v="61"/>
    <n v="99.18"/>
    <x v="1"/>
    <s v="PayPal"/>
    <n v="4"/>
    <n v="74.7"/>
    <n v="4"/>
    <n v="6264.3"/>
    <n v="0"/>
    <x v="0"/>
    <x v="0"/>
    <x v="1"/>
    <x v="0"/>
    <x v="0"/>
  </r>
  <r>
    <n v="45"/>
    <n v="38"/>
    <s v="Female"/>
    <n v="64"/>
    <n v="79"/>
    <x v="1"/>
    <s v="PayPal"/>
    <n v="5"/>
    <n v="33.4"/>
    <n v="5"/>
    <n v="5162.96"/>
    <n v="1"/>
    <x v="0"/>
    <x v="0"/>
    <x v="2"/>
    <x v="0"/>
    <x v="2"/>
  </r>
  <r>
    <n v="46"/>
    <n v="26"/>
    <s v="Male"/>
    <n v="63"/>
    <n v="68"/>
    <x v="0"/>
    <s v="PayPal"/>
    <n v="4"/>
    <n v="21.5"/>
    <n v="8"/>
    <n v="4167.9799999999996"/>
    <n v="0"/>
    <x v="1"/>
    <x v="0"/>
    <x v="2"/>
    <x v="2"/>
    <x v="2"/>
  </r>
  <r>
    <n v="47"/>
    <n v="56"/>
    <s v="Male"/>
    <n v="69"/>
    <n v="62.05"/>
    <x v="2"/>
    <s v="Credit Card"/>
    <n v="0"/>
    <n v="65.599999999999994"/>
    <n v="3"/>
    <n v="4039.88"/>
    <n v="0"/>
    <x v="0"/>
    <x v="0"/>
    <x v="2"/>
    <x v="1"/>
    <x v="0"/>
  </r>
  <r>
    <n v="48"/>
    <n v="35"/>
    <s v="Female"/>
    <n v="22"/>
    <n v="98.47"/>
    <x v="1"/>
    <s v="Credit Card"/>
    <n v="1"/>
    <n v="52.1"/>
    <n v="3"/>
    <n v="2377.79"/>
    <n v="1"/>
    <x v="1"/>
    <x v="1"/>
    <x v="1"/>
    <x v="1"/>
    <x v="0"/>
  </r>
  <r>
    <n v="49"/>
    <n v="21"/>
    <s v="Female"/>
    <n v="67"/>
    <n v="83.94"/>
    <x v="1"/>
    <s v="Bank Transfer"/>
    <n v="3"/>
    <n v="21.9"/>
    <n v="4"/>
    <n v="5572.24"/>
    <n v="0"/>
    <x v="1"/>
    <x v="0"/>
    <x v="2"/>
    <x v="0"/>
    <x v="2"/>
  </r>
  <r>
    <n v="50"/>
    <n v="42"/>
    <s v="Female"/>
    <n v="26"/>
    <n v="100.5"/>
    <x v="1"/>
    <s v="Credit Card"/>
    <n v="2"/>
    <n v="70.2"/>
    <n v="1"/>
    <n v="2711.39"/>
    <n v="1"/>
    <x v="1"/>
    <x v="0"/>
    <x v="1"/>
    <x v="1"/>
    <x v="0"/>
  </r>
  <r>
    <n v="51"/>
    <n v="31"/>
    <s v="Female"/>
    <n v="16"/>
    <n v="110.32"/>
    <x v="1"/>
    <s v="Credit Card"/>
    <n v="3"/>
    <n v="99.2"/>
    <n v="9"/>
    <n v="1638.23"/>
    <n v="0"/>
    <x v="1"/>
    <x v="1"/>
    <x v="1"/>
    <x v="2"/>
    <x v="3"/>
  </r>
  <r>
    <n v="52"/>
    <n v="67"/>
    <s v="Male"/>
    <n v="51"/>
    <n v="81.73"/>
    <x v="0"/>
    <s v="Bank Transfer"/>
    <n v="1"/>
    <n v="76"/>
    <n v="8"/>
    <n v="4156.22"/>
    <n v="0"/>
    <x v="1"/>
    <x v="0"/>
    <x v="2"/>
    <x v="2"/>
    <x v="0"/>
  </r>
  <r>
    <n v="53"/>
    <n v="26"/>
    <s v="Female"/>
    <n v="57"/>
    <n v="118.05"/>
    <x v="1"/>
    <s v="Credit Card"/>
    <n v="2"/>
    <n v="75.3"/>
    <n v="8"/>
    <n v="6093.02"/>
    <n v="0"/>
    <x v="1"/>
    <x v="0"/>
    <x v="1"/>
    <x v="2"/>
    <x v="0"/>
  </r>
  <r>
    <n v="54"/>
    <n v="43"/>
    <s v="Female"/>
    <n v="29"/>
    <n v="80.81"/>
    <x v="1"/>
    <s v="Credit Card"/>
    <n v="1"/>
    <n v="95.3"/>
    <n v="10"/>
    <n v="2346.0500000000002"/>
    <n v="0"/>
    <x v="0"/>
    <x v="0"/>
    <x v="2"/>
    <x v="2"/>
    <x v="3"/>
  </r>
  <r>
    <n v="55"/>
    <n v="19"/>
    <s v="Male"/>
    <n v="69"/>
    <n v="83.66"/>
    <x v="1"/>
    <s v="Bank Transfer"/>
    <n v="1"/>
    <n v="24.3"/>
    <n v="6"/>
    <n v="6308.25"/>
    <n v="1"/>
    <x v="1"/>
    <x v="0"/>
    <x v="2"/>
    <x v="0"/>
    <x v="2"/>
  </r>
  <r>
    <n v="56"/>
    <n v="37"/>
    <s v="Female"/>
    <n v="47"/>
    <n v="75.48"/>
    <x v="0"/>
    <s v="Bank Transfer"/>
    <n v="1"/>
    <n v="58.7"/>
    <n v="7"/>
    <n v="3465.4"/>
    <n v="1"/>
    <x v="1"/>
    <x v="0"/>
    <x v="2"/>
    <x v="2"/>
    <x v="0"/>
  </r>
  <r>
    <n v="57"/>
    <n v="45"/>
    <s v="Male"/>
    <n v="62"/>
    <n v="29.1"/>
    <x v="1"/>
    <s v="Bank Transfer"/>
    <n v="3"/>
    <n v="98.1"/>
    <n v="6"/>
    <n v="1637.85"/>
    <n v="0"/>
    <x v="1"/>
    <x v="0"/>
    <x v="0"/>
    <x v="0"/>
    <x v="3"/>
  </r>
  <r>
    <n v="58"/>
    <n v="64"/>
    <s v="Female"/>
    <n v="69"/>
    <n v="92.64"/>
    <x v="0"/>
    <s v="PayPal"/>
    <n v="5"/>
    <n v="20.7"/>
    <n v="9"/>
    <n v="5792.52"/>
    <n v="0"/>
    <x v="1"/>
    <x v="0"/>
    <x v="1"/>
    <x v="2"/>
    <x v="2"/>
  </r>
  <r>
    <n v="59"/>
    <n v="24"/>
    <s v="Female"/>
    <n v="16"/>
    <n v="74.739999999999995"/>
    <x v="1"/>
    <s v="PayPal"/>
    <n v="2"/>
    <n v="71.5"/>
    <n v="3"/>
    <n v="1169.05"/>
    <n v="1"/>
    <x v="1"/>
    <x v="1"/>
    <x v="2"/>
    <x v="1"/>
    <x v="0"/>
  </r>
  <r>
    <n v="60"/>
    <n v="61"/>
    <s v="Female"/>
    <n v="48"/>
    <n v="65.09"/>
    <x v="0"/>
    <s v="Bank Transfer"/>
    <n v="3"/>
    <n v="60.7"/>
    <n v="3"/>
    <n v="2911.88"/>
    <n v="0"/>
    <x v="0"/>
    <x v="0"/>
    <x v="2"/>
    <x v="1"/>
    <x v="0"/>
  </r>
  <r>
    <n v="61"/>
    <n v="25"/>
    <s v="Male"/>
    <n v="39"/>
    <n v="111.05"/>
    <x v="0"/>
    <s v="Bank Transfer"/>
    <n v="3"/>
    <n v="60.7"/>
    <n v="3"/>
    <n v="3918.08"/>
    <n v="1"/>
    <x v="1"/>
    <x v="0"/>
    <x v="1"/>
    <x v="1"/>
    <x v="0"/>
  </r>
  <r>
    <n v="62"/>
    <n v="64"/>
    <s v="Male"/>
    <n v="33"/>
    <n v="49.8"/>
    <x v="1"/>
    <s v="Bank Transfer"/>
    <n v="3"/>
    <n v="71.3"/>
    <n v="10"/>
    <n v="1727.61"/>
    <n v="0"/>
    <x v="0"/>
    <x v="0"/>
    <x v="3"/>
    <x v="2"/>
    <x v="0"/>
  </r>
  <r>
    <n v="63"/>
    <n v="52"/>
    <s v="Female"/>
    <n v="23"/>
    <n v="72.36"/>
    <x v="1"/>
    <s v="PayPal"/>
    <n v="3"/>
    <n v="93.3"/>
    <n v="3"/>
    <n v="1650.47"/>
    <n v="1"/>
    <x v="1"/>
    <x v="1"/>
    <x v="2"/>
    <x v="1"/>
    <x v="3"/>
  </r>
  <r>
    <n v="64"/>
    <n v="31"/>
    <s v="Male"/>
    <n v="10"/>
    <n v="89.76"/>
    <x v="2"/>
    <s v="PayPal"/>
    <n v="2"/>
    <n v="79.3"/>
    <n v="9"/>
    <n v="859.77"/>
    <n v="0"/>
    <x v="1"/>
    <x v="2"/>
    <x v="2"/>
    <x v="2"/>
    <x v="0"/>
  </r>
  <r>
    <n v="65"/>
    <n v="34"/>
    <s v="Male"/>
    <n v="69"/>
    <n v="99.65"/>
    <x v="2"/>
    <s v="Credit Card"/>
    <n v="0"/>
    <n v="10.3"/>
    <n v="4"/>
    <n v="7426.03"/>
    <n v="1"/>
    <x v="1"/>
    <x v="0"/>
    <x v="1"/>
    <x v="0"/>
    <x v="1"/>
  </r>
  <r>
    <n v="66"/>
    <n v="53"/>
    <s v="Male"/>
    <n v="34"/>
    <n v="65.930000000000007"/>
    <x v="1"/>
    <s v="Credit Card"/>
    <n v="1"/>
    <n v="86"/>
    <n v="7"/>
    <n v="2069.5300000000002"/>
    <n v="1"/>
    <x v="1"/>
    <x v="0"/>
    <x v="2"/>
    <x v="2"/>
    <x v="3"/>
  </r>
  <r>
    <n v="67"/>
    <n v="67"/>
    <s v="Male"/>
    <n v="52"/>
    <n v="104.21"/>
    <x v="1"/>
    <s v="Bank Transfer"/>
    <n v="3"/>
    <n v="26.4"/>
    <n v="9"/>
    <n v="5913.04"/>
    <n v="1"/>
    <x v="1"/>
    <x v="0"/>
    <x v="1"/>
    <x v="2"/>
    <x v="2"/>
  </r>
  <r>
    <n v="68"/>
    <n v="57"/>
    <s v="Male"/>
    <n v="10"/>
    <n v="96.89"/>
    <x v="2"/>
    <s v="PayPal"/>
    <n v="0"/>
    <n v="40.799999999999997"/>
    <n v="7"/>
    <n v="932.85"/>
    <n v="1"/>
    <x v="1"/>
    <x v="2"/>
    <x v="1"/>
    <x v="2"/>
    <x v="0"/>
  </r>
  <r>
    <n v="69"/>
    <n v="21"/>
    <s v="Male"/>
    <n v="19"/>
    <n v="26.62"/>
    <x v="1"/>
    <s v="PayPal"/>
    <n v="2"/>
    <n v="48.9"/>
    <n v="9"/>
    <n v="545.07000000000005"/>
    <n v="0"/>
    <x v="1"/>
    <x v="1"/>
    <x v="0"/>
    <x v="2"/>
    <x v="0"/>
  </r>
  <r>
    <n v="70"/>
    <n v="19"/>
    <s v="Female"/>
    <n v="58"/>
    <n v="24.59"/>
    <x v="1"/>
    <s v="PayPal"/>
    <n v="1"/>
    <n v="50.7"/>
    <n v="3"/>
    <n v="1455.58"/>
    <n v="1"/>
    <x v="1"/>
    <x v="0"/>
    <x v="0"/>
    <x v="1"/>
    <x v="0"/>
  </r>
  <r>
    <n v="71"/>
    <n v="23"/>
    <s v="Female"/>
    <n v="1"/>
    <n v="82.08"/>
    <x v="2"/>
    <s v="Bank Transfer"/>
    <n v="3"/>
    <n v="46.3"/>
    <n v="4"/>
    <n v="87.44"/>
    <n v="0"/>
    <x v="0"/>
    <x v="3"/>
    <x v="2"/>
    <x v="0"/>
    <x v="0"/>
  </r>
  <r>
    <n v="72"/>
    <n v="59"/>
    <s v="Male"/>
    <n v="69"/>
    <n v="54.74"/>
    <x v="1"/>
    <s v="Credit Card"/>
    <n v="2"/>
    <n v="94"/>
    <n v="8"/>
    <n v="4142.6899999999996"/>
    <n v="1"/>
    <x v="1"/>
    <x v="0"/>
    <x v="3"/>
    <x v="2"/>
    <x v="3"/>
  </r>
  <r>
    <n v="73"/>
    <n v="21"/>
    <s v="Female"/>
    <n v="4"/>
    <n v="40.909999999999997"/>
    <x v="1"/>
    <s v="Bank Transfer"/>
    <n v="2"/>
    <n v="72.099999999999994"/>
    <n v="6"/>
    <n v="156.71"/>
    <n v="1"/>
    <x v="0"/>
    <x v="3"/>
    <x v="3"/>
    <x v="0"/>
    <x v="0"/>
  </r>
  <r>
    <n v="74"/>
    <n v="46"/>
    <s v="Female"/>
    <n v="16"/>
    <n v="77.959999999999994"/>
    <x v="1"/>
    <s v="Credit Card"/>
    <n v="1"/>
    <n v="65"/>
    <n v="5"/>
    <n v="1362.4"/>
    <n v="1"/>
    <x v="1"/>
    <x v="1"/>
    <x v="2"/>
    <x v="0"/>
    <x v="0"/>
  </r>
  <r>
    <n v="75"/>
    <n v="35"/>
    <s v="Female"/>
    <n v="24"/>
    <n v="54.16"/>
    <x v="1"/>
    <s v="Credit Card"/>
    <n v="3"/>
    <n v="9.6999999999999993"/>
    <n v="4"/>
    <n v="1271.1099999999999"/>
    <n v="1"/>
    <x v="1"/>
    <x v="0"/>
    <x v="3"/>
    <x v="0"/>
    <x v="1"/>
  </r>
  <r>
    <n v="76"/>
    <n v="43"/>
    <s v="Female"/>
    <n v="2"/>
    <n v="73.73"/>
    <x v="1"/>
    <s v="Bank Transfer"/>
    <n v="2"/>
    <n v="90.9"/>
    <n v="8"/>
    <n v="144.08000000000001"/>
    <n v="1"/>
    <x v="0"/>
    <x v="3"/>
    <x v="2"/>
    <x v="2"/>
    <x v="3"/>
  </r>
  <r>
    <n v="77"/>
    <n v="61"/>
    <s v="Male"/>
    <n v="32"/>
    <n v="66.010000000000005"/>
    <x v="0"/>
    <s v="Credit Card"/>
    <n v="3"/>
    <n v="91.4"/>
    <n v="1"/>
    <n v="2044.89"/>
    <n v="0"/>
    <x v="1"/>
    <x v="0"/>
    <x v="2"/>
    <x v="1"/>
    <x v="3"/>
  </r>
  <r>
    <n v="78"/>
    <n v="51"/>
    <s v="Female"/>
    <n v="24"/>
    <n v="78.48"/>
    <x v="1"/>
    <s v="Credit Card"/>
    <n v="3"/>
    <n v="79.099999999999994"/>
    <n v="9"/>
    <n v="1899.12"/>
    <n v="0"/>
    <x v="1"/>
    <x v="0"/>
    <x v="2"/>
    <x v="2"/>
    <x v="0"/>
  </r>
  <r>
    <n v="79"/>
    <n v="27"/>
    <s v="Female"/>
    <n v="12"/>
    <n v="60.03"/>
    <x v="1"/>
    <s v="PayPal"/>
    <n v="1"/>
    <n v="5.7"/>
    <n v="1"/>
    <n v="670.53"/>
    <n v="1"/>
    <x v="1"/>
    <x v="1"/>
    <x v="2"/>
    <x v="1"/>
    <x v="1"/>
  </r>
  <r>
    <n v="80"/>
    <n v="53"/>
    <s v="Male"/>
    <n v="50"/>
    <n v="89.77"/>
    <x v="1"/>
    <s v="Credit Card"/>
    <n v="1"/>
    <n v="10.4"/>
    <n v="8"/>
    <n v="4536.72"/>
    <n v="0"/>
    <x v="0"/>
    <x v="0"/>
    <x v="2"/>
    <x v="2"/>
    <x v="1"/>
  </r>
  <r>
    <n v="81"/>
    <n v="31"/>
    <s v="Male"/>
    <n v="35"/>
    <n v="38.01"/>
    <x v="1"/>
    <s v="Bank Transfer"/>
    <n v="2"/>
    <n v="26.4"/>
    <n v="4"/>
    <n v="1341.45"/>
    <n v="1"/>
    <x v="1"/>
    <x v="0"/>
    <x v="3"/>
    <x v="0"/>
    <x v="2"/>
  </r>
  <r>
    <n v="82"/>
    <n v="48"/>
    <s v="Female"/>
    <n v="33"/>
    <n v="89.65"/>
    <x v="2"/>
    <s v="Bank Transfer"/>
    <n v="0"/>
    <n v="17.5"/>
    <n v="9"/>
    <n v="3113.41"/>
    <n v="1"/>
    <x v="1"/>
    <x v="0"/>
    <x v="2"/>
    <x v="2"/>
    <x v="1"/>
  </r>
  <r>
    <n v="83"/>
    <n v="65"/>
    <s v="Female"/>
    <n v="33"/>
    <n v="61.17"/>
    <x v="1"/>
    <s v="Credit Card"/>
    <n v="0"/>
    <n v="42.9"/>
    <n v="5"/>
    <n v="2153.31"/>
    <n v="0"/>
    <x v="0"/>
    <x v="0"/>
    <x v="2"/>
    <x v="0"/>
    <x v="0"/>
  </r>
  <r>
    <n v="84"/>
    <n v="32"/>
    <s v="Female"/>
    <n v="61"/>
    <n v="107.43"/>
    <x v="1"/>
    <s v="PayPal"/>
    <n v="3"/>
    <n v="92.6"/>
    <n v="3"/>
    <n v="6475.17"/>
    <n v="0"/>
    <x v="1"/>
    <x v="0"/>
    <x v="1"/>
    <x v="1"/>
    <x v="3"/>
  </r>
  <r>
    <n v="85"/>
    <n v="25"/>
    <s v="Female"/>
    <n v="51"/>
    <n v="71.52"/>
    <x v="2"/>
    <s v="PayPal"/>
    <n v="1"/>
    <n v="49.8"/>
    <n v="9"/>
    <n v="3503.32"/>
    <n v="0"/>
    <x v="1"/>
    <x v="0"/>
    <x v="2"/>
    <x v="2"/>
    <x v="0"/>
  </r>
  <r>
    <n v="86"/>
    <n v="31"/>
    <s v="Female"/>
    <n v="43"/>
    <n v="117.31"/>
    <x v="1"/>
    <s v="Credit Card"/>
    <n v="3"/>
    <n v="6.3"/>
    <n v="9"/>
    <n v="4801.53"/>
    <n v="0"/>
    <x v="0"/>
    <x v="0"/>
    <x v="1"/>
    <x v="2"/>
    <x v="1"/>
  </r>
  <r>
    <n v="87"/>
    <n v="40"/>
    <s v="Female"/>
    <n v="12"/>
    <n v="80.19"/>
    <x v="1"/>
    <s v="Credit Card"/>
    <n v="2"/>
    <n v="31.9"/>
    <n v="4"/>
    <n v="903.51"/>
    <n v="1"/>
    <x v="1"/>
    <x v="1"/>
    <x v="2"/>
    <x v="0"/>
    <x v="2"/>
  </r>
  <r>
    <n v="88"/>
    <n v="57"/>
    <s v="Male"/>
    <n v="67"/>
    <n v="42.38"/>
    <x v="1"/>
    <s v="Bank Transfer"/>
    <n v="0"/>
    <n v="9.1999999999999993"/>
    <n v="4"/>
    <n v="2588.25"/>
    <n v="0"/>
    <x v="1"/>
    <x v="0"/>
    <x v="3"/>
    <x v="0"/>
    <x v="1"/>
  </r>
  <r>
    <n v="89"/>
    <n v="38"/>
    <s v="Female"/>
    <n v="65"/>
    <n v="102.18"/>
    <x v="1"/>
    <s v="Credit Card"/>
    <n v="0"/>
    <n v="8.4"/>
    <n v="8"/>
    <n v="6432.42"/>
    <n v="0"/>
    <x v="1"/>
    <x v="0"/>
    <x v="1"/>
    <x v="2"/>
    <x v="1"/>
  </r>
  <r>
    <n v="90"/>
    <n v="33"/>
    <s v="Female"/>
    <n v="33"/>
    <n v="54.51"/>
    <x v="1"/>
    <s v="PayPal"/>
    <n v="1"/>
    <n v="31.2"/>
    <n v="2"/>
    <n v="1716.17"/>
    <n v="1"/>
    <x v="1"/>
    <x v="0"/>
    <x v="3"/>
    <x v="1"/>
    <x v="2"/>
  </r>
  <r>
    <n v="91"/>
    <n v="62"/>
    <s v="Male"/>
    <n v="40"/>
    <n v="54.76"/>
    <x v="1"/>
    <s v="Credit Card"/>
    <n v="1"/>
    <n v="31.2"/>
    <n v="9"/>
    <n v="2394.73"/>
    <n v="0"/>
    <x v="1"/>
    <x v="0"/>
    <x v="3"/>
    <x v="2"/>
    <x v="2"/>
  </r>
  <r>
    <n v="92"/>
    <n v="35"/>
    <s v="Male"/>
    <n v="43"/>
    <n v="23.18"/>
    <x v="0"/>
    <s v="Bank Transfer"/>
    <n v="2"/>
    <n v="79.8"/>
    <n v="6"/>
    <n v="1008.24"/>
    <n v="1"/>
    <x v="1"/>
    <x v="0"/>
    <x v="0"/>
    <x v="0"/>
    <x v="0"/>
  </r>
  <r>
    <n v="93"/>
    <n v="64"/>
    <s v="Male"/>
    <n v="44"/>
    <n v="74.87"/>
    <x v="1"/>
    <s v="Bank Transfer"/>
    <n v="2"/>
    <n v="97.6"/>
    <n v="9"/>
    <n v="3193.66"/>
    <n v="1"/>
    <x v="1"/>
    <x v="0"/>
    <x v="2"/>
    <x v="2"/>
    <x v="3"/>
  </r>
  <r>
    <n v="94"/>
    <n v="41"/>
    <s v="Male"/>
    <n v="29"/>
    <n v="73.44"/>
    <x v="1"/>
    <s v="Bank Transfer"/>
    <n v="3"/>
    <n v="40.299999999999997"/>
    <n v="8"/>
    <n v="2164.04"/>
    <n v="0"/>
    <x v="1"/>
    <x v="0"/>
    <x v="2"/>
    <x v="2"/>
    <x v="0"/>
  </r>
  <r>
    <n v="95"/>
    <n v="43"/>
    <s v="Female"/>
    <n v="13"/>
    <n v="55.6"/>
    <x v="0"/>
    <s v="Bank Transfer"/>
    <n v="3"/>
    <n v="45.7"/>
    <n v="7"/>
    <n v="670.64"/>
    <n v="0"/>
    <x v="1"/>
    <x v="1"/>
    <x v="3"/>
    <x v="2"/>
    <x v="0"/>
  </r>
  <r>
    <n v="96"/>
    <n v="42"/>
    <s v="Female"/>
    <n v="12"/>
    <n v="109.42"/>
    <x v="1"/>
    <s v="Bank Transfer"/>
    <n v="0"/>
    <n v="85.3"/>
    <n v="1"/>
    <n v="1298.3499999999999"/>
    <n v="1"/>
    <x v="0"/>
    <x v="1"/>
    <x v="1"/>
    <x v="1"/>
    <x v="3"/>
  </r>
  <r>
    <n v="97"/>
    <n v="62"/>
    <s v="Female"/>
    <n v="46"/>
    <n v="32.869999999999997"/>
    <x v="0"/>
    <s v="Credit Card"/>
    <n v="6"/>
    <n v="30.5"/>
    <n v="3"/>
    <n v="1550.19"/>
    <n v="1"/>
    <x v="1"/>
    <x v="0"/>
    <x v="3"/>
    <x v="1"/>
    <x v="2"/>
  </r>
  <r>
    <n v="98"/>
    <n v="58"/>
    <s v="Female"/>
    <n v="2"/>
    <n v="53.01"/>
    <x v="1"/>
    <s v="Credit Card"/>
    <n v="1"/>
    <n v="19.899999999999999"/>
    <n v="2"/>
    <n v="105.78"/>
    <n v="1"/>
    <x v="0"/>
    <x v="3"/>
    <x v="3"/>
    <x v="1"/>
    <x v="1"/>
  </r>
  <r>
    <n v="99"/>
    <n v="46"/>
    <s v="Female"/>
    <n v="35"/>
    <n v="52.16"/>
    <x v="1"/>
    <s v="Credit Card"/>
    <n v="4"/>
    <n v="86"/>
    <n v="5"/>
    <n v="1789.74"/>
    <n v="1"/>
    <x v="1"/>
    <x v="0"/>
    <x v="3"/>
    <x v="0"/>
    <x v="3"/>
  </r>
  <r>
    <n v="100"/>
    <n v="32"/>
    <s v="Female"/>
    <n v="8"/>
    <n v="29.23"/>
    <x v="0"/>
    <s v="Credit Card"/>
    <n v="0"/>
    <n v="9.4"/>
    <n v="5"/>
    <n v="256.94"/>
    <n v="0"/>
    <x v="1"/>
    <x v="2"/>
    <x v="0"/>
    <x v="0"/>
    <x v="1"/>
  </r>
  <r>
    <n v="101"/>
    <n v="62"/>
    <s v="Male"/>
    <n v="26"/>
    <n v="68.11"/>
    <x v="1"/>
    <s v="Bank Transfer"/>
    <n v="1"/>
    <n v="63.9"/>
    <n v="5"/>
    <n v="1905.56"/>
    <n v="0"/>
    <x v="1"/>
    <x v="0"/>
    <x v="2"/>
    <x v="0"/>
    <x v="0"/>
  </r>
  <r>
    <n v="102"/>
    <n v="18"/>
    <s v="Female"/>
    <n v="34"/>
    <n v="88.78"/>
    <x v="1"/>
    <s v="PayPal"/>
    <n v="6"/>
    <n v="58.4"/>
    <n v="4"/>
    <n v="3093.02"/>
    <n v="1"/>
    <x v="1"/>
    <x v="0"/>
    <x v="2"/>
    <x v="0"/>
    <x v="0"/>
  </r>
  <r>
    <n v="103"/>
    <n v="42"/>
    <s v="Male"/>
    <n v="7"/>
    <n v="71.17"/>
    <x v="1"/>
    <s v="Credit Card"/>
    <n v="2"/>
    <n v="37.9"/>
    <n v="5"/>
    <n v="505.1"/>
    <n v="1"/>
    <x v="0"/>
    <x v="2"/>
    <x v="2"/>
    <x v="0"/>
    <x v="2"/>
  </r>
  <r>
    <n v="104"/>
    <n v="24"/>
    <s v="Male"/>
    <n v="68"/>
    <n v="35.700000000000003"/>
    <x v="1"/>
    <s v="PayPal"/>
    <n v="2"/>
    <n v="34.9"/>
    <n v="3"/>
    <n v="2486.1799999999998"/>
    <n v="1"/>
    <x v="0"/>
    <x v="0"/>
    <x v="3"/>
    <x v="1"/>
    <x v="2"/>
  </r>
  <r>
    <n v="105"/>
    <n v="26"/>
    <s v="Female"/>
    <n v="58"/>
    <n v="57.73"/>
    <x v="0"/>
    <s v="Credit Card"/>
    <n v="2"/>
    <n v="78.3"/>
    <n v="1"/>
    <n v="3148.32"/>
    <n v="1"/>
    <x v="0"/>
    <x v="0"/>
    <x v="3"/>
    <x v="1"/>
    <x v="0"/>
  </r>
  <r>
    <n v="106"/>
    <n v="41"/>
    <s v="Male"/>
    <n v="29"/>
    <n v="20.260000000000002"/>
    <x v="1"/>
    <s v="Credit Card"/>
    <n v="3"/>
    <n v="13.2"/>
    <n v="5"/>
    <n v="575.22"/>
    <n v="0"/>
    <x v="1"/>
    <x v="0"/>
    <x v="0"/>
    <x v="0"/>
    <x v="1"/>
  </r>
  <r>
    <n v="107"/>
    <n v="18"/>
    <s v="Female"/>
    <n v="36"/>
    <n v="106.83"/>
    <x v="1"/>
    <s v="PayPal"/>
    <n v="0"/>
    <n v="27.5"/>
    <n v="9"/>
    <n v="3491.64"/>
    <n v="0"/>
    <x v="0"/>
    <x v="0"/>
    <x v="1"/>
    <x v="2"/>
    <x v="2"/>
  </r>
  <r>
    <n v="108"/>
    <n v="61"/>
    <s v="Male"/>
    <n v="21"/>
    <n v="28.45"/>
    <x v="1"/>
    <s v="Bank Transfer"/>
    <n v="1"/>
    <n v="74.599999999999994"/>
    <n v="9"/>
    <n v="594.53"/>
    <n v="0"/>
    <x v="1"/>
    <x v="1"/>
    <x v="0"/>
    <x v="2"/>
    <x v="0"/>
  </r>
  <r>
    <n v="109"/>
    <n v="25"/>
    <s v="Female"/>
    <n v="36"/>
    <n v="79.73"/>
    <x v="0"/>
    <s v="Credit Card"/>
    <n v="3"/>
    <n v="57.1"/>
    <n v="4"/>
    <n v="2894.98"/>
    <n v="1"/>
    <x v="1"/>
    <x v="0"/>
    <x v="2"/>
    <x v="0"/>
    <x v="0"/>
  </r>
  <r>
    <n v="110"/>
    <n v="41"/>
    <s v="Male"/>
    <n v="10"/>
    <n v="118.63"/>
    <x v="1"/>
    <s v="Credit Card"/>
    <n v="4"/>
    <n v="17.2"/>
    <n v="3"/>
    <n v="1121.71"/>
    <n v="0"/>
    <x v="0"/>
    <x v="2"/>
    <x v="1"/>
    <x v="1"/>
    <x v="1"/>
  </r>
  <r>
    <n v="111"/>
    <n v="28"/>
    <s v="Female"/>
    <n v="24"/>
    <n v="73.66"/>
    <x v="2"/>
    <s v="Credit Card"/>
    <n v="1"/>
    <n v="88.8"/>
    <n v="1"/>
    <n v="1931.91"/>
    <n v="0"/>
    <x v="1"/>
    <x v="0"/>
    <x v="2"/>
    <x v="1"/>
    <x v="3"/>
  </r>
  <r>
    <n v="112"/>
    <n v="68"/>
    <s v="Female"/>
    <n v="64"/>
    <n v="112.4"/>
    <x v="1"/>
    <s v="PayPal"/>
    <n v="1"/>
    <n v="42.4"/>
    <n v="2"/>
    <n v="7782.69"/>
    <n v="0"/>
    <x v="1"/>
    <x v="0"/>
    <x v="1"/>
    <x v="1"/>
    <x v="0"/>
  </r>
  <r>
    <n v="113"/>
    <n v="34"/>
    <s v="Female"/>
    <n v="49"/>
    <n v="43.61"/>
    <x v="0"/>
    <s v="Bank Transfer"/>
    <n v="3"/>
    <n v="83.6"/>
    <n v="8"/>
    <n v="2231.83"/>
    <n v="0"/>
    <x v="1"/>
    <x v="0"/>
    <x v="3"/>
    <x v="2"/>
    <x v="3"/>
  </r>
  <r>
    <n v="114"/>
    <n v="25"/>
    <s v="Female"/>
    <n v="36"/>
    <n v="96"/>
    <x v="2"/>
    <s v="PayPal"/>
    <n v="4"/>
    <n v="79.8"/>
    <n v="1"/>
    <n v="3479.08"/>
    <n v="1"/>
    <x v="1"/>
    <x v="0"/>
    <x v="1"/>
    <x v="1"/>
    <x v="0"/>
  </r>
  <r>
    <n v="115"/>
    <n v="52"/>
    <s v="Female"/>
    <n v="24"/>
    <n v="73.13"/>
    <x v="0"/>
    <s v="PayPal"/>
    <n v="3"/>
    <n v="64.3"/>
    <n v="8"/>
    <n v="1884.99"/>
    <n v="0"/>
    <x v="1"/>
    <x v="0"/>
    <x v="2"/>
    <x v="2"/>
    <x v="0"/>
  </r>
  <r>
    <n v="116"/>
    <n v="52"/>
    <s v="Male"/>
    <n v="23"/>
    <n v="92.05"/>
    <x v="2"/>
    <s v="Bank Transfer"/>
    <n v="1"/>
    <n v="52"/>
    <n v="7"/>
    <n v="1960.76"/>
    <n v="1"/>
    <x v="1"/>
    <x v="1"/>
    <x v="1"/>
    <x v="2"/>
    <x v="0"/>
  </r>
  <r>
    <n v="117"/>
    <n v="50"/>
    <s v="Male"/>
    <n v="62"/>
    <n v="26.23"/>
    <x v="1"/>
    <s v="PayPal"/>
    <n v="1"/>
    <n v="98.1"/>
    <n v="8"/>
    <n v="1720.75"/>
    <n v="1"/>
    <x v="1"/>
    <x v="0"/>
    <x v="0"/>
    <x v="2"/>
    <x v="3"/>
  </r>
  <r>
    <n v="118"/>
    <n v="22"/>
    <s v="Male"/>
    <n v="37"/>
    <n v="34.770000000000003"/>
    <x v="1"/>
    <s v="Bank Transfer"/>
    <n v="4"/>
    <n v="18.8"/>
    <n v="6"/>
    <n v="1189.96"/>
    <n v="1"/>
    <x v="1"/>
    <x v="0"/>
    <x v="3"/>
    <x v="0"/>
    <x v="1"/>
  </r>
  <r>
    <n v="119"/>
    <n v="59"/>
    <s v="Female"/>
    <n v="12"/>
    <n v="33.31"/>
    <x v="1"/>
    <s v="Credit Card"/>
    <n v="0"/>
    <n v="73.900000000000006"/>
    <n v="9"/>
    <n v="423.24"/>
    <n v="0"/>
    <x v="1"/>
    <x v="1"/>
    <x v="3"/>
    <x v="2"/>
    <x v="0"/>
  </r>
  <r>
    <n v="120"/>
    <n v="56"/>
    <s v="Male"/>
    <n v="55"/>
    <n v="88.72"/>
    <x v="1"/>
    <s v="Bank Transfer"/>
    <n v="4"/>
    <n v="23.2"/>
    <n v="3"/>
    <n v="4660.7700000000004"/>
    <n v="0"/>
    <x v="1"/>
    <x v="0"/>
    <x v="2"/>
    <x v="1"/>
    <x v="2"/>
  </r>
  <r>
    <n v="121"/>
    <n v="58"/>
    <s v="Female"/>
    <n v="13"/>
    <n v="104.44"/>
    <x v="1"/>
    <s v="Credit Card"/>
    <n v="0"/>
    <n v="37.1"/>
    <n v="10"/>
    <n v="1460.12"/>
    <n v="0"/>
    <x v="0"/>
    <x v="1"/>
    <x v="1"/>
    <x v="2"/>
    <x v="2"/>
  </r>
  <r>
    <n v="122"/>
    <n v="45"/>
    <s v="Female"/>
    <n v="23"/>
    <n v="94.96"/>
    <x v="1"/>
    <s v="PayPal"/>
    <n v="2"/>
    <n v="34.299999999999997"/>
    <n v="4"/>
    <n v="2378.04"/>
    <n v="1"/>
    <x v="1"/>
    <x v="1"/>
    <x v="1"/>
    <x v="0"/>
    <x v="2"/>
  </r>
  <r>
    <n v="123"/>
    <n v="24"/>
    <s v="Male"/>
    <n v="30"/>
    <n v="23.05"/>
    <x v="1"/>
    <s v="PayPal"/>
    <n v="2"/>
    <n v="95"/>
    <n v="6"/>
    <n v="642.92999999999995"/>
    <n v="0"/>
    <x v="0"/>
    <x v="0"/>
    <x v="0"/>
    <x v="0"/>
    <x v="3"/>
  </r>
  <r>
    <n v="124"/>
    <n v="26"/>
    <s v="Male"/>
    <n v="17"/>
    <n v="106.72"/>
    <x v="1"/>
    <s v="Credit Card"/>
    <n v="2"/>
    <n v="96.9"/>
    <n v="8"/>
    <n v="1800.7"/>
    <n v="0"/>
    <x v="1"/>
    <x v="1"/>
    <x v="1"/>
    <x v="2"/>
    <x v="3"/>
  </r>
  <r>
    <n v="125"/>
    <n v="25"/>
    <s v="Female"/>
    <n v="62"/>
    <n v="55.41"/>
    <x v="2"/>
    <s v="PayPal"/>
    <n v="3"/>
    <n v="22.4"/>
    <n v="5"/>
    <n v="3765.9"/>
    <n v="0"/>
    <x v="0"/>
    <x v="0"/>
    <x v="3"/>
    <x v="0"/>
    <x v="2"/>
  </r>
  <r>
    <n v="126"/>
    <n v="29"/>
    <s v="Male"/>
    <n v="13"/>
    <n v="59.72"/>
    <x v="1"/>
    <s v="Bank Transfer"/>
    <n v="0"/>
    <n v="7.1"/>
    <n v="3"/>
    <n v="773.78"/>
    <n v="0"/>
    <x v="1"/>
    <x v="1"/>
    <x v="3"/>
    <x v="1"/>
    <x v="1"/>
  </r>
  <r>
    <n v="127"/>
    <n v="51"/>
    <s v="Female"/>
    <n v="59"/>
    <n v="30.49"/>
    <x v="0"/>
    <s v="Credit Card"/>
    <n v="4"/>
    <n v="73.400000000000006"/>
    <n v="6"/>
    <n v="1929.71"/>
    <n v="0"/>
    <x v="1"/>
    <x v="0"/>
    <x v="3"/>
    <x v="0"/>
    <x v="0"/>
  </r>
  <r>
    <n v="128"/>
    <n v="50"/>
    <s v="Female"/>
    <n v="19"/>
    <n v="93.74"/>
    <x v="0"/>
    <s v="PayPal"/>
    <n v="1"/>
    <n v="44.7"/>
    <n v="4"/>
    <n v="1812.67"/>
    <n v="0"/>
    <x v="1"/>
    <x v="1"/>
    <x v="1"/>
    <x v="0"/>
    <x v="0"/>
  </r>
  <r>
    <n v="129"/>
    <n v="65"/>
    <s v="Female"/>
    <n v="49"/>
    <n v="38.229999999999997"/>
    <x v="2"/>
    <s v="Credit Card"/>
    <n v="3"/>
    <n v="13.4"/>
    <n v="9"/>
    <n v="1826.56"/>
    <n v="1"/>
    <x v="0"/>
    <x v="0"/>
    <x v="3"/>
    <x v="2"/>
    <x v="1"/>
  </r>
  <r>
    <n v="130"/>
    <n v="40"/>
    <s v="Female"/>
    <n v="12"/>
    <n v="76.400000000000006"/>
    <x v="0"/>
    <s v="Bank Transfer"/>
    <n v="3"/>
    <n v="70"/>
    <n v="3"/>
    <n v="877.52"/>
    <n v="1"/>
    <x v="1"/>
    <x v="1"/>
    <x v="2"/>
    <x v="1"/>
    <x v="0"/>
  </r>
  <r>
    <n v="131"/>
    <n v="41"/>
    <s v="Female"/>
    <n v="61"/>
    <n v="104.07"/>
    <x v="0"/>
    <s v="Bank Transfer"/>
    <n v="2"/>
    <n v="56.8"/>
    <n v="4"/>
    <n v="5971.47"/>
    <n v="1"/>
    <x v="0"/>
    <x v="0"/>
    <x v="1"/>
    <x v="0"/>
    <x v="0"/>
  </r>
  <r>
    <n v="132"/>
    <n v="54"/>
    <s v="Male"/>
    <n v="19"/>
    <n v="28.92"/>
    <x v="2"/>
    <s v="PayPal"/>
    <n v="1"/>
    <n v="98.1"/>
    <n v="7"/>
    <n v="578.25"/>
    <n v="1"/>
    <x v="1"/>
    <x v="1"/>
    <x v="0"/>
    <x v="2"/>
    <x v="3"/>
  </r>
  <r>
    <n v="133"/>
    <n v="52"/>
    <s v="Male"/>
    <n v="9"/>
    <n v="73.53"/>
    <x v="2"/>
    <s v="Bank Transfer"/>
    <n v="2"/>
    <n v="26.6"/>
    <n v="7"/>
    <n v="646.75"/>
    <n v="1"/>
    <x v="1"/>
    <x v="2"/>
    <x v="2"/>
    <x v="2"/>
    <x v="2"/>
  </r>
  <r>
    <n v="134"/>
    <n v="61"/>
    <s v="Female"/>
    <n v="71"/>
    <n v="43.32"/>
    <x v="1"/>
    <s v="Credit Card"/>
    <n v="1"/>
    <n v="43.4"/>
    <n v="4"/>
    <n v="3082.66"/>
    <n v="1"/>
    <x v="0"/>
    <x v="0"/>
    <x v="3"/>
    <x v="0"/>
    <x v="0"/>
  </r>
  <r>
    <n v="135"/>
    <n v="57"/>
    <s v="Female"/>
    <n v="28"/>
    <n v="54.29"/>
    <x v="1"/>
    <s v="Bank Transfer"/>
    <n v="1"/>
    <n v="56.5"/>
    <n v="6"/>
    <n v="1517.79"/>
    <n v="0"/>
    <x v="1"/>
    <x v="0"/>
    <x v="3"/>
    <x v="0"/>
    <x v="0"/>
  </r>
  <r>
    <n v="136"/>
    <n v="39"/>
    <s v="Male"/>
    <n v="52"/>
    <n v="67.400000000000006"/>
    <x v="1"/>
    <s v="Credit Card"/>
    <n v="1"/>
    <n v="80.2"/>
    <n v="3"/>
    <n v="3558.97"/>
    <n v="1"/>
    <x v="1"/>
    <x v="0"/>
    <x v="2"/>
    <x v="1"/>
    <x v="3"/>
  </r>
  <r>
    <n v="137"/>
    <n v="44"/>
    <s v="Male"/>
    <n v="16"/>
    <n v="55.51"/>
    <x v="1"/>
    <s v="Credit Card"/>
    <n v="2"/>
    <n v="57.1"/>
    <n v="6"/>
    <n v="953.1"/>
    <n v="1"/>
    <x v="1"/>
    <x v="1"/>
    <x v="3"/>
    <x v="0"/>
    <x v="0"/>
  </r>
  <r>
    <n v="138"/>
    <n v="52"/>
    <s v="Female"/>
    <n v="69"/>
    <n v="84.88"/>
    <x v="0"/>
    <s v="Bank Transfer"/>
    <n v="1"/>
    <n v="63.2"/>
    <n v="2"/>
    <n v="6419.83"/>
    <n v="0"/>
    <x v="1"/>
    <x v="0"/>
    <x v="2"/>
    <x v="1"/>
    <x v="0"/>
  </r>
  <r>
    <n v="139"/>
    <n v="18"/>
    <s v="Male"/>
    <n v="12"/>
    <n v="67.959999999999994"/>
    <x v="0"/>
    <s v="PayPal"/>
    <n v="3"/>
    <n v="26.5"/>
    <n v="8"/>
    <n v="800.45"/>
    <n v="0"/>
    <x v="1"/>
    <x v="1"/>
    <x v="2"/>
    <x v="2"/>
    <x v="2"/>
  </r>
  <r>
    <n v="140"/>
    <n v="52"/>
    <s v="Female"/>
    <n v="25"/>
    <n v="78.42"/>
    <x v="0"/>
    <s v="Bank Transfer"/>
    <n v="1"/>
    <n v="85.5"/>
    <n v="2"/>
    <n v="2088.92"/>
    <n v="1"/>
    <x v="1"/>
    <x v="0"/>
    <x v="2"/>
    <x v="1"/>
    <x v="3"/>
  </r>
  <r>
    <n v="141"/>
    <n v="54"/>
    <s v="Male"/>
    <n v="52"/>
    <n v="93.68"/>
    <x v="1"/>
    <s v="Credit Card"/>
    <n v="3"/>
    <n v="45.7"/>
    <n v="7"/>
    <n v="5129.08"/>
    <n v="0"/>
    <x v="0"/>
    <x v="0"/>
    <x v="1"/>
    <x v="2"/>
    <x v="0"/>
  </r>
  <r>
    <n v="142"/>
    <n v="64"/>
    <s v="Female"/>
    <n v="53"/>
    <n v="75.77"/>
    <x v="2"/>
    <s v="Credit Card"/>
    <n v="3"/>
    <n v="18.399999999999999"/>
    <n v="9"/>
    <n v="4074.87"/>
    <n v="0"/>
    <x v="0"/>
    <x v="0"/>
    <x v="2"/>
    <x v="2"/>
    <x v="1"/>
  </r>
  <r>
    <n v="143"/>
    <n v="31"/>
    <s v="Male"/>
    <n v="23"/>
    <n v="78.650000000000006"/>
    <x v="0"/>
    <s v="Bank Transfer"/>
    <n v="2"/>
    <n v="68.099999999999994"/>
    <n v="1"/>
    <n v="1973.94"/>
    <n v="1"/>
    <x v="1"/>
    <x v="1"/>
    <x v="2"/>
    <x v="1"/>
    <x v="0"/>
  </r>
  <r>
    <n v="144"/>
    <n v="20"/>
    <s v="Female"/>
    <n v="16"/>
    <n v="76.45"/>
    <x v="0"/>
    <s v="PayPal"/>
    <n v="2"/>
    <n v="25.5"/>
    <n v="8"/>
    <n v="1149.92"/>
    <n v="0"/>
    <x v="0"/>
    <x v="1"/>
    <x v="2"/>
    <x v="2"/>
    <x v="2"/>
  </r>
  <r>
    <n v="145"/>
    <n v="18"/>
    <s v="Male"/>
    <n v="57"/>
    <n v="57.88"/>
    <x v="2"/>
    <s v="PayPal"/>
    <n v="2"/>
    <n v="14.3"/>
    <n v="7"/>
    <n v="3041.34"/>
    <n v="0"/>
    <x v="1"/>
    <x v="0"/>
    <x v="3"/>
    <x v="2"/>
    <x v="1"/>
  </r>
  <r>
    <n v="146"/>
    <n v="22"/>
    <s v="Male"/>
    <n v="39"/>
    <n v="53.74"/>
    <x v="0"/>
    <s v="Credit Card"/>
    <n v="2"/>
    <n v="86.9"/>
    <n v="6"/>
    <n v="2244.23"/>
    <n v="0"/>
    <x v="1"/>
    <x v="0"/>
    <x v="3"/>
    <x v="0"/>
    <x v="3"/>
  </r>
  <r>
    <n v="147"/>
    <n v="43"/>
    <s v="Female"/>
    <n v="53"/>
    <n v="109.96"/>
    <x v="1"/>
    <s v="Credit Card"/>
    <n v="2"/>
    <n v="48.7"/>
    <n v="6"/>
    <n v="5756.95"/>
    <n v="0"/>
    <x v="1"/>
    <x v="0"/>
    <x v="1"/>
    <x v="0"/>
    <x v="0"/>
  </r>
  <r>
    <n v="148"/>
    <n v="31"/>
    <s v="Male"/>
    <n v="42"/>
    <n v="80.760000000000005"/>
    <x v="0"/>
    <s v="PayPal"/>
    <n v="1"/>
    <n v="76.2"/>
    <n v="6"/>
    <n v="3627.3"/>
    <n v="0"/>
    <x v="0"/>
    <x v="0"/>
    <x v="2"/>
    <x v="0"/>
    <x v="0"/>
  </r>
  <r>
    <n v="149"/>
    <n v="56"/>
    <s v="Female"/>
    <n v="58"/>
    <n v="44.44"/>
    <x v="1"/>
    <s v="Bank Transfer"/>
    <n v="3"/>
    <n v="32.6"/>
    <n v="9"/>
    <n v="2780.16"/>
    <n v="1"/>
    <x v="1"/>
    <x v="0"/>
    <x v="3"/>
    <x v="2"/>
    <x v="2"/>
  </r>
  <r>
    <n v="150"/>
    <n v="44"/>
    <s v="Male"/>
    <n v="39"/>
    <n v="69.819999999999993"/>
    <x v="1"/>
    <s v="Credit Card"/>
    <n v="2"/>
    <n v="79.8"/>
    <n v="2"/>
    <n v="2484.6999999999998"/>
    <n v="1"/>
    <x v="0"/>
    <x v="0"/>
    <x v="2"/>
    <x v="1"/>
    <x v="0"/>
  </r>
  <r>
    <n v="151"/>
    <n v="26"/>
    <s v="Female"/>
    <n v="14"/>
    <n v="53.03"/>
    <x v="0"/>
    <s v="Credit Card"/>
    <n v="3"/>
    <n v="15.6"/>
    <n v="1"/>
    <n v="799.36"/>
    <n v="1"/>
    <x v="0"/>
    <x v="1"/>
    <x v="3"/>
    <x v="1"/>
    <x v="1"/>
  </r>
  <r>
    <n v="152"/>
    <n v="32"/>
    <s v="Male"/>
    <n v="5"/>
    <n v="113.37"/>
    <x v="1"/>
    <s v="PayPal"/>
    <n v="3"/>
    <n v="38.799999999999997"/>
    <n v="6"/>
    <n v="560.99"/>
    <n v="0"/>
    <x v="1"/>
    <x v="3"/>
    <x v="1"/>
    <x v="0"/>
    <x v="2"/>
  </r>
  <r>
    <n v="153"/>
    <n v="32"/>
    <s v="Female"/>
    <n v="35"/>
    <n v="20.75"/>
    <x v="0"/>
    <s v="Bank Transfer"/>
    <n v="3"/>
    <n v="97.9"/>
    <n v="10"/>
    <n v="727.77"/>
    <n v="0"/>
    <x v="0"/>
    <x v="0"/>
    <x v="0"/>
    <x v="2"/>
    <x v="3"/>
  </r>
  <r>
    <n v="154"/>
    <n v="43"/>
    <s v="Male"/>
    <n v="18"/>
    <n v="42.53"/>
    <x v="1"/>
    <s v="PayPal"/>
    <n v="0"/>
    <n v="80.400000000000006"/>
    <n v="8"/>
    <n v="784.92"/>
    <n v="1"/>
    <x v="1"/>
    <x v="1"/>
    <x v="3"/>
    <x v="2"/>
    <x v="3"/>
  </r>
  <r>
    <n v="155"/>
    <n v="59"/>
    <s v="Female"/>
    <n v="9"/>
    <n v="56.54"/>
    <x v="2"/>
    <s v="Bank Transfer"/>
    <n v="1"/>
    <n v="52.2"/>
    <n v="3"/>
    <n v="552.25"/>
    <n v="0"/>
    <x v="1"/>
    <x v="2"/>
    <x v="3"/>
    <x v="1"/>
    <x v="0"/>
  </r>
  <r>
    <n v="156"/>
    <n v="30"/>
    <s v="Male"/>
    <n v="58"/>
    <n v="68.78"/>
    <x v="1"/>
    <s v="Bank Transfer"/>
    <n v="3"/>
    <n v="37.299999999999997"/>
    <n v="10"/>
    <n v="3605.57"/>
    <n v="0"/>
    <x v="1"/>
    <x v="0"/>
    <x v="2"/>
    <x v="2"/>
    <x v="2"/>
  </r>
  <r>
    <n v="157"/>
    <n v="68"/>
    <s v="Female"/>
    <n v="17"/>
    <n v="105.08"/>
    <x v="2"/>
    <s v="Bank Transfer"/>
    <n v="0"/>
    <n v="87.9"/>
    <n v="1"/>
    <n v="1778.09"/>
    <n v="1"/>
    <x v="1"/>
    <x v="1"/>
    <x v="1"/>
    <x v="1"/>
    <x v="3"/>
  </r>
  <r>
    <n v="158"/>
    <n v="49"/>
    <s v="Female"/>
    <n v="7"/>
    <n v="28.79"/>
    <x v="0"/>
    <s v="Credit Card"/>
    <n v="3"/>
    <n v="56.8"/>
    <n v="9"/>
    <n v="209.1"/>
    <n v="0"/>
    <x v="0"/>
    <x v="2"/>
    <x v="0"/>
    <x v="2"/>
    <x v="0"/>
  </r>
  <r>
    <n v="159"/>
    <n v="56"/>
    <s v="Female"/>
    <n v="46"/>
    <n v="100.59"/>
    <x v="1"/>
    <s v="PayPal"/>
    <n v="1"/>
    <n v="77.099999999999994"/>
    <n v="1"/>
    <n v="4833.24"/>
    <n v="0"/>
    <x v="1"/>
    <x v="0"/>
    <x v="1"/>
    <x v="1"/>
    <x v="0"/>
  </r>
  <r>
    <n v="160"/>
    <n v="66"/>
    <s v="Male"/>
    <n v="13"/>
    <n v="25.57"/>
    <x v="1"/>
    <s v="PayPal"/>
    <n v="0"/>
    <n v="76.599999999999994"/>
    <n v="3"/>
    <n v="345.21"/>
    <n v="1"/>
    <x v="1"/>
    <x v="1"/>
    <x v="0"/>
    <x v="1"/>
    <x v="0"/>
  </r>
  <r>
    <n v="161"/>
    <n v="69"/>
    <s v="Female"/>
    <n v="40"/>
    <n v="104.23"/>
    <x v="2"/>
    <s v="Bank Transfer"/>
    <n v="0"/>
    <n v="6.7"/>
    <n v="8"/>
    <n v="3864.38"/>
    <n v="0"/>
    <x v="1"/>
    <x v="0"/>
    <x v="1"/>
    <x v="2"/>
    <x v="1"/>
  </r>
  <r>
    <n v="162"/>
    <n v="49"/>
    <s v="Male"/>
    <n v="42"/>
    <n v="25.16"/>
    <x v="1"/>
    <s v="Credit Card"/>
    <n v="1"/>
    <n v="17"/>
    <n v="3"/>
    <n v="1014.32"/>
    <n v="0"/>
    <x v="0"/>
    <x v="0"/>
    <x v="0"/>
    <x v="1"/>
    <x v="1"/>
  </r>
  <r>
    <n v="163"/>
    <n v="21"/>
    <s v="Female"/>
    <n v="9"/>
    <n v="21.82"/>
    <x v="1"/>
    <s v="Credit Card"/>
    <n v="1"/>
    <n v="67.7"/>
    <n v="4"/>
    <n v="190.83"/>
    <n v="1"/>
    <x v="1"/>
    <x v="2"/>
    <x v="0"/>
    <x v="0"/>
    <x v="0"/>
  </r>
  <r>
    <n v="164"/>
    <n v="47"/>
    <s v="Male"/>
    <n v="50"/>
    <n v="89.7"/>
    <x v="1"/>
    <s v="PayPal"/>
    <n v="1"/>
    <n v="20.399999999999999"/>
    <n v="8"/>
    <n v="4758.08"/>
    <n v="0"/>
    <x v="1"/>
    <x v="0"/>
    <x v="2"/>
    <x v="2"/>
    <x v="2"/>
  </r>
  <r>
    <n v="165"/>
    <n v="54"/>
    <s v="Female"/>
    <n v="27"/>
    <n v="119.73"/>
    <x v="1"/>
    <s v="Credit Card"/>
    <n v="4"/>
    <n v="29.3"/>
    <n v="1"/>
    <n v="3089.67"/>
    <n v="1"/>
    <x v="0"/>
    <x v="0"/>
    <x v="1"/>
    <x v="1"/>
    <x v="2"/>
  </r>
  <r>
    <n v="166"/>
    <n v="40"/>
    <s v="Male"/>
    <n v="66"/>
    <n v="109.66"/>
    <x v="0"/>
    <s v="Credit Card"/>
    <n v="3"/>
    <n v="94.9"/>
    <n v="6"/>
    <n v="6818.8"/>
    <n v="1"/>
    <x v="1"/>
    <x v="0"/>
    <x v="1"/>
    <x v="0"/>
    <x v="3"/>
  </r>
  <r>
    <n v="167"/>
    <n v="56"/>
    <s v="Male"/>
    <n v="5"/>
    <n v="77.599999999999994"/>
    <x v="0"/>
    <s v="Bank Transfer"/>
    <n v="2"/>
    <n v="58.2"/>
    <n v="1"/>
    <n v="423.5"/>
    <n v="1"/>
    <x v="1"/>
    <x v="3"/>
    <x v="2"/>
    <x v="1"/>
    <x v="0"/>
  </r>
  <r>
    <n v="168"/>
    <n v="62"/>
    <s v="Female"/>
    <n v="29"/>
    <n v="111.74"/>
    <x v="1"/>
    <s v="Credit Card"/>
    <n v="4"/>
    <n v="76.3"/>
    <n v="1"/>
    <n v="2922.16"/>
    <n v="1"/>
    <x v="1"/>
    <x v="0"/>
    <x v="1"/>
    <x v="1"/>
    <x v="0"/>
  </r>
  <r>
    <n v="169"/>
    <n v="32"/>
    <s v="Male"/>
    <n v="37"/>
    <n v="20.53"/>
    <x v="1"/>
    <s v="Bank Transfer"/>
    <n v="2"/>
    <n v="58"/>
    <n v="8"/>
    <n v="835.24"/>
    <n v="1"/>
    <x v="1"/>
    <x v="0"/>
    <x v="0"/>
    <x v="2"/>
    <x v="0"/>
  </r>
  <r>
    <n v="170"/>
    <n v="60"/>
    <s v="Male"/>
    <n v="38"/>
    <n v="117.51"/>
    <x v="0"/>
    <s v="PayPal"/>
    <n v="0"/>
    <n v="57.5"/>
    <n v="4"/>
    <n v="4623.29"/>
    <n v="1"/>
    <x v="1"/>
    <x v="0"/>
    <x v="1"/>
    <x v="0"/>
    <x v="0"/>
  </r>
  <r>
    <n v="171"/>
    <n v="46"/>
    <s v="Female"/>
    <n v="8"/>
    <n v="69.069999999999993"/>
    <x v="1"/>
    <s v="Credit Card"/>
    <n v="1"/>
    <n v="13.9"/>
    <n v="1"/>
    <n v="588.86"/>
    <n v="0"/>
    <x v="1"/>
    <x v="2"/>
    <x v="2"/>
    <x v="1"/>
    <x v="1"/>
  </r>
  <r>
    <n v="172"/>
    <n v="53"/>
    <s v="Male"/>
    <n v="65"/>
    <n v="92.29"/>
    <x v="1"/>
    <s v="PayPal"/>
    <n v="5"/>
    <n v="37.6"/>
    <n v="10"/>
    <n v="5752.44"/>
    <n v="0"/>
    <x v="1"/>
    <x v="0"/>
    <x v="1"/>
    <x v="2"/>
    <x v="2"/>
  </r>
  <r>
    <n v="173"/>
    <n v="30"/>
    <s v="Male"/>
    <n v="17"/>
    <n v="102.09"/>
    <x v="2"/>
    <s v="PayPal"/>
    <n v="1"/>
    <n v="31.8"/>
    <n v="7"/>
    <n v="1566.95"/>
    <n v="0"/>
    <x v="0"/>
    <x v="1"/>
    <x v="1"/>
    <x v="2"/>
    <x v="2"/>
  </r>
  <r>
    <n v="174"/>
    <n v="49"/>
    <s v="Male"/>
    <n v="71"/>
    <n v="91.85"/>
    <x v="0"/>
    <s v="Credit Card"/>
    <n v="5"/>
    <n v="42.1"/>
    <n v="5"/>
    <n v="6831.6"/>
    <n v="0"/>
    <x v="1"/>
    <x v="0"/>
    <x v="1"/>
    <x v="0"/>
    <x v="0"/>
  </r>
  <r>
    <n v="175"/>
    <n v="24"/>
    <s v="Female"/>
    <n v="45"/>
    <n v="73.5"/>
    <x v="0"/>
    <s v="Credit Card"/>
    <n v="0"/>
    <n v="80.8"/>
    <n v="5"/>
    <n v="3528.54"/>
    <n v="0"/>
    <x v="1"/>
    <x v="0"/>
    <x v="2"/>
    <x v="0"/>
    <x v="3"/>
  </r>
  <r>
    <n v="176"/>
    <n v="68"/>
    <s v="Male"/>
    <n v="4"/>
    <n v="67.66"/>
    <x v="0"/>
    <s v="PayPal"/>
    <n v="2"/>
    <n v="40.299999999999997"/>
    <n v="1"/>
    <n v="283.66000000000003"/>
    <n v="0"/>
    <x v="1"/>
    <x v="3"/>
    <x v="2"/>
    <x v="1"/>
    <x v="0"/>
  </r>
  <r>
    <n v="177"/>
    <n v="39"/>
    <s v="Female"/>
    <n v="36"/>
    <n v="103.86"/>
    <x v="1"/>
    <s v="Credit Card"/>
    <n v="0"/>
    <n v="47.9"/>
    <n v="10"/>
    <n v="3471.89"/>
    <n v="1"/>
    <x v="1"/>
    <x v="0"/>
    <x v="1"/>
    <x v="2"/>
    <x v="0"/>
  </r>
  <r>
    <n v="178"/>
    <n v="45"/>
    <s v="Male"/>
    <n v="70"/>
    <n v="40.51"/>
    <x v="0"/>
    <s v="Bank Transfer"/>
    <n v="1"/>
    <n v="42.8"/>
    <n v="6"/>
    <n v="2979.43"/>
    <n v="0"/>
    <x v="0"/>
    <x v="0"/>
    <x v="3"/>
    <x v="0"/>
    <x v="0"/>
  </r>
  <r>
    <n v="179"/>
    <n v="19"/>
    <s v="Male"/>
    <n v="31"/>
    <n v="116.8"/>
    <x v="1"/>
    <s v="Bank Transfer"/>
    <n v="4"/>
    <n v="13.9"/>
    <n v="9"/>
    <n v="3815.54"/>
    <n v="0"/>
    <x v="0"/>
    <x v="0"/>
    <x v="1"/>
    <x v="2"/>
    <x v="1"/>
  </r>
  <r>
    <n v="180"/>
    <n v="59"/>
    <s v="Male"/>
    <n v="19"/>
    <n v="91.1"/>
    <x v="1"/>
    <s v="Credit Card"/>
    <n v="0"/>
    <n v="46.9"/>
    <n v="9"/>
    <n v="1785.78"/>
    <n v="0"/>
    <x v="0"/>
    <x v="1"/>
    <x v="1"/>
    <x v="2"/>
    <x v="0"/>
  </r>
  <r>
    <n v="181"/>
    <n v="62"/>
    <s v="Female"/>
    <n v="61"/>
    <n v="39.950000000000003"/>
    <x v="1"/>
    <s v="PayPal"/>
    <n v="0"/>
    <n v="23.6"/>
    <n v="8"/>
    <n v="2566.65"/>
    <n v="0"/>
    <x v="0"/>
    <x v="0"/>
    <x v="3"/>
    <x v="2"/>
    <x v="2"/>
  </r>
  <r>
    <n v="182"/>
    <n v="23"/>
    <s v="Male"/>
    <n v="54"/>
    <n v="93.62"/>
    <x v="1"/>
    <s v="Credit Card"/>
    <n v="2"/>
    <n v="22.7"/>
    <n v="5"/>
    <n v="5405.24"/>
    <n v="0"/>
    <x v="1"/>
    <x v="0"/>
    <x v="1"/>
    <x v="0"/>
    <x v="2"/>
  </r>
  <r>
    <n v="183"/>
    <n v="45"/>
    <s v="Male"/>
    <n v="39"/>
    <n v="72.98"/>
    <x v="0"/>
    <s v="Credit Card"/>
    <n v="1"/>
    <n v="13.9"/>
    <n v="1"/>
    <n v="2910.89"/>
    <n v="1"/>
    <x v="1"/>
    <x v="0"/>
    <x v="2"/>
    <x v="1"/>
    <x v="1"/>
  </r>
  <r>
    <n v="184"/>
    <n v="45"/>
    <s v="Female"/>
    <n v="19"/>
    <n v="90.72"/>
    <x v="1"/>
    <s v="PayPal"/>
    <n v="1"/>
    <n v="38.9"/>
    <n v="9"/>
    <n v="1581.86"/>
    <n v="1"/>
    <x v="0"/>
    <x v="1"/>
    <x v="1"/>
    <x v="2"/>
    <x v="2"/>
  </r>
  <r>
    <n v="185"/>
    <n v="61"/>
    <s v="Male"/>
    <n v="39"/>
    <n v="96.78"/>
    <x v="1"/>
    <s v="PayPal"/>
    <n v="3"/>
    <n v="77"/>
    <n v="1"/>
    <n v="3765.08"/>
    <n v="1"/>
    <x v="1"/>
    <x v="0"/>
    <x v="1"/>
    <x v="1"/>
    <x v="0"/>
  </r>
  <r>
    <n v="186"/>
    <n v="61"/>
    <s v="Female"/>
    <n v="67"/>
    <n v="28.73"/>
    <x v="1"/>
    <s v="Bank Transfer"/>
    <n v="1"/>
    <n v="31.3"/>
    <n v="8"/>
    <n v="1762.31"/>
    <n v="1"/>
    <x v="0"/>
    <x v="0"/>
    <x v="0"/>
    <x v="2"/>
    <x v="2"/>
  </r>
  <r>
    <n v="187"/>
    <n v="37"/>
    <s v="Female"/>
    <n v="45"/>
    <n v="70.61"/>
    <x v="1"/>
    <s v="PayPal"/>
    <n v="2"/>
    <n v="34.700000000000003"/>
    <n v="5"/>
    <n v="3118.69"/>
    <n v="0"/>
    <x v="1"/>
    <x v="0"/>
    <x v="2"/>
    <x v="0"/>
    <x v="2"/>
  </r>
  <r>
    <n v="188"/>
    <n v="47"/>
    <s v="Male"/>
    <n v="13"/>
    <n v="113.2"/>
    <x v="0"/>
    <s v="Bank Transfer"/>
    <n v="3"/>
    <n v="66.099999999999994"/>
    <n v="3"/>
    <n v="1444.26"/>
    <n v="0"/>
    <x v="1"/>
    <x v="1"/>
    <x v="1"/>
    <x v="1"/>
    <x v="0"/>
  </r>
  <r>
    <n v="189"/>
    <n v="28"/>
    <s v="Female"/>
    <n v="58"/>
    <n v="52.06"/>
    <x v="1"/>
    <s v="PayPal"/>
    <n v="1"/>
    <n v="23.6"/>
    <n v="7"/>
    <n v="2757.4"/>
    <n v="1"/>
    <x v="1"/>
    <x v="0"/>
    <x v="3"/>
    <x v="2"/>
    <x v="2"/>
  </r>
  <r>
    <n v="190"/>
    <n v="45"/>
    <s v="Male"/>
    <n v="20"/>
    <n v="79.39"/>
    <x v="0"/>
    <s v="Credit Card"/>
    <n v="1"/>
    <n v="90.2"/>
    <n v="7"/>
    <n v="1539.79"/>
    <n v="0"/>
    <x v="1"/>
    <x v="1"/>
    <x v="2"/>
    <x v="2"/>
    <x v="3"/>
  </r>
  <r>
    <n v="191"/>
    <n v="42"/>
    <s v="Female"/>
    <n v="61"/>
    <n v="56.92"/>
    <x v="1"/>
    <s v="Bank Transfer"/>
    <n v="4"/>
    <n v="54.4"/>
    <n v="9"/>
    <n v="3201.99"/>
    <n v="0"/>
    <x v="0"/>
    <x v="0"/>
    <x v="3"/>
    <x v="2"/>
    <x v="0"/>
  </r>
  <r>
    <n v="192"/>
    <n v="56"/>
    <s v="Female"/>
    <n v="39"/>
    <n v="65.430000000000007"/>
    <x v="1"/>
    <s v="Bank Transfer"/>
    <n v="2"/>
    <n v="47.5"/>
    <n v="7"/>
    <n v="2709.08"/>
    <n v="0"/>
    <x v="1"/>
    <x v="0"/>
    <x v="2"/>
    <x v="2"/>
    <x v="0"/>
  </r>
  <r>
    <n v="193"/>
    <n v="50"/>
    <s v="Male"/>
    <n v="1"/>
    <n v="74.86"/>
    <x v="0"/>
    <s v="Bank Transfer"/>
    <n v="1"/>
    <n v="58"/>
    <n v="3"/>
    <n v="81.56"/>
    <n v="0"/>
    <x v="1"/>
    <x v="3"/>
    <x v="2"/>
    <x v="1"/>
    <x v="0"/>
  </r>
  <r>
    <n v="194"/>
    <n v="18"/>
    <s v="Female"/>
    <n v="3"/>
    <n v="74.89"/>
    <x v="1"/>
    <s v="Credit Card"/>
    <n v="2"/>
    <n v="20.8"/>
    <n v="1"/>
    <n v="205.45"/>
    <n v="1"/>
    <x v="0"/>
    <x v="3"/>
    <x v="2"/>
    <x v="1"/>
    <x v="2"/>
  </r>
  <r>
    <n v="195"/>
    <n v="44"/>
    <s v="Female"/>
    <n v="62"/>
    <n v="40.17"/>
    <x v="0"/>
    <s v="Credit Card"/>
    <n v="3"/>
    <n v="63.3"/>
    <n v="8"/>
    <n v="2717.24"/>
    <n v="0"/>
    <x v="1"/>
    <x v="0"/>
    <x v="3"/>
    <x v="2"/>
    <x v="0"/>
  </r>
  <r>
    <n v="196"/>
    <n v="69"/>
    <s v="Female"/>
    <n v="63"/>
    <n v="88.46"/>
    <x v="1"/>
    <s v="Credit Card"/>
    <n v="1"/>
    <n v="39.5"/>
    <n v="3"/>
    <n v="5598.14"/>
    <n v="0"/>
    <x v="1"/>
    <x v="0"/>
    <x v="2"/>
    <x v="1"/>
    <x v="2"/>
  </r>
  <r>
    <n v="197"/>
    <n v="30"/>
    <s v="Female"/>
    <n v="25"/>
    <n v="28.79"/>
    <x v="1"/>
    <s v="Credit Card"/>
    <n v="3"/>
    <n v="90.2"/>
    <n v="8"/>
    <n v="690.9"/>
    <n v="1"/>
    <x v="1"/>
    <x v="0"/>
    <x v="0"/>
    <x v="2"/>
    <x v="3"/>
  </r>
  <r>
    <n v="198"/>
    <n v="58"/>
    <s v="Female"/>
    <n v="56"/>
    <n v="33.880000000000003"/>
    <x v="2"/>
    <s v="Credit Card"/>
    <n v="0"/>
    <n v="21"/>
    <n v="8"/>
    <n v="1736.72"/>
    <n v="0"/>
    <x v="1"/>
    <x v="0"/>
    <x v="3"/>
    <x v="2"/>
    <x v="2"/>
  </r>
  <r>
    <n v="199"/>
    <n v="20"/>
    <s v="Male"/>
    <n v="33"/>
    <n v="20.27"/>
    <x v="1"/>
    <s v="Bank Transfer"/>
    <n v="0"/>
    <n v="53.2"/>
    <n v="5"/>
    <n v="668.99"/>
    <n v="0"/>
    <x v="0"/>
    <x v="0"/>
    <x v="0"/>
    <x v="0"/>
    <x v="0"/>
  </r>
  <r>
    <n v="200"/>
    <n v="56"/>
    <s v="Female"/>
    <n v="38"/>
    <n v="31.67"/>
    <x v="1"/>
    <s v="Credit Card"/>
    <n v="1"/>
    <n v="61.8"/>
    <n v="1"/>
    <n v="1274.3499999999999"/>
    <n v="1"/>
    <x v="0"/>
    <x v="0"/>
    <x v="3"/>
    <x v="1"/>
    <x v="0"/>
  </r>
  <r>
    <n v="201"/>
    <n v="23"/>
    <s v="Male"/>
    <n v="6"/>
    <n v="67.319999999999993"/>
    <x v="0"/>
    <s v="Bank Transfer"/>
    <n v="2"/>
    <n v="8.1999999999999993"/>
    <n v="10"/>
    <n v="420.65"/>
    <n v="0"/>
    <x v="0"/>
    <x v="2"/>
    <x v="2"/>
    <x v="2"/>
    <x v="1"/>
  </r>
  <r>
    <n v="202"/>
    <n v="25"/>
    <s v="Female"/>
    <n v="58"/>
    <n v="80.61"/>
    <x v="1"/>
    <s v="Credit Card"/>
    <n v="1"/>
    <n v="39.6"/>
    <n v="7"/>
    <n v="4254.8100000000004"/>
    <n v="0"/>
    <x v="1"/>
    <x v="0"/>
    <x v="2"/>
    <x v="2"/>
    <x v="2"/>
  </r>
  <r>
    <n v="203"/>
    <n v="44"/>
    <s v="Male"/>
    <n v="44"/>
    <n v="99.43"/>
    <x v="0"/>
    <s v="PayPal"/>
    <n v="3"/>
    <n v="74.599999999999994"/>
    <n v="10"/>
    <n v="4001.22"/>
    <n v="1"/>
    <x v="0"/>
    <x v="0"/>
    <x v="1"/>
    <x v="2"/>
    <x v="0"/>
  </r>
  <r>
    <n v="204"/>
    <n v="26"/>
    <s v="Male"/>
    <n v="45"/>
    <n v="30.67"/>
    <x v="1"/>
    <s v="Bank Transfer"/>
    <n v="4"/>
    <n v="82.9"/>
    <n v="5"/>
    <n v="1353.34"/>
    <n v="0"/>
    <x v="1"/>
    <x v="0"/>
    <x v="3"/>
    <x v="0"/>
    <x v="3"/>
  </r>
  <r>
    <n v="205"/>
    <n v="54"/>
    <s v="Female"/>
    <n v="32"/>
    <n v="105.07"/>
    <x v="2"/>
    <s v="PayPal"/>
    <n v="0"/>
    <n v="34.799999999999997"/>
    <n v="8"/>
    <n v="3224.58"/>
    <n v="0"/>
    <x v="0"/>
    <x v="0"/>
    <x v="1"/>
    <x v="2"/>
    <x v="2"/>
  </r>
  <r>
    <n v="206"/>
    <n v="50"/>
    <s v="Female"/>
    <n v="45"/>
    <n v="94.6"/>
    <x v="0"/>
    <s v="Bank Transfer"/>
    <n v="3"/>
    <n v="80.900000000000006"/>
    <n v="9"/>
    <n v="4029.15"/>
    <n v="0"/>
    <x v="1"/>
    <x v="0"/>
    <x v="1"/>
    <x v="2"/>
    <x v="3"/>
  </r>
  <r>
    <n v="207"/>
    <n v="68"/>
    <s v="Female"/>
    <n v="61"/>
    <n v="60.85"/>
    <x v="0"/>
    <s v="PayPal"/>
    <n v="2"/>
    <n v="96.9"/>
    <n v="7"/>
    <n v="3549.27"/>
    <n v="1"/>
    <x v="1"/>
    <x v="0"/>
    <x v="2"/>
    <x v="2"/>
    <x v="3"/>
  </r>
  <r>
    <n v="208"/>
    <n v="59"/>
    <s v="Male"/>
    <n v="47"/>
    <n v="113.29"/>
    <x v="2"/>
    <s v="Credit Card"/>
    <n v="3"/>
    <n v="86.4"/>
    <n v="7"/>
    <n v="5647.82"/>
    <n v="1"/>
    <x v="1"/>
    <x v="0"/>
    <x v="1"/>
    <x v="2"/>
    <x v="3"/>
  </r>
  <r>
    <n v="209"/>
    <n v="61"/>
    <s v="Female"/>
    <n v="21"/>
    <n v="119.09"/>
    <x v="1"/>
    <s v="Credit Card"/>
    <n v="1"/>
    <n v="16.2"/>
    <n v="1"/>
    <n v="2715.58"/>
    <n v="1"/>
    <x v="0"/>
    <x v="1"/>
    <x v="1"/>
    <x v="1"/>
    <x v="1"/>
  </r>
  <r>
    <n v="210"/>
    <n v="41"/>
    <s v="Male"/>
    <n v="36"/>
    <n v="40.5"/>
    <x v="2"/>
    <s v="Credit Card"/>
    <n v="3"/>
    <n v="75.3"/>
    <n v="4"/>
    <n v="1430.33"/>
    <n v="0"/>
    <x v="1"/>
    <x v="0"/>
    <x v="3"/>
    <x v="0"/>
    <x v="0"/>
  </r>
  <r>
    <n v="211"/>
    <n v="32"/>
    <s v="Male"/>
    <n v="19"/>
    <n v="57.92"/>
    <x v="1"/>
    <s v="Bank Transfer"/>
    <n v="2"/>
    <n v="35.4"/>
    <n v="2"/>
    <n v="1189.8599999999999"/>
    <n v="1"/>
    <x v="0"/>
    <x v="1"/>
    <x v="3"/>
    <x v="1"/>
    <x v="2"/>
  </r>
  <r>
    <n v="212"/>
    <n v="49"/>
    <s v="Male"/>
    <n v="20"/>
    <n v="112.64"/>
    <x v="1"/>
    <s v="PayPal"/>
    <n v="0"/>
    <n v="98.9"/>
    <n v="2"/>
    <n v="2172.37"/>
    <n v="1"/>
    <x v="0"/>
    <x v="1"/>
    <x v="1"/>
    <x v="1"/>
    <x v="3"/>
  </r>
  <r>
    <n v="213"/>
    <n v="49"/>
    <s v="Female"/>
    <n v="57"/>
    <n v="92.16"/>
    <x v="1"/>
    <s v="Credit Card"/>
    <n v="3"/>
    <n v="51.1"/>
    <n v="2"/>
    <n v="5228.3599999999997"/>
    <n v="1"/>
    <x v="0"/>
    <x v="0"/>
    <x v="1"/>
    <x v="1"/>
    <x v="0"/>
  </r>
  <r>
    <n v="214"/>
    <n v="41"/>
    <s v="Female"/>
    <n v="18"/>
    <n v="24.81"/>
    <x v="1"/>
    <s v="PayPal"/>
    <n v="0"/>
    <n v="16.600000000000001"/>
    <n v="4"/>
    <n v="422.11"/>
    <n v="1"/>
    <x v="1"/>
    <x v="1"/>
    <x v="0"/>
    <x v="0"/>
    <x v="1"/>
  </r>
  <r>
    <n v="215"/>
    <n v="58"/>
    <s v="Male"/>
    <n v="47"/>
    <n v="98.15"/>
    <x v="1"/>
    <s v="PayPal"/>
    <n v="2"/>
    <n v="73.900000000000006"/>
    <n v="1"/>
    <n v="4742.6499999999996"/>
    <n v="0"/>
    <x v="1"/>
    <x v="0"/>
    <x v="1"/>
    <x v="1"/>
    <x v="0"/>
  </r>
  <r>
    <n v="216"/>
    <n v="69"/>
    <s v="Male"/>
    <n v="49"/>
    <n v="102.79"/>
    <x v="0"/>
    <s v="Credit Card"/>
    <n v="5"/>
    <n v="35.700000000000003"/>
    <n v="4"/>
    <n v="5519.21"/>
    <n v="0"/>
    <x v="0"/>
    <x v="0"/>
    <x v="1"/>
    <x v="0"/>
    <x v="2"/>
  </r>
  <r>
    <n v="217"/>
    <n v="66"/>
    <s v="Female"/>
    <n v="14"/>
    <n v="95.05"/>
    <x v="0"/>
    <s v="Credit Card"/>
    <n v="2"/>
    <n v="99.7"/>
    <n v="2"/>
    <n v="1358.24"/>
    <n v="1"/>
    <x v="0"/>
    <x v="1"/>
    <x v="1"/>
    <x v="1"/>
    <x v="3"/>
  </r>
  <r>
    <n v="218"/>
    <n v="66"/>
    <s v="Male"/>
    <n v="15"/>
    <n v="99.95"/>
    <x v="2"/>
    <s v="PayPal"/>
    <n v="1"/>
    <n v="98.1"/>
    <n v="5"/>
    <n v="1456.62"/>
    <n v="0"/>
    <x v="1"/>
    <x v="1"/>
    <x v="1"/>
    <x v="0"/>
    <x v="3"/>
  </r>
  <r>
    <n v="219"/>
    <n v="69"/>
    <s v="Female"/>
    <n v="31"/>
    <n v="102.51"/>
    <x v="1"/>
    <s v="Credit Card"/>
    <n v="3"/>
    <n v="67.3"/>
    <n v="3"/>
    <n v="3271.76"/>
    <n v="1"/>
    <x v="1"/>
    <x v="0"/>
    <x v="1"/>
    <x v="1"/>
    <x v="0"/>
  </r>
  <r>
    <n v="220"/>
    <n v="29"/>
    <s v="Male"/>
    <n v="1"/>
    <n v="38.64"/>
    <x v="0"/>
    <s v="Credit Card"/>
    <n v="2"/>
    <n v="17.3"/>
    <n v="8"/>
    <n v="35.729999999999997"/>
    <n v="0"/>
    <x v="1"/>
    <x v="3"/>
    <x v="3"/>
    <x v="2"/>
    <x v="1"/>
  </r>
  <r>
    <n v="221"/>
    <n v="56"/>
    <s v="Female"/>
    <n v="54"/>
    <n v="43.57"/>
    <x v="1"/>
    <s v="Credit Card"/>
    <n v="1"/>
    <n v="70.3"/>
    <n v="4"/>
    <n v="2535.67"/>
    <n v="0"/>
    <x v="1"/>
    <x v="0"/>
    <x v="3"/>
    <x v="0"/>
    <x v="0"/>
  </r>
  <r>
    <n v="222"/>
    <n v="19"/>
    <s v="Male"/>
    <n v="3"/>
    <n v="83.38"/>
    <x v="1"/>
    <s v="Bank Transfer"/>
    <n v="0"/>
    <n v="13.8"/>
    <n v="1"/>
    <n v="250.29"/>
    <n v="1"/>
    <x v="1"/>
    <x v="3"/>
    <x v="2"/>
    <x v="1"/>
    <x v="1"/>
  </r>
  <r>
    <n v="223"/>
    <n v="20"/>
    <s v="Female"/>
    <n v="16"/>
    <n v="110.79"/>
    <x v="1"/>
    <s v="PayPal"/>
    <n v="3"/>
    <n v="7.8"/>
    <n v="1"/>
    <n v="1754.68"/>
    <n v="1"/>
    <x v="0"/>
    <x v="1"/>
    <x v="1"/>
    <x v="1"/>
    <x v="1"/>
  </r>
  <r>
    <n v="224"/>
    <n v="66"/>
    <s v="Male"/>
    <n v="57"/>
    <n v="51.62"/>
    <x v="1"/>
    <s v="PayPal"/>
    <n v="0"/>
    <n v="83.2"/>
    <n v="10"/>
    <n v="2992.87"/>
    <n v="1"/>
    <x v="1"/>
    <x v="0"/>
    <x v="3"/>
    <x v="2"/>
    <x v="3"/>
  </r>
  <r>
    <n v="225"/>
    <n v="54"/>
    <s v="Female"/>
    <n v="12"/>
    <n v="78.83"/>
    <x v="0"/>
    <s v="Bank Transfer"/>
    <n v="1"/>
    <n v="24.9"/>
    <n v="3"/>
    <n v="969.57"/>
    <n v="0"/>
    <x v="0"/>
    <x v="1"/>
    <x v="2"/>
    <x v="1"/>
    <x v="2"/>
  </r>
  <r>
    <n v="226"/>
    <n v="66"/>
    <s v="Female"/>
    <n v="16"/>
    <n v="88.3"/>
    <x v="1"/>
    <s v="PayPal"/>
    <n v="4"/>
    <n v="41"/>
    <n v="9"/>
    <n v="1291.8"/>
    <n v="0"/>
    <x v="1"/>
    <x v="1"/>
    <x v="2"/>
    <x v="2"/>
    <x v="0"/>
  </r>
  <r>
    <n v="227"/>
    <n v="34"/>
    <s v="Male"/>
    <n v="24"/>
    <n v="65.19"/>
    <x v="1"/>
    <s v="Credit Card"/>
    <n v="0"/>
    <n v="97.5"/>
    <n v="7"/>
    <n v="1621.7"/>
    <n v="1"/>
    <x v="1"/>
    <x v="0"/>
    <x v="2"/>
    <x v="2"/>
    <x v="3"/>
  </r>
  <r>
    <n v="228"/>
    <n v="66"/>
    <s v="Male"/>
    <n v="28"/>
    <n v="91.38"/>
    <x v="1"/>
    <s v="PayPal"/>
    <n v="0"/>
    <n v="37"/>
    <n v="2"/>
    <n v="2426.58"/>
    <n v="0"/>
    <x v="1"/>
    <x v="0"/>
    <x v="1"/>
    <x v="1"/>
    <x v="2"/>
  </r>
  <r>
    <n v="229"/>
    <n v="19"/>
    <s v="Female"/>
    <n v="8"/>
    <n v="109.97"/>
    <x v="1"/>
    <s v="Credit Card"/>
    <n v="1"/>
    <n v="33.200000000000003"/>
    <n v="9"/>
    <n v="917.41"/>
    <n v="1"/>
    <x v="1"/>
    <x v="2"/>
    <x v="1"/>
    <x v="2"/>
    <x v="2"/>
  </r>
  <r>
    <n v="230"/>
    <n v="19"/>
    <s v="Male"/>
    <n v="36"/>
    <n v="82.41"/>
    <x v="1"/>
    <s v="Bank Transfer"/>
    <n v="2"/>
    <n v="92.2"/>
    <n v="10"/>
    <n v="3158.14"/>
    <n v="1"/>
    <x v="0"/>
    <x v="0"/>
    <x v="2"/>
    <x v="2"/>
    <x v="3"/>
  </r>
  <r>
    <n v="231"/>
    <n v="45"/>
    <s v="Female"/>
    <n v="8"/>
    <n v="73.98"/>
    <x v="2"/>
    <s v="Credit Card"/>
    <n v="1"/>
    <n v="15.5"/>
    <n v="2"/>
    <n v="627.82000000000005"/>
    <n v="0"/>
    <x v="1"/>
    <x v="2"/>
    <x v="2"/>
    <x v="1"/>
    <x v="1"/>
  </r>
  <r>
    <n v="232"/>
    <n v="40"/>
    <s v="Male"/>
    <n v="58"/>
    <n v="63.87"/>
    <x v="1"/>
    <s v="PayPal"/>
    <n v="3"/>
    <n v="77.2"/>
    <n v="3"/>
    <n v="3743.36"/>
    <n v="0"/>
    <x v="1"/>
    <x v="0"/>
    <x v="2"/>
    <x v="1"/>
    <x v="0"/>
  </r>
  <r>
    <n v="233"/>
    <n v="54"/>
    <s v="Female"/>
    <n v="60"/>
    <n v="77.75"/>
    <x v="1"/>
    <s v="PayPal"/>
    <n v="4"/>
    <n v="98.9"/>
    <n v="10"/>
    <n v="4683.82"/>
    <n v="0"/>
    <x v="1"/>
    <x v="0"/>
    <x v="2"/>
    <x v="2"/>
    <x v="3"/>
  </r>
  <r>
    <n v="234"/>
    <n v="49"/>
    <s v="Female"/>
    <n v="50"/>
    <n v="55.54"/>
    <x v="1"/>
    <s v="PayPal"/>
    <n v="2"/>
    <n v="90.6"/>
    <n v="2"/>
    <n v="2578.65"/>
    <n v="1"/>
    <x v="1"/>
    <x v="0"/>
    <x v="3"/>
    <x v="1"/>
    <x v="3"/>
  </r>
  <r>
    <n v="235"/>
    <n v="50"/>
    <s v="Female"/>
    <n v="28"/>
    <n v="59.15"/>
    <x v="0"/>
    <s v="Bank Transfer"/>
    <n v="3"/>
    <n v="66.900000000000006"/>
    <n v="3"/>
    <n v="1747.41"/>
    <n v="1"/>
    <x v="1"/>
    <x v="0"/>
    <x v="3"/>
    <x v="1"/>
    <x v="0"/>
  </r>
  <r>
    <n v="236"/>
    <n v="18"/>
    <s v="Female"/>
    <n v="41"/>
    <n v="73.19"/>
    <x v="2"/>
    <s v="Bank Transfer"/>
    <n v="0"/>
    <n v="34.799999999999997"/>
    <n v="6"/>
    <n v="2863.6"/>
    <n v="0"/>
    <x v="1"/>
    <x v="0"/>
    <x v="2"/>
    <x v="0"/>
    <x v="2"/>
  </r>
  <r>
    <n v="237"/>
    <n v="36"/>
    <s v="Female"/>
    <n v="64"/>
    <n v="26.66"/>
    <x v="0"/>
    <s v="PayPal"/>
    <n v="2"/>
    <n v="29.2"/>
    <n v="9"/>
    <n v="1705.11"/>
    <n v="0"/>
    <x v="1"/>
    <x v="0"/>
    <x v="0"/>
    <x v="2"/>
    <x v="2"/>
  </r>
  <r>
    <n v="238"/>
    <n v="19"/>
    <s v="Female"/>
    <n v="27"/>
    <n v="42.9"/>
    <x v="0"/>
    <s v="Credit Card"/>
    <n v="2"/>
    <n v="82.8"/>
    <n v="9"/>
    <n v="1108.32"/>
    <n v="0"/>
    <x v="0"/>
    <x v="0"/>
    <x v="3"/>
    <x v="2"/>
    <x v="3"/>
  </r>
  <r>
    <n v="239"/>
    <n v="61"/>
    <s v="Male"/>
    <n v="63"/>
    <n v="74.28"/>
    <x v="1"/>
    <s v="Bank Transfer"/>
    <n v="1"/>
    <n v="88.6"/>
    <n v="7"/>
    <n v="4336.93"/>
    <n v="1"/>
    <x v="1"/>
    <x v="0"/>
    <x v="2"/>
    <x v="2"/>
    <x v="3"/>
  </r>
  <r>
    <n v="240"/>
    <n v="43"/>
    <s v="Male"/>
    <n v="17"/>
    <n v="63.15"/>
    <x v="1"/>
    <s v="PayPal"/>
    <n v="2"/>
    <n v="54.9"/>
    <n v="3"/>
    <n v="1101.3699999999999"/>
    <n v="0"/>
    <x v="0"/>
    <x v="1"/>
    <x v="2"/>
    <x v="1"/>
    <x v="0"/>
  </r>
  <r>
    <n v="241"/>
    <n v="49"/>
    <s v="Male"/>
    <n v="33"/>
    <n v="53.28"/>
    <x v="2"/>
    <s v="PayPal"/>
    <n v="2"/>
    <n v="28.2"/>
    <n v="4"/>
    <n v="1601.52"/>
    <n v="1"/>
    <x v="1"/>
    <x v="0"/>
    <x v="3"/>
    <x v="0"/>
    <x v="2"/>
  </r>
  <r>
    <n v="242"/>
    <n v="23"/>
    <s v="Female"/>
    <n v="29"/>
    <n v="93.05"/>
    <x v="0"/>
    <s v="Bank Transfer"/>
    <n v="2"/>
    <n v="15.7"/>
    <n v="6"/>
    <n v="2832.64"/>
    <n v="1"/>
    <x v="1"/>
    <x v="0"/>
    <x v="1"/>
    <x v="0"/>
    <x v="1"/>
  </r>
  <r>
    <n v="243"/>
    <n v="49"/>
    <s v="Female"/>
    <n v="13"/>
    <n v="89.37"/>
    <x v="0"/>
    <s v="Bank Transfer"/>
    <n v="1"/>
    <n v="13.3"/>
    <n v="5"/>
    <n v="1119.42"/>
    <n v="0"/>
    <x v="0"/>
    <x v="1"/>
    <x v="2"/>
    <x v="0"/>
    <x v="1"/>
  </r>
  <r>
    <n v="244"/>
    <n v="21"/>
    <s v="Female"/>
    <n v="46"/>
    <n v="36.67"/>
    <x v="0"/>
    <s v="Bank Transfer"/>
    <n v="3"/>
    <n v="73.3"/>
    <n v="2"/>
    <n v="1518.18"/>
    <n v="1"/>
    <x v="1"/>
    <x v="0"/>
    <x v="3"/>
    <x v="1"/>
    <x v="0"/>
  </r>
  <r>
    <n v="245"/>
    <n v="28"/>
    <s v="Female"/>
    <n v="35"/>
    <n v="107.86"/>
    <x v="0"/>
    <s v="Credit Card"/>
    <n v="4"/>
    <n v="44.9"/>
    <n v="6"/>
    <n v="3783.5"/>
    <n v="0"/>
    <x v="1"/>
    <x v="0"/>
    <x v="1"/>
    <x v="0"/>
    <x v="0"/>
  </r>
  <r>
    <n v="246"/>
    <n v="34"/>
    <s v="Male"/>
    <n v="6"/>
    <n v="69.540000000000006"/>
    <x v="0"/>
    <s v="Credit Card"/>
    <n v="2"/>
    <n v="91"/>
    <n v="3"/>
    <n v="379.43"/>
    <n v="1"/>
    <x v="0"/>
    <x v="2"/>
    <x v="2"/>
    <x v="1"/>
    <x v="3"/>
  </r>
  <r>
    <n v="247"/>
    <n v="55"/>
    <s v="Male"/>
    <n v="69"/>
    <n v="94.15"/>
    <x v="2"/>
    <s v="PayPal"/>
    <n v="3"/>
    <n v="75.3"/>
    <n v="8"/>
    <n v="6205.53"/>
    <n v="1"/>
    <x v="1"/>
    <x v="0"/>
    <x v="1"/>
    <x v="2"/>
    <x v="0"/>
  </r>
  <r>
    <n v="248"/>
    <n v="41"/>
    <s v="Female"/>
    <n v="47"/>
    <n v="77.319999999999993"/>
    <x v="2"/>
    <s v="Bank Transfer"/>
    <n v="3"/>
    <n v="23.2"/>
    <n v="2"/>
    <n v="3784.47"/>
    <n v="1"/>
    <x v="1"/>
    <x v="0"/>
    <x v="2"/>
    <x v="1"/>
    <x v="2"/>
  </r>
  <r>
    <n v="249"/>
    <n v="22"/>
    <s v="Male"/>
    <n v="25"/>
    <n v="119.77"/>
    <x v="0"/>
    <s v="Credit Card"/>
    <n v="3"/>
    <n v="63.3"/>
    <n v="1"/>
    <n v="2732.37"/>
    <n v="1"/>
    <x v="1"/>
    <x v="0"/>
    <x v="1"/>
    <x v="1"/>
    <x v="0"/>
  </r>
  <r>
    <n v="250"/>
    <n v="69"/>
    <s v="Male"/>
    <n v="66"/>
    <n v="95.24"/>
    <x v="0"/>
    <s v="Bank Transfer"/>
    <n v="5"/>
    <n v="46.4"/>
    <n v="9"/>
    <n v="6712.45"/>
    <n v="0"/>
    <x v="1"/>
    <x v="0"/>
    <x v="1"/>
    <x v="2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1">
  <r>
    <n v="2"/>
    <n v="69"/>
    <s v="Female"/>
    <n v="63"/>
    <n v="107.67"/>
    <x v="0"/>
    <s v="Credit Card"/>
    <n v="1"/>
    <n v="16.8"/>
    <n v="1"/>
    <n v="6505.15"/>
    <n v="1"/>
    <s v="Train"/>
    <x v="0"/>
    <x v="0"/>
    <x v="0"/>
    <x v="0"/>
    <s v="ContractType|1-Year"/>
    <s v="Tenure_Bin|&gt;=24"/>
    <s v="Satis_Bin|1-3"/>
    <s v="Monthly_Bin|&gt;=90"/>
    <s v="Usage_Bin|&lt;20"/>
    <n v="1"/>
    <n v="0"/>
    <n v="4"/>
    <n v="2"/>
    <n v="2"/>
    <n v="9"/>
    <s v="High"/>
    <s v="No"/>
    <n v="0"/>
    <n v="0.54545454545454541"/>
    <s v="Yes"/>
    <x v="0"/>
    <e v="#N/A"/>
  </r>
  <r>
    <n v="4"/>
    <n v="32"/>
    <s v="Male"/>
    <n v="22"/>
    <n v="36.479999999999997"/>
    <x v="1"/>
    <s v="PayPal"/>
    <n v="1"/>
    <n v="66.099999999999994"/>
    <n v="3"/>
    <n v="814.95"/>
    <n v="1"/>
    <s v="Train"/>
    <x v="1"/>
    <x v="1"/>
    <x v="0"/>
    <x v="1"/>
    <s v="ContractType|Month-to-Month"/>
    <s v="Tenure_Bin|12-24"/>
    <s v="Satis_Bin|1-3"/>
    <s v="Monthly_Bin|30-60"/>
    <s v="Usage_Bin|40-80"/>
    <n v="3"/>
    <n v="1"/>
    <n v="4"/>
    <n v="0"/>
    <n v="0"/>
    <n v="8"/>
    <s v="High"/>
    <s v="No"/>
    <n v="0"/>
    <n v="0.73684210526315785"/>
    <s v="Yes"/>
    <x v="1"/>
    <s v="12-24"/>
  </r>
  <r>
    <n v="5"/>
    <n v="60"/>
    <s v="Male"/>
    <n v="58"/>
    <n v="61.13"/>
    <x v="0"/>
    <s v="Bank Transfer"/>
    <n v="3"/>
    <n v="79.099999999999994"/>
    <n v="1"/>
    <n v="3222"/>
    <n v="1"/>
    <s v="Train"/>
    <x v="0"/>
    <x v="2"/>
    <x v="0"/>
    <x v="1"/>
    <s v="ContractType|1-Year"/>
    <s v="Tenure_Bin|&gt;=24"/>
    <s v="Satis_Bin|1-3"/>
    <s v="Monthly_Bin|60-90"/>
    <s v="Usage_Bin|40-80"/>
    <n v="1"/>
    <n v="0"/>
    <n v="4"/>
    <n v="1"/>
    <n v="0"/>
    <n v="6"/>
    <s v="Medium"/>
    <s v="No"/>
    <n v="0"/>
    <n v="0.33333333333333331"/>
    <s v="No"/>
    <x v="2"/>
    <e v="#N/A"/>
  </r>
  <r>
    <n v="6"/>
    <n v="25"/>
    <s v="Female"/>
    <n v="58"/>
    <n v="97.76"/>
    <x v="1"/>
    <s v="PayPal"/>
    <n v="2"/>
    <n v="25.6"/>
    <n v="4"/>
    <n v="5242.5600000000004"/>
    <n v="1"/>
    <s v="Train"/>
    <x v="0"/>
    <x v="0"/>
    <x v="1"/>
    <x v="2"/>
    <s v="ContractType|Month-to-Month"/>
    <s v="Tenure_Bin|&gt;=24"/>
    <s v="Satis_Bin|4-6"/>
    <s v="Monthly_Bin|&gt;=90"/>
    <s v="Usage_Bin|20-40"/>
    <n v="3"/>
    <n v="0"/>
    <n v="2"/>
    <n v="2"/>
    <n v="1"/>
    <n v="8"/>
    <s v="High"/>
    <s v="No"/>
    <n v="0"/>
    <n v="0.73684210526315785"/>
    <s v="Yes"/>
    <x v="1"/>
    <s v="&gt;=24"/>
  </r>
  <r>
    <n v="10"/>
    <n v="40"/>
    <s v="Female"/>
    <n v="70"/>
    <n v="94.96"/>
    <x v="1"/>
    <s v="Credit Card"/>
    <n v="5"/>
    <n v="21.9"/>
    <n v="8"/>
    <n v="6849.66"/>
    <n v="0"/>
    <s v="Train"/>
    <x v="0"/>
    <x v="0"/>
    <x v="2"/>
    <x v="2"/>
    <s v="ContractType|Month-to-Month"/>
    <s v="Tenure_Bin|&gt;=24"/>
    <s v="Satis_Bin|7-10"/>
    <s v="Monthly_Bin|&gt;=90"/>
    <s v="Usage_Bin|20-40"/>
    <n v="3"/>
    <n v="0"/>
    <n v="0"/>
    <n v="2"/>
    <n v="1"/>
    <n v="6"/>
    <s v="Medium"/>
    <s v="No"/>
    <n v="0"/>
    <n v="0.33333333333333331"/>
    <s v="No"/>
    <x v="2"/>
    <e v="#N/A"/>
  </r>
  <r>
    <n v="11"/>
    <n v="28"/>
    <s v="Male"/>
    <n v="15"/>
    <n v="59.3"/>
    <x v="1"/>
    <s v="Bank Transfer"/>
    <n v="1"/>
    <n v="7.8"/>
    <n v="8"/>
    <n v="950.98"/>
    <n v="0"/>
    <s v="Train"/>
    <x v="1"/>
    <x v="1"/>
    <x v="2"/>
    <x v="0"/>
    <s v="ContractType|Month-to-Month"/>
    <s v="Tenure_Bin|12-24"/>
    <s v="Satis_Bin|7-10"/>
    <s v="Monthly_Bin|30-60"/>
    <s v="Usage_Bin|&lt;20"/>
    <n v="3"/>
    <n v="1"/>
    <n v="0"/>
    <n v="0"/>
    <n v="2"/>
    <n v="6"/>
    <s v="Medium"/>
    <s v="No"/>
    <n v="0"/>
    <n v="0.33333333333333331"/>
    <s v="No"/>
    <x v="2"/>
    <e v="#N/A"/>
  </r>
  <r>
    <n v="13"/>
    <n v="41"/>
    <s v="Female"/>
    <n v="60"/>
    <n v="76.91"/>
    <x v="1"/>
    <s v="PayPal"/>
    <n v="0"/>
    <n v="22.2"/>
    <n v="6"/>
    <n v="4549.93"/>
    <n v="0"/>
    <s v="Train"/>
    <x v="0"/>
    <x v="2"/>
    <x v="1"/>
    <x v="2"/>
    <s v="ContractType|Month-to-Month"/>
    <s v="Tenure_Bin|&gt;=24"/>
    <s v="Satis_Bin|4-6"/>
    <s v="Monthly_Bin|60-90"/>
    <s v="Usage_Bin|20-40"/>
    <n v="3"/>
    <n v="0"/>
    <n v="2"/>
    <n v="1"/>
    <n v="1"/>
    <n v="7"/>
    <s v="High"/>
    <s v="No"/>
    <n v="0"/>
    <n v="0.54166666666666663"/>
    <s v="Yes"/>
    <x v="0"/>
    <e v="#N/A"/>
  </r>
  <r>
    <n v="14"/>
    <n v="53"/>
    <s v="Male"/>
    <n v="8"/>
    <n v="26.35"/>
    <x v="1"/>
    <s v="Bank Transfer"/>
    <n v="1"/>
    <n v="41.8"/>
    <n v="9"/>
    <n v="218.09"/>
    <n v="1"/>
    <s v="Train"/>
    <x v="2"/>
    <x v="3"/>
    <x v="2"/>
    <x v="1"/>
    <s v="ContractType|Month-to-Month"/>
    <s v="Tenure_Bin|6-12"/>
    <s v="Satis_Bin|7-10"/>
    <s v="Monthly_Bin|&lt;30"/>
    <s v="Usage_Bin|40-80"/>
    <n v="3"/>
    <n v="2"/>
    <n v="0"/>
    <n v="0"/>
    <n v="0"/>
    <n v="5"/>
    <s v="Medium"/>
    <s v="No"/>
    <n v="0"/>
    <n v="0.33333333333333331"/>
    <s v="No"/>
    <x v="2"/>
    <e v="#N/A"/>
  </r>
  <r>
    <n v="15"/>
    <n v="57"/>
    <s v="Male"/>
    <n v="53"/>
    <n v="23.68"/>
    <x v="1"/>
    <s v="PayPal"/>
    <n v="1"/>
    <n v="43.2"/>
    <n v="4"/>
    <n v="1198.6600000000001"/>
    <n v="0"/>
    <s v="Train"/>
    <x v="0"/>
    <x v="3"/>
    <x v="1"/>
    <x v="1"/>
    <s v="ContractType|Month-to-Month"/>
    <s v="Tenure_Bin|&gt;=24"/>
    <s v="Satis_Bin|4-6"/>
    <s v="Monthly_Bin|&lt;30"/>
    <s v="Usage_Bin|40-80"/>
    <n v="3"/>
    <n v="0"/>
    <n v="2"/>
    <n v="0"/>
    <n v="0"/>
    <n v="5"/>
    <s v="Medium"/>
    <s v="No"/>
    <n v="0"/>
    <n v="0.33333333333333331"/>
    <s v="No"/>
    <x v="2"/>
    <e v="#N/A"/>
  </r>
  <r>
    <n v="16"/>
    <n v="41"/>
    <s v="Female"/>
    <n v="60"/>
    <n v="33.39"/>
    <x v="1"/>
    <s v="Credit Card"/>
    <n v="3"/>
    <n v="88.1"/>
    <n v="1"/>
    <n v="1925.79"/>
    <n v="1"/>
    <s v="Train"/>
    <x v="0"/>
    <x v="1"/>
    <x v="0"/>
    <x v="3"/>
    <s v="ContractType|Month-to-Month"/>
    <s v="Tenure_Bin|&gt;=24"/>
    <s v="Satis_Bin|1-3"/>
    <s v="Monthly_Bin|30-60"/>
    <s v="Usage_Bin|&gt;=80"/>
    <n v="3"/>
    <n v="0"/>
    <n v="4"/>
    <n v="0"/>
    <n v="0"/>
    <n v="7"/>
    <s v="High"/>
    <s v="No"/>
    <n v="0"/>
    <n v="0.54166666666666663"/>
    <s v="Yes"/>
    <x v="0"/>
    <e v="#N/A"/>
  </r>
  <r>
    <n v="17"/>
    <n v="20"/>
    <s v="Female"/>
    <n v="5"/>
    <n v="21.37"/>
    <x v="0"/>
    <s v="PayPal"/>
    <n v="3"/>
    <n v="53.5"/>
    <n v="8"/>
    <n v="113.03"/>
    <n v="0"/>
    <s v="Train"/>
    <x v="3"/>
    <x v="3"/>
    <x v="2"/>
    <x v="1"/>
    <s v="ContractType|1-Year"/>
    <s v="Tenure_Bin|&lt;6"/>
    <s v="Satis_Bin|7-10"/>
    <s v="Monthly_Bin|&lt;30"/>
    <s v="Usage_Bin|40-80"/>
    <n v="1"/>
    <n v="3"/>
    <n v="0"/>
    <n v="0"/>
    <n v="0"/>
    <n v="4"/>
    <s v="Medium"/>
    <s v="No"/>
    <n v="0"/>
    <n v="0.40740740740740738"/>
    <s v="No"/>
    <x v="0"/>
    <e v="#N/A"/>
  </r>
  <r>
    <n v="18"/>
    <n v="39"/>
    <s v="Male"/>
    <n v="68"/>
    <n v="27.54"/>
    <x v="1"/>
    <s v="Credit Card"/>
    <n v="2"/>
    <n v="73.7"/>
    <n v="7"/>
    <n v="1852.65"/>
    <n v="0"/>
    <s v="Train"/>
    <x v="0"/>
    <x v="3"/>
    <x v="2"/>
    <x v="1"/>
    <s v="ContractType|Month-to-Month"/>
    <s v="Tenure_Bin|&gt;=24"/>
    <s v="Satis_Bin|7-10"/>
    <s v="Monthly_Bin|&lt;30"/>
    <s v="Usage_Bin|40-80"/>
    <n v="3"/>
    <n v="0"/>
    <n v="0"/>
    <n v="0"/>
    <n v="0"/>
    <n v="3"/>
    <s v="Low"/>
    <s v="No"/>
    <n v="0"/>
    <n v="0.42105263157894735"/>
    <s v="No"/>
    <x v="0"/>
    <e v="#N/A"/>
  </r>
  <r>
    <n v="19"/>
    <n v="19"/>
    <s v="Female"/>
    <n v="6"/>
    <n v="89.17"/>
    <x v="1"/>
    <s v="PayPal"/>
    <n v="6"/>
    <n v="14.9"/>
    <n v="7"/>
    <n v="566.95000000000005"/>
    <n v="1"/>
    <s v="Train"/>
    <x v="2"/>
    <x v="2"/>
    <x v="2"/>
    <x v="0"/>
    <s v="ContractType|Month-to-Month"/>
    <s v="Tenure_Bin|6-12"/>
    <s v="Satis_Bin|7-10"/>
    <s v="Monthly_Bin|60-90"/>
    <s v="Usage_Bin|&lt;20"/>
    <n v="3"/>
    <n v="2"/>
    <n v="0"/>
    <n v="1"/>
    <n v="2"/>
    <n v="8"/>
    <s v="High"/>
    <s v="No"/>
    <n v="0"/>
    <n v="0.73684210526315785"/>
    <s v="Yes"/>
    <x v="1"/>
    <s v="6-12"/>
  </r>
  <r>
    <n v="20"/>
    <n v="41"/>
    <s v="Male"/>
    <n v="47"/>
    <n v="73.430000000000007"/>
    <x v="1"/>
    <s v="Bank Transfer"/>
    <n v="3"/>
    <n v="26.4"/>
    <n v="3"/>
    <n v="3673.76"/>
    <n v="1"/>
    <s v="Train"/>
    <x v="0"/>
    <x v="2"/>
    <x v="0"/>
    <x v="2"/>
    <s v="ContractType|Month-to-Month"/>
    <s v="Tenure_Bin|&gt;=24"/>
    <s v="Satis_Bin|1-3"/>
    <s v="Monthly_Bin|60-90"/>
    <s v="Usage_Bin|20-40"/>
    <n v="3"/>
    <n v="0"/>
    <n v="4"/>
    <n v="1"/>
    <n v="1"/>
    <n v="9"/>
    <s v="High"/>
    <s v="No"/>
    <n v="0"/>
    <n v="0.54545454545454541"/>
    <s v="Yes"/>
    <x v="0"/>
    <e v="#N/A"/>
  </r>
  <r>
    <n v="21"/>
    <n v="61"/>
    <s v="Female"/>
    <n v="55"/>
    <n v="94.99"/>
    <x v="0"/>
    <s v="PayPal"/>
    <n v="4"/>
    <n v="71.8"/>
    <n v="4"/>
    <n v="5598.06"/>
    <n v="0"/>
    <s v="Train"/>
    <x v="0"/>
    <x v="0"/>
    <x v="1"/>
    <x v="1"/>
    <s v="ContractType|1-Year"/>
    <s v="Tenure_Bin|&gt;=24"/>
    <s v="Satis_Bin|4-6"/>
    <s v="Monthly_Bin|&gt;=90"/>
    <s v="Usage_Bin|40-80"/>
    <n v="1"/>
    <n v="0"/>
    <n v="2"/>
    <n v="2"/>
    <n v="0"/>
    <n v="5"/>
    <s v="Medium"/>
    <s v="No"/>
    <n v="0"/>
    <n v="0.33333333333333331"/>
    <s v="No"/>
    <x v="2"/>
    <e v="#N/A"/>
  </r>
  <r>
    <n v="23"/>
    <n v="55"/>
    <s v="Male"/>
    <n v="52"/>
    <n v="78.510000000000005"/>
    <x v="0"/>
    <s v="Credit Card"/>
    <n v="0"/>
    <n v="51.2"/>
    <n v="9"/>
    <n v="4026.17"/>
    <n v="1"/>
    <s v="Train"/>
    <x v="0"/>
    <x v="2"/>
    <x v="2"/>
    <x v="1"/>
    <s v="ContractType|1-Year"/>
    <s v="Tenure_Bin|&gt;=24"/>
    <s v="Satis_Bin|7-10"/>
    <s v="Monthly_Bin|60-90"/>
    <s v="Usage_Bin|40-80"/>
    <n v="1"/>
    <n v="0"/>
    <n v="0"/>
    <n v="1"/>
    <n v="0"/>
    <n v="2"/>
    <s v="Low"/>
    <s v="No"/>
    <n v="0"/>
    <n v="0.6"/>
    <s v="Yes"/>
    <x v="1"/>
    <s v="&gt;=24"/>
  </r>
  <r>
    <n v="24"/>
    <n v="19"/>
    <s v="Male"/>
    <n v="16"/>
    <n v="92.61"/>
    <x v="2"/>
    <s v="Bank Transfer"/>
    <n v="1"/>
    <n v="61.9"/>
    <n v="6"/>
    <n v="1428.08"/>
    <n v="0"/>
    <s v="Train"/>
    <x v="1"/>
    <x v="0"/>
    <x v="1"/>
    <x v="1"/>
    <s v="ContractType|2-Year"/>
    <s v="Tenure_Bin|12-24"/>
    <s v="Satis_Bin|4-6"/>
    <s v="Monthly_Bin|&gt;=90"/>
    <s v="Usage_Bin|40-80"/>
    <n v="0"/>
    <n v="1"/>
    <n v="2"/>
    <n v="2"/>
    <n v="0"/>
    <n v="5"/>
    <s v="Medium"/>
    <s v="No"/>
    <n v="0"/>
    <n v="0.33333333333333331"/>
    <s v="No"/>
    <x v="2"/>
    <e v="#N/A"/>
  </r>
  <r>
    <n v="27"/>
    <n v="29"/>
    <s v="Male"/>
    <n v="19"/>
    <n v="44.11"/>
    <x v="1"/>
    <s v="PayPal"/>
    <n v="1"/>
    <n v="35.6"/>
    <n v="9"/>
    <n v="855.03"/>
    <n v="0"/>
    <s v="Train"/>
    <x v="1"/>
    <x v="1"/>
    <x v="2"/>
    <x v="2"/>
    <s v="ContractType|Month-to-Month"/>
    <s v="Tenure_Bin|12-24"/>
    <s v="Satis_Bin|7-10"/>
    <s v="Monthly_Bin|30-60"/>
    <s v="Usage_Bin|20-40"/>
    <n v="3"/>
    <n v="1"/>
    <n v="0"/>
    <n v="0"/>
    <n v="1"/>
    <n v="5"/>
    <s v="Medium"/>
    <s v="No"/>
    <n v="0"/>
    <n v="0.33333333333333331"/>
    <s v="No"/>
    <x v="2"/>
    <e v="#N/A"/>
  </r>
  <r>
    <n v="28"/>
    <n v="39"/>
    <s v="Female"/>
    <n v="17"/>
    <n v="40.5"/>
    <x v="1"/>
    <s v="PayPal"/>
    <n v="2"/>
    <n v="65.5"/>
    <n v="5"/>
    <n v="716.81"/>
    <n v="0"/>
    <s v="Train"/>
    <x v="1"/>
    <x v="1"/>
    <x v="1"/>
    <x v="1"/>
    <s v="ContractType|Month-to-Month"/>
    <s v="Tenure_Bin|12-24"/>
    <s v="Satis_Bin|4-6"/>
    <s v="Monthly_Bin|30-60"/>
    <s v="Usage_Bin|40-80"/>
    <n v="3"/>
    <n v="1"/>
    <n v="2"/>
    <n v="0"/>
    <n v="0"/>
    <n v="6"/>
    <s v="Medium"/>
    <s v="No"/>
    <n v="0"/>
    <n v="0.33333333333333331"/>
    <s v="No"/>
    <x v="2"/>
    <e v="#N/A"/>
  </r>
  <r>
    <n v="29"/>
    <n v="61"/>
    <s v="Male"/>
    <n v="63"/>
    <n v="45.14"/>
    <x v="0"/>
    <s v="Bank Transfer"/>
    <n v="1"/>
    <n v="19.2"/>
    <n v="5"/>
    <n v="2950.98"/>
    <n v="0"/>
    <s v="Train"/>
    <x v="0"/>
    <x v="1"/>
    <x v="1"/>
    <x v="0"/>
    <s v="ContractType|1-Year"/>
    <s v="Tenure_Bin|&gt;=24"/>
    <s v="Satis_Bin|4-6"/>
    <s v="Monthly_Bin|30-60"/>
    <s v="Usage_Bin|&lt;20"/>
    <n v="1"/>
    <n v="0"/>
    <n v="2"/>
    <n v="0"/>
    <n v="2"/>
    <n v="5"/>
    <s v="Medium"/>
    <s v="No"/>
    <n v="0"/>
    <n v="0.33333333333333331"/>
    <s v="No"/>
    <x v="2"/>
    <e v="#N/A"/>
  </r>
  <r>
    <n v="30"/>
    <n v="42"/>
    <s v="Male"/>
    <n v="19"/>
    <n v="47.47"/>
    <x v="2"/>
    <s v="PayPal"/>
    <n v="1"/>
    <n v="71.099999999999994"/>
    <n v="4"/>
    <n v="879.3"/>
    <n v="1"/>
    <s v="Train"/>
    <x v="1"/>
    <x v="1"/>
    <x v="1"/>
    <x v="1"/>
    <s v="ContractType|2-Year"/>
    <s v="Tenure_Bin|12-24"/>
    <s v="Satis_Bin|4-6"/>
    <s v="Monthly_Bin|30-60"/>
    <s v="Usage_Bin|40-80"/>
    <n v="0"/>
    <n v="1"/>
    <n v="2"/>
    <n v="0"/>
    <n v="0"/>
    <n v="3"/>
    <s v="Low"/>
    <s v="No"/>
    <n v="0"/>
    <n v="0.42105263157894735"/>
    <s v="No"/>
    <x v="0"/>
    <e v="#N/A"/>
  </r>
  <r>
    <n v="31"/>
    <n v="66"/>
    <s v="Female"/>
    <n v="58"/>
    <n v="40.72"/>
    <x v="1"/>
    <s v="Bank Transfer"/>
    <n v="2"/>
    <n v="75.900000000000006"/>
    <n v="4"/>
    <n v="2204.4"/>
    <n v="1"/>
    <s v="Train"/>
    <x v="0"/>
    <x v="1"/>
    <x v="1"/>
    <x v="1"/>
    <s v="ContractType|Month-to-Month"/>
    <s v="Tenure_Bin|&gt;=24"/>
    <s v="Satis_Bin|4-6"/>
    <s v="Monthly_Bin|30-60"/>
    <s v="Usage_Bin|40-80"/>
    <n v="3"/>
    <n v="0"/>
    <n v="2"/>
    <n v="0"/>
    <n v="0"/>
    <n v="5"/>
    <s v="Medium"/>
    <s v="No"/>
    <n v="0"/>
    <n v="0.33333333333333331"/>
    <s v="No"/>
    <x v="2"/>
    <e v="#N/A"/>
  </r>
  <r>
    <n v="32"/>
    <n v="44"/>
    <s v="Female"/>
    <n v="55"/>
    <n v="107.82"/>
    <x v="1"/>
    <s v="PayPal"/>
    <n v="2"/>
    <n v="98.3"/>
    <n v="1"/>
    <n v="5847.71"/>
    <n v="0"/>
    <s v="Train"/>
    <x v="0"/>
    <x v="0"/>
    <x v="0"/>
    <x v="3"/>
    <s v="ContractType|Month-to-Month"/>
    <s v="Tenure_Bin|&gt;=24"/>
    <s v="Satis_Bin|1-3"/>
    <s v="Monthly_Bin|&gt;=90"/>
    <s v="Usage_Bin|&gt;=80"/>
    <n v="3"/>
    <n v="0"/>
    <n v="4"/>
    <n v="2"/>
    <n v="0"/>
    <n v="9"/>
    <s v="High"/>
    <s v="No"/>
    <n v="0"/>
    <n v="0.54545454545454541"/>
    <s v="Yes"/>
    <x v="0"/>
    <e v="#N/A"/>
  </r>
  <r>
    <n v="34"/>
    <n v="45"/>
    <s v="Female"/>
    <n v="23"/>
    <n v="24.69"/>
    <x v="0"/>
    <s v="Bank Transfer"/>
    <n v="5"/>
    <n v="83.4"/>
    <n v="9"/>
    <n v="612.16999999999996"/>
    <n v="1"/>
    <s v="Train"/>
    <x v="1"/>
    <x v="3"/>
    <x v="2"/>
    <x v="3"/>
    <s v="ContractType|1-Year"/>
    <s v="Tenure_Bin|12-24"/>
    <s v="Satis_Bin|7-10"/>
    <s v="Monthly_Bin|&lt;30"/>
    <s v="Usage_Bin|&gt;=80"/>
    <n v="1"/>
    <n v="1"/>
    <n v="0"/>
    <n v="0"/>
    <n v="0"/>
    <n v="2"/>
    <s v="Low"/>
    <s v="No"/>
    <n v="0"/>
    <n v="0.6"/>
    <s v="Yes"/>
    <x v="1"/>
    <s v="12-24"/>
  </r>
  <r>
    <n v="35"/>
    <n v="33"/>
    <s v="Female"/>
    <n v="9"/>
    <n v="46.87"/>
    <x v="1"/>
    <s v="PayPal"/>
    <n v="0"/>
    <n v="54.4"/>
    <n v="3"/>
    <n v="408.83"/>
    <n v="1"/>
    <s v="Train"/>
    <x v="2"/>
    <x v="1"/>
    <x v="0"/>
    <x v="1"/>
    <s v="ContractType|Month-to-Month"/>
    <s v="Tenure_Bin|6-12"/>
    <s v="Satis_Bin|1-3"/>
    <s v="Monthly_Bin|30-60"/>
    <s v="Usage_Bin|40-80"/>
    <n v="3"/>
    <n v="2"/>
    <n v="4"/>
    <n v="0"/>
    <n v="0"/>
    <n v="9"/>
    <s v="High"/>
    <s v="No"/>
    <n v="0"/>
    <n v="0.54545454545454541"/>
    <s v="Yes"/>
    <x v="0"/>
    <e v="#N/A"/>
  </r>
  <r>
    <n v="36"/>
    <n v="32"/>
    <s v="Male"/>
    <n v="12"/>
    <n v="22.22"/>
    <x v="1"/>
    <s v="PayPal"/>
    <n v="1"/>
    <n v="40.5"/>
    <n v="2"/>
    <n v="248.21"/>
    <n v="0"/>
    <s v="Train"/>
    <x v="1"/>
    <x v="3"/>
    <x v="0"/>
    <x v="1"/>
    <s v="ContractType|Month-to-Month"/>
    <s v="Tenure_Bin|12-24"/>
    <s v="Satis_Bin|1-3"/>
    <s v="Monthly_Bin|&lt;30"/>
    <s v="Usage_Bin|40-80"/>
    <n v="3"/>
    <n v="1"/>
    <n v="4"/>
    <n v="0"/>
    <n v="0"/>
    <n v="8"/>
    <s v="High"/>
    <s v="No"/>
    <n v="0"/>
    <n v="0.73684210526315785"/>
    <s v="Yes"/>
    <x v="1"/>
    <s v="12-24"/>
  </r>
  <r>
    <n v="37"/>
    <n v="64"/>
    <s v="Male"/>
    <n v="1"/>
    <n v="69.819999999999993"/>
    <x v="2"/>
    <s v="Credit Card"/>
    <n v="1"/>
    <n v="16.600000000000001"/>
    <n v="3"/>
    <n v="63.19"/>
    <n v="0"/>
    <s v="Train"/>
    <x v="3"/>
    <x v="2"/>
    <x v="0"/>
    <x v="0"/>
    <s v="ContractType|2-Year"/>
    <s v="Tenure_Bin|&lt;6"/>
    <s v="Satis_Bin|1-3"/>
    <s v="Monthly_Bin|60-90"/>
    <s v="Usage_Bin|&lt;20"/>
    <n v="0"/>
    <n v="3"/>
    <n v="4"/>
    <n v="1"/>
    <n v="2"/>
    <n v="10"/>
    <s v="High"/>
    <s v="No"/>
    <n v="0"/>
    <n v="0.5"/>
    <s v="Yes"/>
    <x v="0"/>
    <e v="#N/A"/>
  </r>
  <r>
    <n v="38"/>
    <n v="68"/>
    <s v="Female"/>
    <n v="58"/>
    <n v="67.62"/>
    <x v="0"/>
    <s v="Bank Transfer"/>
    <n v="3"/>
    <n v="74.900000000000006"/>
    <n v="1"/>
    <n v="4036.34"/>
    <n v="0"/>
    <s v="Train"/>
    <x v="0"/>
    <x v="2"/>
    <x v="0"/>
    <x v="1"/>
    <s v="ContractType|1-Year"/>
    <s v="Tenure_Bin|&gt;=24"/>
    <s v="Satis_Bin|1-3"/>
    <s v="Monthly_Bin|60-90"/>
    <s v="Usage_Bin|40-80"/>
    <n v="1"/>
    <n v="0"/>
    <n v="4"/>
    <n v="1"/>
    <n v="0"/>
    <n v="6"/>
    <s v="Medium"/>
    <s v="No"/>
    <n v="0"/>
    <n v="0.33333333333333331"/>
    <s v="No"/>
    <x v="2"/>
    <e v="#N/A"/>
  </r>
  <r>
    <n v="39"/>
    <n v="61"/>
    <s v="Male"/>
    <n v="1"/>
    <n v="103.14"/>
    <x v="1"/>
    <s v="PayPal"/>
    <n v="2"/>
    <n v="27.4"/>
    <n v="6"/>
    <n v="105.96"/>
    <n v="1"/>
    <s v="Train"/>
    <x v="3"/>
    <x v="0"/>
    <x v="1"/>
    <x v="2"/>
    <s v="ContractType|Month-to-Month"/>
    <s v="Tenure_Bin|&lt;6"/>
    <s v="Satis_Bin|4-6"/>
    <s v="Monthly_Bin|&gt;=90"/>
    <s v="Usage_Bin|20-40"/>
    <n v="3"/>
    <n v="3"/>
    <n v="2"/>
    <n v="2"/>
    <n v="1"/>
    <n v="11"/>
    <s v="High"/>
    <s v="No"/>
    <n v="0"/>
    <n v="0.6"/>
    <s v="Yes"/>
    <x v="1"/>
    <s v="&lt;6"/>
  </r>
  <r>
    <n v="40"/>
    <n v="69"/>
    <s v="Male"/>
    <n v="34"/>
    <n v="50.78"/>
    <x v="0"/>
    <s v="Credit Card"/>
    <n v="2"/>
    <n v="40.299999999999997"/>
    <n v="7"/>
    <n v="1671.48"/>
    <n v="0"/>
    <s v="Train"/>
    <x v="0"/>
    <x v="1"/>
    <x v="2"/>
    <x v="1"/>
    <s v="ContractType|1-Year"/>
    <s v="Tenure_Bin|&gt;=24"/>
    <s v="Satis_Bin|7-10"/>
    <s v="Monthly_Bin|30-60"/>
    <s v="Usage_Bin|40-80"/>
    <n v="1"/>
    <n v="0"/>
    <n v="0"/>
    <n v="0"/>
    <n v="0"/>
    <n v="1"/>
    <s v="Low"/>
    <s v="No"/>
    <n v="0"/>
    <n v="0.25"/>
    <s v="No"/>
    <x v="2"/>
    <e v="#N/A"/>
  </r>
  <r>
    <n v="41"/>
    <n v="20"/>
    <s v="Female"/>
    <n v="48"/>
    <n v="101.64"/>
    <x v="0"/>
    <s v="PayPal"/>
    <n v="3"/>
    <n v="10.9"/>
    <n v="2"/>
    <n v="4460.82"/>
    <n v="1"/>
    <s v="Train"/>
    <x v="0"/>
    <x v="0"/>
    <x v="0"/>
    <x v="0"/>
    <s v="ContractType|1-Year"/>
    <s v="Tenure_Bin|&gt;=24"/>
    <s v="Satis_Bin|1-3"/>
    <s v="Monthly_Bin|&gt;=90"/>
    <s v="Usage_Bin|&lt;20"/>
    <n v="1"/>
    <n v="0"/>
    <n v="4"/>
    <n v="2"/>
    <n v="2"/>
    <n v="9"/>
    <s v="High"/>
    <s v="No"/>
    <n v="0"/>
    <n v="0.54545454545454541"/>
    <s v="Yes"/>
    <x v="0"/>
    <e v="#N/A"/>
  </r>
  <r>
    <n v="42"/>
    <n v="54"/>
    <s v="Male"/>
    <n v="1"/>
    <n v="116.8"/>
    <x v="1"/>
    <s v="Bank Transfer"/>
    <n v="0"/>
    <n v="81.099999999999994"/>
    <n v="8"/>
    <n v="114.69"/>
    <n v="1"/>
    <s v="Train"/>
    <x v="3"/>
    <x v="0"/>
    <x v="2"/>
    <x v="3"/>
    <s v="ContractType|Month-to-Month"/>
    <s v="Tenure_Bin|&lt;6"/>
    <s v="Satis_Bin|7-10"/>
    <s v="Monthly_Bin|&gt;=90"/>
    <s v="Usage_Bin|&gt;=80"/>
    <n v="3"/>
    <n v="3"/>
    <n v="0"/>
    <n v="2"/>
    <n v="0"/>
    <n v="8"/>
    <s v="High"/>
    <s v="No"/>
    <n v="0"/>
    <n v="0.73684210526315785"/>
    <s v="Yes"/>
    <x v="1"/>
    <s v="&lt;6"/>
  </r>
  <r>
    <n v="43"/>
    <n v="68"/>
    <s v="Male"/>
    <n v="16"/>
    <n v="28.84"/>
    <x v="1"/>
    <s v="PayPal"/>
    <n v="2"/>
    <n v="77.8"/>
    <n v="6"/>
    <n v="444.02"/>
    <n v="1"/>
    <s v="Train"/>
    <x v="1"/>
    <x v="3"/>
    <x v="1"/>
    <x v="1"/>
    <s v="ContractType|Month-to-Month"/>
    <s v="Tenure_Bin|12-24"/>
    <s v="Satis_Bin|4-6"/>
    <s v="Monthly_Bin|&lt;30"/>
    <s v="Usage_Bin|40-80"/>
    <n v="3"/>
    <n v="1"/>
    <n v="2"/>
    <n v="0"/>
    <n v="0"/>
    <n v="6"/>
    <s v="Medium"/>
    <s v="No"/>
    <n v="0"/>
    <n v="0.33333333333333331"/>
    <s v="No"/>
    <x v="2"/>
    <e v="#N/A"/>
  </r>
  <r>
    <n v="44"/>
    <n v="24"/>
    <s v="Female"/>
    <n v="61"/>
    <n v="99.18"/>
    <x v="1"/>
    <s v="PayPal"/>
    <n v="4"/>
    <n v="74.7"/>
    <n v="4"/>
    <n v="6264.3"/>
    <n v="0"/>
    <s v="Train"/>
    <x v="0"/>
    <x v="0"/>
    <x v="1"/>
    <x v="1"/>
    <s v="ContractType|Month-to-Month"/>
    <s v="Tenure_Bin|&gt;=24"/>
    <s v="Satis_Bin|4-6"/>
    <s v="Monthly_Bin|&gt;=90"/>
    <s v="Usage_Bin|40-80"/>
    <n v="3"/>
    <n v="0"/>
    <n v="2"/>
    <n v="2"/>
    <n v="0"/>
    <n v="7"/>
    <s v="High"/>
    <s v="No"/>
    <n v="0"/>
    <n v="0.54166666666666663"/>
    <s v="Yes"/>
    <x v="0"/>
    <e v="#N/A"/>
  </r>
  <r>
    <n v="45"/>
    <n v="38"/>
    <s v="Female"/>
    <n v="64"/>
    <n v="79"/>
    <x v="1"/>
    <s v="PayPal"/>
    <n v="5"/>
    <n v="33.4"/>
    <n v="5"/>
    <n v="5162.96"/>
    <n v="1"/>
    <s v="Train"/>
    <x v="0"/>
    <x v="2"/>
    <x v="1"/>
    <x v="2"/>
    <s v="ContractType|Month-to-Month"/>
    <s v="Tenure_Bin|&gt;=24"/>
    <s v="Satis_Bin|4-6"/>
    <s v="Monthly_Bin|60-90"/>
    <s v="Usage_Bin|20-40"/>
    <n v="3"/>
    <n v="0"/>
    <n v="2"/>
    <n v="1"/>
    <n v="1"/>
    <n v="7"/>
    <s v="High"/>
    <s v="No"/>
    <n v="0"/>
    <n v="0.54166666666666663"/>
    <s v="Yes"/>
    <x v="0"/>
    <e v="#N/A"/>
  </r>
  <r>
    <n v="46"/>
    <n v="26"/>
    <s v="Male"/>
    <n v="63"/>
    <n v="68"/>
    <x v="0"/>
    <s v="PayPal"/>
    <n v="4"/>
    <n v="21.5"/>
    <n v="8"/>
    <n v="4167.9799999999996"/>
    <n v="0"/>
    <s v="Train"/>
    <x v="0"/>
    <x v="2"/>
    <x v="2"/>
    <x v="2"/>
    <s v="ContractType|1-Year"/>
    <s v="Tenure_Bin|&gt;=24"/>
    <s v="Satis_Bin|7-10"/>
    <s v="Monthly_Bin|60-90"/>
    <s v="Usage_Bin|20-40"/>
    <n v="1"/>
    <n v="0"/>
    <n v="0"/>
    <n v="1"/>
    <n v="1"/>
    <n v="3"/>
    <s v="Low"/>
    <s v="No"/>
    <n v="0"/>
    <n v="0.42105263157894735"/>
    <s v="No"/>
    <x v="0"/>
    <e v="#N/A"/>
  </r>
  <r>
    <n v="48"/>
    <n v="35"/>
    <s v="Female"/>
    <n v="22"/>
    <n v="98.47"/>
    <x v="1"/>
    <s v="Credit Card"/>
    <n v="1"/>
    <n v="52.1"/>
    <n v="3"/>
    <n v="2377.79"/>
    <n v="1"/>
    <s v="Train"/>
    <x v="1"/>
    <x v="0"/>
    <x v="0"/>
    <x v="1"/>
    <s v="ContractType|Month-to-Month"/>
    <s v="Tenure_Bin|12-24"/>
    <s v="Satis_Bin|1-3"/>
    <s v="Monthly_Bin|&gt;=90"/>
    <s v="Usage_Bin|40-80"/>
    <n v="3"/>
    <n v="1"/>
    <n v="4"/>
    <n v="2"/>
    <n v="0"/>
    <n v="10"/>
    <s v="High"/>
    <s v="No"/>
    <n v="0"/>
    <n v="0.5"/>
    <s v="Yes"/>
    <x v="0"/>
    <e v="#N/A"/>
  </r>
  <r>
    <n v="49"/>
    <n v="21"/>
    <s v="Female"/>
    <n v="67"/>
    <n v="83.94"/>
    <x v="1"/>
    <s v="Bank Transfer"/>
    <n v="3"/>
    <n v="21.9"/>
    <n v="4"/>
    <n v="5572.24"/>
    <n v="0"/>
    <s v="Train"/>
    <x v="0"/>
    <x v="2"/>
    <x v="1"/>
    <x v="2"/>
    <s v="ContractType|Month-to-Month"/>
    <s v="Tenure_Bin|&gt;=24"/>
    <s v="Satis_Bin|4-6"/>
    <s v="Monthly_Bin|60-90"/>
    <s v="Usage_Bin|20-40"/>
    <n v="3"/>
    <n v="0"/>
    <n v="2"/>
    <n v="1"/>
    <n v="1"/>
    <n v="7"/>
    <s v="High"/>
    <s v="No"/>
    <n v="0"/>
    <n v="0.54166666666666663"/>
    <s v="Yes"/>
    <x v="0"/>
    <e v="#N/A"/>
  </r>
  <r>
    <n v="50"/>
    <n v="42"/>
    <s v="Female"/>
    <n v="26"/>
    <n v="100.5"/>
    <x v="1"/>
    <s v="Credit Card"/>
    <n v="2"/>
    <n v="70.2"/>
    <n v="1"/>
    <n v="2711.39"/>
    <n v="1"/>
    <s v="Train"/>
    <x v="0"/>
    <x v="0"/>
    <x v="0"/>
    <x v="1"/>
    <s v="ContractType|Month-to-Month"/>
    <s v="Tenure_Bin|&gt;=24"/>
    <s v="Satis_Bin|1-3"/>
    <s v="Monthly_Bin|&gt;=90"/>
    <s v="Usage_Bin|40-80"/>
    <n v="3"/>
    <n v="0"/>
    <n v="4"/>
    <n v="2"/>
    <n v="0"/>
    <n v="9"/>
    <s v="High"/>
    <s v="No"/>
    <n v="0"/>
    <n v="0.54545454545454541"/>
    <s v="Yes"/>
    <x v="0"/>
    <e v="#N/A"/>
  </r>
  <r>
    <n v="53"/>
    <n v="26"/>
    <s v="Female"/>
    <n v="57"/>
    <n v="118.05"/>
    <x v="1"/>
    <s v="Credit Card"/>
    <n v="2"/>
    <n v="75.3"/>
    <n v="8"/>
    <n v="6093.02"/>
    <n v="0"/>
    <s v="Train"/>
    <x v="0"/>
    <x v="0"/>
    <x v="2"/>
    <x v="1"/>
    <s v="ContractType|Month-to-Month"/>
    <s v="Tenure_Bin|&gt;=24"/>
    <s v="Satis_Bin|7-10"/>
    <s v="Monthly_Bin|&gt;=90"/>
    <s v="Usage_Bin|40-80"/>
    <n v="3"/>
    <n v="0"/>
    <n v="0"/>
    <n v="2"/>
    <n v="0"/>
    <n v="5"/>
    <s v="Medium"/>
    <s v="No"/>
    <n v="0"/>
    <n v="0.33333333333333331"/>
    <s v="No"/>
    <x v="2"/>
    <e v="#N/A"/>
  </r>
  <r>
    <n v="54"/>
    <n v="43"/>
    <s v="Female"/>
    <n v="29"/>
    <n v="80.81"/>
    <x v="1"/>
    <s v="Credit Card"/>
    <n v="1"/>
    <n v="95.3"/>
    <n v="10"/>
    <n v="2346.0500000000002"/>
    <n v="0"/>
    <s v="Train"/>
    <x v="0"/>
    <x v="2"/>
    <x v="2"/>
    <x v="3"/>
    <s v="ContractType|Month-to-Month"/>
    <s v="Tenure_Bin|&gt;=24"/>
    <s v="Satis_Bin|7-10"/>
    <s v="Monthly_Bin|60-90"/>
    <s v="Usage_Bin|&gt;=80"/>
    <n v="3"/>
    <n v="0"/>
    <n v="0"/>
    <n v="1"/>
    <n v="0"/>
    <n v="4"/>
    <s v="Medium"/>
    <s v="No"/>
    <n v="0"/>
    <n v="0.40740740740740738"/>
    <s v="No"/>
    <x v="0"/>
    <e v="#N/A"/>
  </r>
  <r>
    <n v="57"/>
    <n v="45"/>
    <s v="Male"/>
    <n v="62"/>
    <n v="29.1"/>
    <x v="1"/>
    <s v="Bank Transfer"/>
    <n v="3"/>
    <n v="98.1"/>
    <n v="6"/>
    <n v="1637.85"/>
    <n v="0"/>
    <s v="Train"/>
    <x v="0"/>
    <x v="3"/>
    <x v="1"/>
    <x v="3"/>
    <s v="ContractType|Month-to-Month"/>
    <s v="Tenure_Bin|&gt;=24"/>
    <s v="Satis_Bin|4-6"/>
    <s v="Monthly_Bin|&lt;30"/>
    <s v="Usage_Bin|&gt;=80"/>
    <n v="3"/>
    <n v="0"/>
    <n v="2"/>
    <n v="0"/>
    <n v="0"/>
    <n v="5"/>
    <s v="Medium"/>
    <s v="No"/>
    <n v="0"/>
    <n v="0.33333333333333331"/>
    <s v="No"/>
    <x v="2"/>
    <e v="#N/A"/>
  </r>
  <r>
    <n v="59"/>
    <n v="24"/>
    <s v="Female"/>
    <n v="16"/>
    <n v="74.739999999999995"/>
    <x v="1"/>
    <s v="PayPal"/>
    <n v="2"/>
    <n v="71.5"/>
    <n v="3"/>
    <n v="1169.05"/>
    <n v="1"/>
    <s v="Train"/>
    <x v="1"/>
    <x v="2"/>
    <x v="0"/>
    <x v="1"/>
    <s v="ContractType|Month-to-Month"/>
    <s v="Tenure_Bin|12-24"/>
    <s v="Satis_Bin|1-3"/>
    <s v="Monthly_Bin|60-90"/>
    <s v="Usage_Bin|40-80"/>
    <n v="3"/>
    <n v="1"/>
    <n v="4"/>
    <n v="1"/>
    <n v="0"/>
    <n v="9"/>
    <s v="High"/>
    <s v="No"/>
    <n v="0"/>
    <n v="0.54545454545454541"/>
    <s v="Yes"/>
    <x v="0"/>
    <e v="#N/A"/>
  </r>
  <r>
    <n v="60"/>
    <n v="61"/>
    <s v="Female"/>
    <n v="48"/>
    <n v="65.09"/>
    <x v="0"/>
    <s v="Bank Transfer"/>
    <n v="3"/>
    <n v="60.7"/>
    <n v="3"/>
    <n v="2911.88"/>
    <n v="0"/>
    <s v="Train"/>
    <x v="0"/>
    <x v="2"/>
    <x v="0"/>
    <x v="1"/>
    <s v="ContractType|1-Year"/>
    <s v="Tenure_Bin|&gt;=24"/>
    <s v="Satis_Bin|1-3"/>
    <s v="Monthly_Bin|60-90"/>
    <s v="Usage_Bin|40-80"/>
    <n v="1"/>
    <n v="0"/>
    <n v="4"/>
    <n v="1"/>
    <n v="0"/>
    <n v="6"/>
    <s v="Medium"/>
    <s v="No"/>
    <n v="0"/>
    <n v="0.33333333333333331"/>
    <s v="No"/>
    <x v="2"/>
    <e v="#N/A"/>
  </r>
  <r>
    <n v="61"/>
    <n v="25"/>
    <s v="Male"/>
    <n v="39"/>
    <n v="111.05"/>
    <x v="0"/>
    <s v="Bank Transfer"/>
    <n v="3"/>
    <n v="60.7"/>
    <n v="3"/>
    <n v="3918.08"/>
    <n v="1"/>
    <s v="Train"/>
    <x v="0"/>
    <x v="0"/>
    <x v="0"/>
    <x v="1"/>
    <s v="ContractType|1-Year"/>
    <s v="Tenure_Bin|&gt;=24"/>
    <s v="Satis_Bin|1-3"/>
    <s v="Monthly_Bin|&gt;=90"/>
    <s v="Usage_Bin|40-80"/>
    <n v="1"/>
    <n v="0"/>
    <n v="4"/>
    <n v="2"/>
    <n v="0"/>
    <n v="7"/>
    <s v="High"/>
    <s v="No"/>
    <n v="0"/>
    <n v="0.54166666666666663"/>
    <s v="Yes"/>
    <x v="0"/>
    <e v="#N/A"/>
  </r>
  <r>
    <n v="62"/>
    <n v="64"/>
    <s v="Male"/>
    <n v="33"/>
    <n v="49.8"/>
    <x v="1"/>
    <s v="Bank Transfer"/>
    <n v="3"/>
    <n v="71.3"/>
    <n v="10"/>
    <n v="1727.61"/>
    <n v="0"/>
    <s v="Train"/>
    <x v="0"/>
    <x v="1"/>
    <x v="2"/>
    <x v="1"/>
    <s v="ContractType|Month-to-Month"/>
    <s v="Tenure_Bin|&gt;=24"/>
    <s v="Satis_Bin|7-10"/>
    <s v="Monthly_Bin|30-60"/>
    <s v="Usage_Bin|40-80"/>
    <n v="3"/>
    <n v="0"/>
    <n v="0"/>
    <n v="0"/>
    <n v="0"/>
    <n v="3"/>
    <s v="Low"/>
    <s v="No"/>
    <n v="0"/>
    <n v="0.42105263157894735"/>
    <s v="No"/>
    <x v="0"/>
    <e v="#N/A"/>
  </r>
  <r>
    <n v="64"/>
    <n v="31"/>
    <s v="Male"/>
    <n v="10"/>
    <n v="89.76"/>
    <x v="2"/>
    <s v="PayPal"/>
    <n v="2"/>
    <n v="79.3"/>
    <n v="9"/>
    <n v="859.77"/>
    <n v="0"/>
    <s v="Train"/>
    <x v="2"/>
    <x v="2"/>
    <x v="2"/>
    <x v="1"/>
    <s v="ContractType|2-Year"/>
    <s v="Tenure_Bin|6-12"/>
    <s v="Satis_Bin|7-10"/>
    <s v="Monthly_Bin|60-90"/>
    <s v="Usage_Bin|40-80"/>
    <n v="0"/>
    <n v="2"/>
    <n v="0"/>
    <n v="1"/>
    <n v="0"/>
    <n v="3"/>
    <s v="Low"/>
    <s v="No"/>
    <n v="0"/>
    <n v="0.42105263157894735"/>
    <s v="No"/>
    <x v="0"/>
    <e v="#N/A"/>
  </r>
  <r>
    <n v="65"/>
    <n v="34"/>
    <s v="Male"/>
    <n v="69"/>
    <n v="99.65"/>
    <x v="2"/>
    <s v="Credit Card"/>
    <n v="0"/>
    <n v="10.3"/>
    <n v="4"/>
    <n v="7426.03"/>
    <n v="1"/>
    <s v="Train"/>
    <x v="0"/>
    <x v="0"/>
    <x v="1"/>
    <x v="0"/>
    <s v="ContractType|2-Year"/>
    <s v="Tenure_Bin|&gt;=24"/>
    <s v="Satis_Bin|4-6"/>
    <s v="Monthly_Bin|&gt;=90"/>
    <s v="Usage_Bin|&lt;20"/>
    <n v="0"/>
    <n v="0"/>
    <n v="2"/>
    <n v="2"/>
    <n v="2"/>
    <n v="6"/>
    <s v="Medium"/>
    <s v="No"/>
    <n v="0"/>
    <n v="0.33333333333333331"/>
    <s v="No"/>
    <x v="2"/>
    <e v="#N/A"/>
  </r>
  <r>
    <n v="66"/>
    <n v="53"/>
    <s v="Male"/>
    <n v="34"/>
    <n v="65.930000000000007"/>
    <x v="1"/>
    <s v="Credit Card"/>
    <n v="1"/>
    <n v="86"/>
    <n v="7"/>
    <n v="2069.5300000000002"/>
    <n v="1"/>
    <s v="Train"/>
    <x v="0"/>
    <x v="2"/>
    <x v="2"/>
    <x v="3"/>
    <s v="ContractType|Month-to-Month"/>
    <s v="Tenure_Bin|&gt;=24"/>
    <s v="Satis_Bin|7-10"/>
    <s v="Monthly_Bin|60-90"/>
    <s v="Usage_Bin|&gt;=80"/>
    <n v="3"/>
    <n v="0"/>
    <n v="0"/>
    <n v="1"/>
    <n v="0"/>
    <n v="4"/>
    <s v="Medium"/>
    <s v="No"/>
    <n v="0"/>
    <n v="0.40740740740740738"/>
    <s v="No"/>
    <x v="0"/>
    <e v="#N/A"/>
  </r>
  <r>
    <n v="67"/>
    <n v="67"/>
    <s v="Male"/>
    <n v="52"/>
    <n v="104.21"/>
    <x v="1"/>
    <s v="Bank Transfer"/>
    <n v="3"/>
    <n v="26.4"/>
    <n v="9"/>
    <n v="5913.04"/>
    <n v="1"/>
    <s v="Train"/>
    <x v="0"/>
    <x v="0"/>
    <x v="2"/>
    <x v="2"/>
    <s v="ContractType|Month-to-Month"/>
    <s v="Tenure_Bin|&gt;=24"/>
    <s v="Satis_Bin|7-10"/>
    <s v="Monthly_Bin|&gt;=90"/>
    <s v="Usage_Bin|20-40"/>
    <n v="3"/>
    <n v="0"/>
    <n v="0"/>
    <n v="2"/>
    <n v="1"/>
    <n v="6"/>
    <s v="Medium"/>
    <s v="No"/>
    <n v="0"/>
    <n v="0.33333333333333331"/>
    <s v="No"/>
    <x v="2"/>
    <e v="#N/A"/>
  </r>
  <r>
    <n v="68"/>
    <n v="57"/>
    <s v="Male"/>
    <n v="10"/>
    <n v="96.89"/>
    <x v="2"/>
    <s v="PayPal"/>
    <n v="0"/>
    <n v="40.799999999999997"/>
    <n v="7"/>
    <n v="932.85"/>
    <n v="1"/>
    <s v="Train"/>
    <x v="2"/>
    <x v="0"/>
    <x v="2"/>
    <x v="1"/>
    <s v="ContractType|2-Year"/>
    <s v="Tenure_Bin|6-12"/>
    <s v="Satis_Bin|7-10"/>
    <s v="Monthly_Bin|&gt;=90"/>
    <s v="Usage_Bin|40-80"/>
    <n v="0"/>
    <n v="2"/>
    <n v="0"/>
    <n v="2"/>
    <n v="0"/>
    <n v="4"/>
    <s v="Medium"/>
    <s v="No"/>
    <n v="0"/>
    <n v="0.40740740740740738"/>
    <s v="No"/>
    <x v="0"/>
    <e v="#N/A"/>
  </r>
  <r>
    <n v="69"/>
    <n v="21"/>
    <s v="Male"/>
    <n v="19"/>
    <n v="26.62"/>
    <x v="1"/>
    <s v="PayPal"/>
    <n v="2"/>
    <n v="48.9"/>
    <n v="9"/>
    <n v="545.07000000000005"/>
    <n v="0"/>
    <s v="Train"/>
    <x v="1"/>
    <x v="3"/>
    <x v="2"/>
    <x v="1"/>
    <s v="ContractType|Month-to-Month"/>
    <s v="Tenure_Bin|12-24"/>
    <s v="Satis_Bin|7-10"/>
    <s v="Monthly_Bin|&lt;30"/>
    <s v="Usage_Bin|40-80"/>
    <n v="3"/>
    <n v="1"/>
    <n v="0"/>
    <n v="0"/>
    <n v="0"/>
    <n v="4"/>
    <s v="Medium"/>
    <s v="No"/>
    <n v="0"/>
    <n v="0.40740740740740738"/>
    <s v="No"/>
    <x v="0"/>
    <e v="#N/A"/>
  </r>
  <r>
    <n v="70"/>
    <n v="19"/>
    <s v="Female"/>
    <n v="58"/>
    <n v="24.59"/>
    <x v="1"/>
    <s v="PayPal"/>
    <n v="1"/>
    <n v="50.7"/>
    <n v="3"/>
    <n v="1455.58"/>
    <n v="1"/>
    <s v="Train"/>
    <x v="0"/>
    <x v="3"/>
    <x v="0"/>
    <x v="1"/>
    <s v="ContractType|Month-to-Month"/>
    <s v="Tenure_Bin|&gt;=24"/>
    <s v="Satis_Bin|1-3"/>
    <s v="Monthly_Bin|&lt;30"/>
    <s v="Usage_Bin|40-80"/>
    <n v="3"/>
    <n v="0"/>
    <n v="4"/>
    <n v="0"/>
    <n v="0"/>
    <n v="7"/>
    <s v="High"/>
    <s v="No"/>
    <n v="0"/>
    <n v="0.54166666666666663"/>
    <s v="Yes"/>
    <x v="0"/>
    <e v="#N/A"/>
  </r>
  <r>
    <n v="71"/>
    <n v="23"/>
    <s v="Female"/>
    <n v="1"/>
    <n v="82.08"/>
    <x v="2"/>
    <s v="Bank Transfer"/>
    <n v="3"/>
    <n v="46.3"/>
    <n v="4"/>
    <n v="87.44"/>
    <n v="0"/>
    <s v="Train"/>
    <x v="3"/>
    <x v="2"/>
    <x v="1"/>
    <x v="1"/>
    <s v="ContractType|2-Year"/>
    <s v="Tenure_Bin|&lt;6"/>
    <s v="Satis_Bin|4-6"/>
    <s v="Monthly_Bin|60-90"/>
    <s v="Usage_Bin|40-80"/>
    <n v="0"/>
    <n v="3"/>
    <n v="2"/>
    <n v="1"/>
    <n v="0"/>
    <n v="6"/>
    <s v="Medium"/>
    <s v="No"/>
    <n v="0"/>
    <n v="0.33333333333333331"/>
    <s v="No"/>
    <x v="2"/>
    <e v="#N/A"/>
  </r>
  <r>
    <n v="72"/>
    <n v="59"/>
    <s v="Male"/>
    <n v="69"/>
    <n v="54.74"/>
    <x v="1"/>
    <s v="Credit Card"/>
    <n v="2"/>
    <n v="94"/>
    <n v="8"/>
    <n v="4142.6899999999996"/>
    <n v="1"/>
    <s v="Train"/>
    <x v="0"/>
    <x v="1"/>
    <x v="2"/>
    <x v="3"/>
    <s v="ContractType|Month-to-Month"/>
    <s v="Tenure_Bin|&gt;=24"/>
    <s v="Satis_Bin|7-10"/>
    <s v="Monthly_Bin|30-60"/>
    <s v="Usage_Bin|&gt;=80"/>
    <n v="3"/>
    <n v="0"/>
    <n v="0"/>
    <n v="0"/>
    <n v="0"/>
    <n v="3"/>
    <s v="Low"/>
    <s v="No"/>
    <n v="0"/>
    <n v="0.42105263157894735"/>
    <s v="No"/>
    <x v="0"/>
    <e v="#N/A"/>
  </r>
  <r>
    <n v="73"/>
    <n v="21"/>
    <s v="Female"/>
    <n v="4"/>
    <n v="40.909999999999997"/>
    <x v="1"/>
    <s v="Bank Transfer"/>
    <n v="2"/>
    <n v="72.099999999999994"/>
    <n v="6"/>
    <n v="156.71"/>
    <n v="1"/>
    <s v="Train"/>
    <x v="3"/>
    <x v="1"/>
    <x v="1"/>
    <x v="1"/>
    <s v="ContractType|Month-to-Month"/>
    <s v="Tenure_Bin|&lt;6"/>
    <s v="Satis_Bin|4-6"/>
    <s v="Monthly_Bin|30-60"/>
    <s v="Usage_Bin|40-80"/>
    <n v="3"/>
    <n v="3"/>
    <n v="2"/>
    <n v="0"/>
    <n v="0"/>
    <n v="8"/>
    <s v="High"/>
    <s v="No"/>
    <n v="0"/>
    <n v="0.73684210526315785"/>
    <s v="Yes"/>
    <x v="1"/>
    <s v="&lt;6"/>
  </r>
  <r>
    <n v="76"/>
    <n v="43"/>
    <s v="Female"/>
    <n v="2"/>
    <n v="73.73"/>
    <x v="1"/>
    <s v="Bank Transfer"/>
    <n v="2"/>
    <n v="90.9"/>
    <n v="8"/>
    <n v="144.08000000000001"/>
    <n v="1"/>
    <s v="Train"/>
    <x v="3"/>
    <x v="2"/>
    <x v="2"/>
    <x v="3"/>
    <s v="ContractType|Month-to-Month"/>
    <s v="Tenure_Bin|&lt;6"/>
    <s v="Satis_Bin|7-10"/>
    <s v="Monthly_Bin|60-90"/>
    <s v="Usage_Bin|&gt;=80"/>
    <n v="3"/>
    <n v="3"/>
    <n v="0"/>
    <n v="1"/>
    <n v="0"/>
    <n v="7"/>
    <s v="High"/>
    <s v="No"/>
    <n v="0"/>
    <n v="0.54166666666666663"/>
    <s v="Yes"/>
    <x v="0"/>
    <e v="#N/A"/>
  </r>
  <r>
    <n v="77"/>
    <n v="61"/>
    <s v="Male"/>
    <n v="32"/>
    <n v="66.010000000000005"/>
    <x v="0"/>
    <s v="Credit Card"/>
    <n v="3"/>
    <n v="91.4"/>
    <n v="1"/>
    <n v="2044.89"/>
    <n v="0"/>
    <s v="Train"/>
    <x v="0"/>
    <x v="2"/>
    <x v="0"/>
    <x v="3"/>
    <s v="ContractType|1-Year"/>
    <s v="Tenure_Bin|&gt;=24"/>
    <s v="Satis_Bin|1-3"/>
    <s v="Monthly_Bin|60-90"/>
    <s v="Usage_Bin|&gt;=80"/>
    <n v="1"/>
    <n v="0"/>
    <n v="4"/>
    <n v="1"/>
    <n v="0"/>
    <n v="6"/>
    <s v="Medium"/>
    <s v="No"/>
    <n v="0"/>
    <n v="0.33333333333333331"/>
    <s v="No"/>
    <x v="2"/>
    <e v="#N/A"/>
  </r>
  <r>
    <n v="78"/>
    <n v="51"/>
    <s v="Female"/>
    <n v="24"/>
    <n v="78.48"/>
    <x v="1"/>
    <s v="Credit Card"/>
    <n v="3"/>
    <n v="79.099999999999994"/>
    <n v="9"/>
    <n v="1899.12"/>
    <n v="0"/>
    <s v="Train"/>
    <x v="0"/>
    <x v="2"/>
    <x v="2"/>
    <x v="1"/>
    <s v="ContractType|Month-to-Month"/>
    <s v="Tenure_Bin|&gt;=24"/>
    <s v="Satis_Bin|7-10"/>
    <s v="Monthly_Bin|60-90"/>
    <s v="Usage_Bin|40-80"/>
    <n v="3"/>
    <n v="0"/>
    <n v="0"/>
    <n v="1"/>
    <n v="0"/>
    <n v="4"/>
    <s v="Medium"/>
    <s v="No"/>
    <n v="0"/>
    <n v="0.40740740740740738"/>
    <s v="No"/>
    <x v="0"/>
    <e v="#N/A"/>
  </r>
  <r>
    <n v="79"/>
    <n v="27"/>
    <s v="Female"/>
    <n v="12"/>
    <n v="60.03"/>
    <x v="1"/>
    <s v="PayPal"/>
    <n v="1"/>
    <n v="5.7"/>
    <n v="1"/>
    <n v="670.53"/>
    <n v="1"/>
    <s v="Train"/>
    <x v="1"/>
    <x v="2"/>
    <x v="0"/>
    <x v="0"/>
    <s v="ContractType|Month-to-Month"/>
    <s v="Tenure_Bin|12-24"/>
    <s v="Satis_Bin|1-3"/>
    <s v="Monthly_Bin|60-90"/>
    <s v="Usage_Bin|&lt;20"/>
    <n v="3"/>
    <n v="1"/>
    <n v="4"/>
    <n v="1"/>
    <n v="2"/>
    <n v="11"/>
    <s v="High"/>
    <s v="No"/>
    <n v="0"/>
    <n v="0.6"/>
    <s v="Yes"/>
    <x v="1"/>
    <s v="12-24"/>
  </r>
  <r>
    <n v="83"/>
    <n v="65"/>
    <s v="Female"/>
    <n v="33"/>
    <n v="61.17"/>
    <x v="1"/>
    <s v="Credit Card"/>
    <n v="0"/>
    <n v="42.9"/>
    <n v="5"/>
    <n v="2153.31"/>
    <n v="0"/>
    <s v="Train"/>
    <x v="0"/>
    <x v="2"/>
    <x v="1"/>
    <x v="1"/>
    <s v="ContractType|Month-to-Month"/>
    <s v="Tenure_Bin|&gt;=24"/>
    <s v="Satis_Bin|4-6"/>
    <s v="Monthly_Bin|60-90"/>
    <s v="Usage_Bin|40-80"/>
    <n v="3"/>
    <n v="0"/>
    <n v="2"/>
    <n v="1"/>
    <n v="0"/>
    <n v="6"/>
    <s v="Medium"/>
    <s v="No"/>
    <n v="0"/>
    <n v="0.33333333333333331"/>
    <s v="No"/>
    <x v="2"/>
    <e v="#N/A"/>
  </r>
  <r>
    <n v="84"/>
    <n v="32"/>
    <s v="Female"/>
    <n v="61"/>
    <n v="107.43"/>
    <x v="1"/>
    <s v="PayPal"/>
    <n v="3"/>
    <n v="92.6"/>
    <n v="3"/>
    <n v="6475.17"/>
    <n v="0"/>
    <s v="Train"/>
    <x v="0"/>
    <x v="0"/>
    <x v="0"/>
    <x v="3"/>
    <s v="ContractType|Month-to-Month"/>
    <s v="Tenure_Bin|&gt;=24"/>
    <s v="Satis_Bin|1-3"/>
    <s v="Monthly_Bin|&gt;=90"/>
    <s v="Usage_Bin|&gt;=80"/>
    <n v="3"/>
    <n v="0"/>
    <n v="4"/>
    <n v="2"/>
    <n v="0"/>
    <n v="9"/>
    <s v="High"/>
    <s v="No"/>
    <n v="0"/>
    <n v="0.54545454545454541"/>
    <s v="Yes"/>
    <x v="0"/>
    <e v="#N/A"/>
  </r>
  <r>
    <n v="85"/>
    <n v="25"/>
    <s v="Female"/>
    <n v="51"/>
    <n v="71.52"/>
    <x v="2"/>
    <s v="PayPal"/>
    <n v="1"/>
    <n v="49.8"/>
    <n v="9"/>
    <n v="3503.32"/>
    <n v="0"/>
    <s v="Train"/>
    <x v="0"/>
    <x v="2"/>
    <x v="2"/>
    <x v="1"/>
    <s v="ContractType|2-Year"/>
    <s v="Tenure_Bin|&gt;=24"/>
    <s v="Satis_Bin|7-10"/>
    <s v="Monthly_Bin|60-90"/>
    <s v="Usage_Bin|40-80"/>
    <n v="0"/>
    <n v="0"/>
    <n v="0"/>
    <n v="1"/>
    <n v="0"/>
    <n v="1"/>
    <s v="Low"/>
    <s v="No"/>
    <n v="0"/>
    <n v="0.25"/>
    <s v="No"/>
    <x v="2"/>
    <e v="#N/A"/>
  </r>
  <r>
    <n v="87"/>
    <n v="40"/>
    <s v="Female"/>
    <n v="12"/>
    <n v="80.19"/>
    <x v="1"/>
    <s v="Credit Card"/>
    <n v="2"/>
    <n v="31.9"/>
    <n v="4"/>
    <n v="903.51"/>
    <n v="1"/>
    <s v="Train"/>
    <x v="1"/>
    <x v="2"/>
    <x v="1"/>
    <x v="2"/>
    <s v="ContractType|Month-to-Month"/>
    <s v="Tenure_Bin|12-24"/>
    <s v="Satis_Bin|4-6"/>
    <s v="Monthly_Bin|60-90"/>
    <s v="Usage_Bin|20-40"/>
    <n v="3"/>
    <n v="1"/>
    <n v="2"/>
    <n v="1"/>
    <n v="1"/>
    <n v="8"/>
    <s v="High"/>
    <s v="No"/>
    <n v="0"/>
    <n v="0.73684210526315785"/>
    <s v="Yes"/>
    <x v="1"/>
    <s v="12-24"/>
  </r>
  <r>
    <n v="89"/>
    <n v="38"/>
    <s v="Female"/>
    <n v="65"/>
    <n v="102.18"/>
    <x v="1"/>
    <s v="Credit Card"/>
    <n v="0"/>
    <n v="8.4"/>
    <n v="8"/>
    <n v="6432.42"/>
    <n v="0"/>
    <s v="Train"/>
    <x v="0"/>
    <x v="0"/>
    <x v="2"/>
    <x v="0"/>
    <s v="ContractType|Month-to-Month"/>
    <s v="Tenure_Bin|&gt;=24"/>
    <s v="Satis_Bin|7-10"/>
    <s v="Monthly_Bin|&gt;=90"/>
    <s v="Usage_Bin|&lt;20"/>
    <n v="3"/>
    <n v="0"/>
    <n v="0"/>
    <n v="2"/>
    <n v="2"/>
    <n v="7"/>
    <s v="High"/>
    <s v="No"/>
    <n v="0"/>
    <n v="0.54166666666666663"/>
    <s v="Yes"/>
    <x v="0"/>
    <e v="#N/A"/>
  </r>
  <r>
    <n v="90"/>
    <n v="33"/>
    <s v="Female"/>
    <n v="33"/>
    <n v="54.51"/>
    <x v="1"/>
    <s v="PayPal"/>
    <n v="1"/>
    <n v="31.2"/>
    <n v="2"/>
    <n v="1716.17"/>
    <n v="1"/>
    <s v="Train"/>
    <x v="0"/>
    <x v="1"/>
    <x v="0"/>
    <x v="2"/>
    <s v="ContractType|Month-to-Month"/>
    <s v="Tenure_Bin|&gt;=24"/>
    <s v="Satis_Bin|1-3"/>
    <s v="Monthly_Bin|30-60"/>
    <s v="Usage_Bin|20-40"/>
    <n v="3"/>
    <n v="0"/>
    <n v="4"/>
    <n v="0"/>
    <n v="1"/>
    <n v="8"/>
    <s v="High"/>
    <s v="No"/>
    <n v="0"/>
    <n v="0.73684210526315785"/>
    <s v="Yes"/>
    <x v="1"/>
    <s v="&gt;=24"/>
  </r>
  <r>
    <n v="94"/>
    <n v="41"/>
    <s v="Male"/>
    <n v="29"/>
    <n v="73.44"/>
    <x v="1"/>
    <s v="Bank Transfer"/>
    <n v="3"/>
    <n v="40.299999999999997"/>
    <n v="8"/>
    <n v="2164.04"/>
    <n v="0"/>
    <s v="Train"/>
    <x v="0"/>
    <x v="2"/>
    <x v="2"/>
    <x v="1"/>
    <s v="ContractType|Month-to-Month"/>
    <s v="Tenure_Bin|&gt;=24"/>
    <s v="Satis_Bin|7-10"/>
    <s v="Monthly_Bin|60-90"/>
    <s v="Usage_Bin|40-80"/>
    <n v="3"/>
    <n v="0"/>
    <n v="0"/>
    <n v="1"/>
    <n v="0"/>
    <n v="4"/>
    <s v="Medium"/>
    <s v="No"/>
    <n v="0"/>
    <n v="0.40740740740740738"/>
    <s v="No"/>
    <x v="0"/>
    <e v="#N/A"/>
  </r>
  <r>
    <n v="96"/>
    <n v="42"/>
    <s v="Female"/>
    <n v="12"/>
    <n v="109.42"/>
    <x v="1"/>
    <s v="Bank Transfer"/>
    <n v="0"/>
    <n v="85.3"/>
    <n v="1"/>
    <n v="1298.3499999999999"/>
    <n v="1"/>
    <s v="Train"/>
    <x v="1"/>
    <x v="0"/>
    <x v="0"/>
    <x v="3"/>
    <s v="ContractType|Month-to-Month"/>
    <s v="Tenure_Bin|12-24"/>
    <s v="Satis_Bin|1-3"/>
    <s v="Monthly_Bin|&gt;=90"/>
    <s v="Usage_Bin|&gt;=80"/>
    <n v="3"/>
    <n v="1"/>
    <n v="4"/>
    <n v="2"/>
    <n v="0"/>
    <n v="10"/>
    <s v="High"/>
    <s v="No"/>
    <n v="0"/>
    <n v="0.5"/>
    <s v="Yes"/>
    <x v="0"/>
    <e v="#N/A"/>
  </r>
  <r>
    <n v="97"/>
    <n v="62"/>
    <s v="Female"/>
    <n v="46"/>
    <n v="32.869999999999997"/>
    <x v="0"/>
    <s v="Credit Card"/>
    <n v="6"/>
    <n v="30.5"/>
    <n v="3"/>
    <n v="1550.19"/>
    <n v="1"/>
    <s v="Train"/>
    <x v="0"/>
    <x v="1"/>
    <x v="0"/>
    <x v="2"/>
    <s v="ContractType|1-Year"/>
    <s v="Tenure_Bin|&gt;=24"/>
    <s v="Satis_Bin|1-3"/>
    <s v="Monthly_Bin|30-60"/>
    <s v="Usage_Bin|20-40"/>
    <n v="1"/>
    <n v="0"/>
    <n v="4"/>
    <n v="0"/>
    <n v="1"/>
    <n v="6"/>
    <s v="Medium"/>
    <s v="No"/>
    <n v="0"/>
    <n v="0.33333333333333331"/>
    <s v="No"/>
    <x v="2"/>
    <e v="#N/A"/>
  </r>
  <r>
    <n v="98"/>
    <n v="58"/>
    <s v="Female"/>
    <n v="2"/>
    <n v="53.01"/>
    <x v="1"/>
    <s v="Credit Card"/>
    <n v="1"/>
    <n v="19.899999999999999"/>
    <n v="2"/>
    <n v="105.78"/>
    <n v="1"/>
    <s v="Train"/>
    <x v="3"/>
    <x v="1"/>
    <x v="0"/>
    <x v="0"/>
    <s v="ContractType|Month-to-Month"/>
    <s v="Tenure_Bin|&lt;6"/>
    <s v="Satis_Bin|1-3"/>
    <s v="Monthly_Bin|30-60"/>
    <s v="Usage_Bin|&lt;20"/>
    <n v="3"/>
    <n v="3"/>
    <n v="4"/>
    <n v="0"/>
    <n v="2"/>
    <n v="12"/>
    <s v="High"/>
    <s v="No"/>
    <n v="0"/>
    <n v="0.8"/>
    <s v="Yes"/>
    <x v="1"/>
    <s v="&lt;6"/>
  </r>
  <r>
    <n v="102"/>
    <n v="18"/>
    <s v="Female"/>
    <n v="34"/>
    <n v="88.78"/>
    <x v="1"/>
    <s v="PayPal"/>
    <n v="6"/>
    <n v="58.4"/>
    <n v="4"/>
    <n v="3093.02"/>
    <n v="1"/>
    <s v="Train"/>
    <x v="0"/>
    <x v="2"/>
    <x v="1"/>
    <x v="1"/>
    <s v="ContractType|Month-to-Month"/>
    <s v="Tenure_Bin|&gt;=24"/>
    <s v="Satis_Bin|4-6"/>
    <s v="Monthly_Bin|60-90"/>
    <s v="Usage_Bin|40-80"/>
    <n v="3"/>
    <n v="0"/>
    <n v="2"/>
    <n v="1"/>
    <n v="0"/>
    <n v="6"/>
    <s v="Medium"/>
    <s v="No"/>
    <n v="0"/>
    <n v="0.33333333333333331"/>
    <s v="No"/>
    <x v="2"/>
    <e v="#N/A"/>
  </r>
  <r>
    <n v="103"/>
    <n v="42"/>
    <s v="Male"/>
    <n v="7"/>
    <n v="71.17"/>
    <x v="1"/>
    <s v="Credit Card"/>
    <n v="2"/>
    <n v="37.9"/>
    <n v="5"/>
    <n v="505.1"/>
    <n v="1"/>
    <s v="Train"/>
    <x v="2"/>
    <x v="2"/>
    <x v="1"/>
    <x v="2"/>
    <s v="ContractType|Month-to-Month"/>
    <s v="Tenure_Bin|6-12"/>
    <s v="Satis_Bin|4-6"/>
    <s v="Monthly_Bin|60-90"/>
    <s v="Usage_Bin|20-40"/>
    <n v="3"/>
    <n v="2"/>
    <n v="2"/>
    <n v="1"/>
    <n v="1"/>
    <n v="9"/>
    <s v="High"/>
    <s v="No"/>
    <n v="0"/>
    <n v="0.54545454545454541"/>
    <s v="Yes"/>
    <x v="0"/>
    <e v="#N/A"/>
  </r>
  <r>
    <n v="106"/>
    <n v="41"/>
    <s v="Male"/>
    <n v="29"/>
    <n v="20.260000000000002"/>
    <x v="1"/>
    <s v="Credit Card"/>
    <n v="3"/>
    <n v="13.2"/>
    <n v="5"/>
    <n v="575.22"/>
    <n v="0"/>
    <s v="Train"/>
    <x v="0"/>
    <x v="3"/>
    <x v="1"/>
    <x v="0"/>
    <s v="ContractType|Month-to-Month"/>
    <s v="Tenure_Bin|&gt;=24"/>
    <s v="Satis_Bin|4-6"/>
    <s v="Monthly_Bin|&lt;30"/>
    <s v="Usage_Bin|&lt;20"/>
    <n v="3"/>
    <n v="0"/>
    <n v="2"/>
    <n v="0"/>
    <n v="2"/>
    <n v="7"/>
    <s v="High"/>
    <s v="No"/>
    <n v="0"/>
    <n v="0.54166666666666663"/>
    <s v="Yes"/>
    <x v="0"/>
    <e v="#N/A"/>
  </r>
  <r>
    <n v="107"/>
    <n v="18"/>
    <s v="Female"/>
    <n v="36"/>
    <n v="106.83"/>
    <x v="1"/>
    <s v="PayPal"/>
    <n v="0"/>
    <n v="27.5"/>
    <n v="9"/>
    <n v="3491.64"/>
    <n v="0"/>
    <s v="Train"/>
    <x v="0"/>
    <x v="0"/>
    <x v="2"/>
    <x v="2"/>
    <s v="ContractType|Month-to-Month"/>
    <s v="Tenure_Bin|&gt;=24"/>
    <s v="Satis_Bin|7-10"/>
    <s v="Monthly_Bin|&gt;=90"/>
    <s v="Usage_Bin|20-40"/>
    <n v="3"/>
    <n v="0"/>
    <n v="0"/>
    <n v="2"/>
    <n v="1"/>
    <n v="6"/>
    <s v="Medium"/>
    <s v="No"/>
    <n v="0"/>
    <n v="0.33333333333333331"/>
    <s v="No"/>
    <x v="2"/>
    <e v="#N/A"/>
  </r>
  <r>
    <n v="108"/>
    <n v="61"/>
    <s v="Male"/>
    <n v="21"/>
    <n v="28.45"/>
    <x v="1"/>
    <s v="Bank Transfer"/>
    <n v="1"/>
    <n v="74.599999999999994"/>
    <n v="9"/>
    <n v="594.53"/>
    <n v="0"/>
    <s v="Train"/>
    <x v="1"/>
    <x v="3"/>
    <x v="2"/>
    <x v="1"/>
    <s v="ContractType|Month-to-Month"/>
    <s v="Tenure_Bin|12-24"/>
    <s v="Satis_Bin|7-10"/>
    <s v="Monthly_Bin|&lt;30"/>
    <s v="Usage_Bin|40-80"/>
    <n v="3"/>
    <n v="1"/>
    <n v="0"/>
    <n v="0"/>
    <n v="0"/>
    <n v="4"/>
    <s v="Medium"/>
    <s v="No"/>
    <n v="0"/>
    <n v="0.40740740740740738"/>
    <s v="No"/>
    <x v="0"/>
    <e v="#N/A"/>
  </r>
  <r>
    <n v="109"/>
    <n v="25"/>
    <s v="Female"/>
    <n v="36"/>
    <n v="79.73"/>
    <x v="0"/>
    <s v="Credit Card"/>
    <n v="3"/>
    <n v="57.1"/>
    <n v="4"/>
    <n v="2894.98"/>
    <n v="1"/>
    <s v="Train"/>
    <x v="0"/>
    <x v="2"/>
    <x v="1"/>
    <x v="1"/>
    <s v="ContractType|1-Year"/>
    <s v="Tenure_Bin|&gt;=24"/>
    <s v="Satis_Bin|4-6"/>
    <s v="Monthly_Bin|60-90"/>
    <s v="Usage_Bin|40-80"/>
    <n v="1"/>
    <n v="0"/>
    <n v="2"/>
    <n v="1"/>
    <n v="0"/>
    <n v="4"/>
    <s v="Medium"/>
    <s v="No"/>
    <n v="0"/>
    <n v="0.40740740740740738"/>
    <s v="No"/>
    <x v="0"/>
    <e v="#N/A"/>
  </r>
  <r>
    <n v="110"/>
    <n v="41"/>
    <s v="Male"/>
    <n v="10"/>
    <n v="118.63"/>
    <x v="1"/>
    <s v="Credit Card"/>
    <n v="4"/>
    <n v="17.2"/>
    <n v="3"/>
    <n v="1121.71"/>
    <n v="0"/>
    <s v="Train"/>
    <x v="2"/>
    <x v="0"/>
    <x v="0"/>
    <x v="0"/>
    <s v="ContractType|Month-to-Month"/>
    <s v="Tenure_Bin|6-12"/>
    <s v="Satis_Bin|1-3"/>
    <s v="Monthly_Bin|&gt;=90"/>
    <s v="Usage_Bin|&lt;20"/>
    <n v="3"/>
    <n v="2"/>
    <n v="4"/>
    <n v="2"/>
    <n v="2"/>
    <n v="13"/>
    <s v="High"/>
    <s v="Yes"/>
    <n v="1"/>
    <n v="0.5"/>
    <s v="Yes"/>
    <x v="0"/>
    <e v="#N/A"/>
  </r>
  <r>
    <n v="111"/>
    <n v="28"/>
    <s v="Female"/>
    <n v="24"/>
    <n v="73.66"/>
    <x v="2"/>
    <s v="Credit Card"/>
    <n v="1"/>
    <n v="88.8"/>
    <n v="1"/>
    <n v="1931.91"/>
    <n v="0"/>
    <s v="Train"/>
    <x v="0"/>
    <x v="2"/>
    <x v="0"/>
    <x v="3"/>
    <s v="ContractType|2-Year"/>
    <s v="Tenure_Bin|&gt;=24"/>
    <s v="Satis_Bin|1-3"/>
    <s v="Monthly_Bin|60-90"/>
    <s v="Usage_Bin|&gt;=80"/>
    <n v="0"/>
    <n v="0"/>
    <n v="4"/>
    <n v="1"/>
    <n v="0"/>
    <n v="5"/>
    <s v="Medium"/>
    <s v="No"/>
    <n v="0"/>
    <n v="0.33333333333333331"/>
    <s v="No"/>
    <x v="2"/>
    <e v="#N/A"/>
  </r>
  <r>
    <n v="115"/>
    <n v="52"/>
    <s v="Female"/>
    <n v="24"/>
    <n v="73.13"/>
    <x v="0"/>
    <s v="PayPal"/>
    <n v="3"/>
    <n v="64.3"/>
    <n v="8"/>
    <n v="1884.99"/>
    <n v="0"/>
    <s v="Train"/>
    <x v="0"/>
    <x v="2"/>
    <x v="2"/>
    <x v="1"/>
    <s v="ContractType|1-Year"/>
    <s v="Tenure_Bin|&gt;=24"/>
    <s v="Satis_Bin|7-10"/>
    <s v="Monthly_Bin|60-90"/>
    <s v="Usage_Bin|40-80"/>
    <n v="1"/>
    <n v="0"/>
    <n v="0"/>
    <n v="1"/>
    <n v="0"/>
    <n v="2"/>
    <s v="Low"/>
    <s v="No"/>
    <n v="0"/>
    <n v="0.6"/>
    <s v="Yes"/>
    <x v="1"/>
    <s v="&gt;=24"/>
  </r>
  <r>
    <n v="116"/>
    <n v="52"/>
    <s v="Male"/>
    <n v="23"/>
    <n v="92.05"/>
    <x v="2"/>
    <s v="Bank Transfer"/>
    <n v="1"/>
    <n v="52"/>
    <n v="7"/>
    <n v="1960.76"/>
    <n v="1"/>
    <s v="Train"/>
    <x v="1"/>
    <x v="0"/>
    <x v="2"/>
    <x v="1"/>
    <s v="ContractType|2-Year"/>
    <s v="Tenure_Bin|12-24"/>
    <s v="Satis_Bin|7-10"/>
    <s v="Monthly_Bin|&gt;=90"/>
    <s v="Usage_Bin|40-80"/>
    <n v="0"/>
    <n v="1"/>
    <n v="0"/>
    <n v="2"/>
    <n v="0"/>
    <n v="3"/>
    <s v="Low"/>
    <s v="No"/>
    <n v="0"/>
    <n v="0.42105263157894735"/>
    <s v="No"/>
    <x v="0"/>
    <e v="#N/A"/>
  </r>
  <r>
    <n v="117"/>
    <n v="50"/>
    <s v="Male"/>
    <n v="62"/>
    <n v="26.23"/>
    <x v="1"/>
    <s v="PayPal"/>
    <n v="1"/>
    <n v="98.1"/>
    <n v="8"/>
    <n v="1720.75"/>
    <n v="1"/>
    <s v="Train"/>
    <x v="0"/>
    <x v="3"/>
    <x v="2"/>
    <x v="3"/>
    <s v="ContractType|Month-to-Month"/>
    <s v="Tenure_Bin|&gt;=24"/>
    <s v="Satis_Bin|7-10"/>
    <s v="Monthly_Bin|&lt;30"/>
    <s v="Usage_Bin|&gt;=80"/>
    <n v="3"/>
    <n v="0"/>
    <n v="0"/>
    <n v="0"/>
    <n v="0"/>
    <n v="3"/>
    <s v="Low"/>
    <s v="No"/>
    <n v="0"/>
    <n v="0.42105263157894735"/>
    <s v="No"/>
    <x v="0"/>
    <e v="#N/A"/>
  </r>
  <r>
    <n v="120"/>
    <n v="56"/>
    <s v="Male"/>
    <n v="55"/>
    <n v="88.72"/>
    <x v="1"/>
    <s v="Bank Transfer"/>
    <n v="4"/>
    <n v="23.2"/>
    <n v="3"/>
    <n v="4660.7700000000004"/>
    <n v="0"/>
    <s v="Train"/>
    <x v="0"/>
    <x v="2"/>
    <x v="0"/>
    <x v="2"/>
    <s v="ContractType|Month-to-Month"/>
    <s v="Tenure_Bin|&gt;=24"/>
    <s v="Satis_Bin|1-3"/>
    <s v="Monthly_Bin|60-90"/>
    <s v="Usage_Bin|20-40"/>
    <n v="3"/>
    <n v="0"/>
    <n v="4"/>
    <n v="1"/>
    <n v="1"/>
    <n v="9"/>
    <s v="High"/>
    <s v="No"/>
    <n v="0"/>
    <n v="0.54545454545454541"/>
    <s v="Yes"/>
    <x v="0"/>
    <e v="#N/A"/>
  </r>
  <r>
    <n v="121"/>
    <n v="58"/>
    <s v="Female"/>
    <n v="13"/>
    <n v="104.44"/>
    <x v="1"/>
    <s v="Credit Card"/>
    <n v="0"/>
    <n v="37.1"/>
    <n v="10"/>
    <n v="1460.12"/>
    <n v="0"/>
    <s v="Train"/>
    <x v="1"/>
    <x v="0"/>
    <x v="2"/>
    <x v="2"/>
    <s v="ContractType|Month-to-Month"/>
    <s v="Tenure_Bin|12-24"/>
    <s v="Satis_Bin|7-10"/>
    <s v="Monthly_Bin|&gt;=90"/>
    <s v="Usage_Bin|20-40"/>
    <n v="3"/>
    <n v="1"/>
    <n v="0"/>
    <n v="2"/>
    <n v="1"/>
    <n v="7"/>
    <s v="High"/>
    <s v="No"/>
    <n v="0"/>
    <n v="0.54166666666666663"/>
    <s v="Yes"/>
    <x v="0"/>
    <e v="#N/A"/>
  </r>
  <r>
    <n v="122"/>
    <n v="45"/>
    <s v="Female"/>
    <n v="23"/>
    <n v="94.96"/>
    <x v="1"/>
    <s v="PayPal"/>
    <n v="2"/>
    <n v="34.299999999999997"/>
    <n v="4"/>
    <n v="2378.04"/>
    <n v="1"/>
    <s v="Train"/>
    <x v="1"/>
    <x v="0"/>
    <x v="1"/>
    <x v="2"/>
    <s v="ContractType|Month-to-Month"/>
    <s v="Tenure_Bin|12-24"/>
    <s v="Satis_Bin|4-6"/>
    <s v="Monthly_Bin|&gt;=90"/>
    <s v="Usage_Bin|20-40"/>
    <n v="3"/>
    <n v="1"/>
    <n v="2"/>
    <n v="2"/>
    <n v="1"/>
    <n v="9"/>
    <s v="High"/>
    <s v="No"/>
    <n v="0"/>
    <n v="0.54545454545454541"/>
    <s v="Yes"/>
    <x v="0"/>
    <e v="#N/A"/>
  </r>
  <r>
    <n v="123"/>
    <n v="24"/>
    <s v="Male"/>
    <n v="30"/>
    <n v="23.05"/>
    <x v="1"/>
    <s v="PayPal"/>
    <n v="2"/>
    <n v="95"/>
    <n v="6"/>
    <n v="642.92999999999995"/>
    <n v="0"/>
    <s v="Train"/>
    <x v="0"/>
    <x v="3"/>
    <x v="1"/>
    <x v="3"/>
    <s v="ContractType|Month-to-Month"/>
    <s v="Tenure_Bin|&gt;=24"/>
    <s v="Satis_Bin|4-6"/>
    <s v="Monthly_Bin|&lt;30"/>
    <s v="Usage_Bin|&gt;=80"/>
    <n v="3"/>
    <n v="0"/>
    <n v="2"/>
    <n v="0"/>
    <n v="0"/>
    <n v="5"/>
    <s v="Medium"/>
    <s v="No"/>
    <n v="0"/>
    <n v="0.33333333333333331"/>
    <s v="No"/>
    <x v="2"/>
    <e v="#N/A"/>
  </r>
  <r>
    <n v="124"/>
    <n v="26"/>
    <s v="Male"/>
    <n v="17"/>
    <n v="106.72"/>
    <x v="1"/>
    <s v="Credit Card"/>
    <n v="2"/>
    <n v="96.9"/>
    <n v="8"/>
    <n v="1800.7"/>
    <n v="0"/>
    <s v="Train"/>
    <x v="1"/>
    <x v="0"/>
    <x v="2"/>
    <x v="3"/>
    <s v="ContractType|Month-to-Month"/>
    <s v="Tenure_Bin|12-24"/>
    <s v="Satis_Bin|7-10"/>
    <s v="Monthly_Bin|&gt;=90"/>
    <s v="Usage_Bin|&gt;=80"/>
    <n v="3"/>
    <n v="1"/>
    <n v="0"/>
    <n v="2"/>
    <n v="0"/>
    <n v="6"/>
    <s v="Medium"/>
    <s v="No"/>
    <n v="0"/>
    <n v="0.33333333333333331"/>
    <s v="No"/>
    <x v="2"/>
    <e v="#N/A"/>
  </r>
  <r>
    <n v="125"/>
    <n v="25"/>
    <s v="Female"/>
    <n v="62"/>
    <n v="55.41"/>
    <x v="2"/>
    <s v="PayPal"/>
    <n v="3"/>
    <n v="22.4"/>
    <n v="5"/>
    <n v="3765.9"/>
    <n v="0"/>
    <s v="Train"/>
    <x v="0"/>
    <x v="1"/>
    <x v="1"/>
    <x v="2"/>
    <s v="ContractType|2-Year"/>
    <s v="Tenure_Bin|&gt;=24"/>
    <s v="Satis_Bin|4-6"/>
    <s v="Monthly_Bin|30-60"/>
    <s v="Usage_Bin|20-40"/>
    <n v="0"/>
    <n v="0"/>
    <n v="2"/>
    <n v="0"/>
    <n v="1"/>
    <n v="3"/>
    <s v="Low"/>
    <s v="No"/>
    <n v="0"/>
    <n v="0.42105263157894735"/>
    <s v="No"/>
    <x v="0"/>
    <e v="#N/A"/>
  </r>
  <r>
    <n v="126"/>
    <n v="29"/>
    <s v="Male"/>
    <n v="13"/>
    <n v="59.72"/>
    <x v="1"/>
    <s v="Bank Transfer"/>
    <n v="0"/>
    <n v="7.1"/>
    <n v="3"/>
    <n v="773.78"/>
    <n v="0"/>
    <s v="Train"/>
    <x v="1"/>
    <x v="1"/>
    <x v="0"/>
    <x v="0"/>
    <s v="ContractType|Month-to-Month"/>
    <s v="Tenure_Bin|12-24"/>
    <s v="Satis_Bin|1-3"/>
    <s v="Monthly_Bin|30-60"/>
    <s v="Usage_Bin|&lt;20"/>
    <n v="3"/>
    <n v="1"/>
    <n v="4"/>
    <n v="0"/>
    <n v="2"/>
    <n v="10"/>
    <s v="High"/>
    <s v="No"/>
    <n v="0"/>
    <n v="0.5"/>
    <s v="Yes"/>
    <x v="0"/>
    <e v="#N/A"/>
  </r>
  <r>
    <n v="127"/>
    <n v="51"/>
    <s v="Female"/>
    <n v="59"/>
    <n v="30.49"/>
    <x v="0"/>
    <s v="Credit Card"/>
    <n v="4"/>
    <n v="73.400000000000006"/>
    <n v="6"/>
    <n v="1929.71"/>
    <n v="0"/>
    <s v="Train"/>
    <x v="0"/>
    <x v="1"/>
    <x v="1"/>
    <x v="1"/>
    <s v="ContractType|1-Year"/>
    <s v="Tenure_Bin|&gt;=24"/>
    <s v="Satis_Bin|4-6"/>
    <s v="Monthly_Bin|30-60"/>
    <s v="Usage_Bin|40-80"/>
    <n v="1"/>
    <n v="0"/>
    <n v="2"/>
    <n v="0"/>
    <n v="0"/>
    <n v="3"/>
    <s v="Low"/>
    <s v="No"/>
    <n v="0"/>
    <n v="0.42105263157894735"/>
    <s v="No"/>
    <x v="0"/>
    <e v="#N/A"/>
  </r>
  <r>
    <n v="128"/>
    <n v="50"/>
    <s v="Female"/>
    <n v="19"/>
    <n v="93.74"/>
    <x v="0"/>
    <s v="PayPal"/>
    <n v="1"/>
    <n v="44.7"/>
    <n v="4"/>
    <n v="1812.67"/>
    <n v="0"/>
    <s v="Train"/>
    <x v="1"/>
    <x v="0"/>
    <x v="1"/>
    <x v="1"/>
    <s v="ContractType|1-Year"/>
    <s v="Tenure_Bin|12-24"/>
    <s v="Satis_Bin|4-6"/>
    <s v="Monthly_Bin|&gt;=90"/>
    <s v="Usage_Bin|40-80"/>
    <n v="1"/>
    <n v="1"/>
    <n v="2"/>
    <n v="2"/>
    <n v="0"/>
    <n v="6"/>
    <s v="Medium"/>
    <s v="No"/>
    <n v="0"/>
    <n v="0.33333333333333331"/>
    <s v="No"/>
    <x v="2"/>
    <e v="#N/A"/>
  </r>
  <r>
    <n v="129"/>
    <n v="65"/>
    <s v="Female"/>
    <n v="49"/>
    <n v="38.229999999999997"/>
    <x v="2"/>
    <s v="Credit Card"/>
    <n v="3"/>
    <n v="13.4"/>
    <n v="9"/>
    <n v="1826.56"/>
    <n v="1"/>
    <s v="Train"/>
    <x v="0"/>
    <x v="1"/>
    <x v="2"/>
    <x v="0"/>
    <s v="ContractType|2-Year"/>
    <s v="Tenure_Bin|&gt;=24"/>
    <s v="Satis_Bin|7-10"/>
    <s v="Monthly_Bin|30-60"/>
    <s v="Usage_Bin|&lt;20"/>
    <n v="0"/>
    <n v="0"/>
    <n v="0"/>
    <n v="0"/>
    <n v="2"/>
    <n v="2"/>
    <s v="Low"/>
    <s v="No"/>
    <n v="0"/>
    <n v="0.6"/>
    <s v="Yes"/>
    <x v="1"/>
    <s v="&gt;=24"/>
  </r>
  <r>
    <n v="130"/>
    <n v="40"/>
    <s v="Female"/>
    <n v="12"/>
    <n v="76.400000000000006"/>
    <x v="0"/>
    <s v="Bank Transfer"/>
    <n v="3"/>
    <n v="70"/>
    <n v="3"/>
    <n v="877.52"/>
    <n v="1"/>
    <s v="Train"/>
    <x v="1"/>
    <x v="2"/>
    <x v="0"/>
    <x v="1"/>
    <s v="ContractType|1-Year"/>
    <s v="Tenure_Bin|12-24"/>
    <s v="Satis_Bin|1-3"/>
    <s v="Monthly_Bin|60-90"/>
    <s v="Usage_Bin|40-80"/>
    <n v="1"/>
    <n v="1"/>
    <n v="4"/>
    <n v="1"/>
    <n v="0"/>
    <n v="7"/>
    <s v="High"/>
    <s v="No"/>
    <n v="0"/>
    <n v="0.54166666666666663"/>
    <s v="Yes"/>
    <x v="0"/>
    <e v="#N/A"/>
  </r>
  <r>
    <n v="131"/>
    <n v="41"/>
    <s v="Female"/>
    <n v="61"/>
    <n v="104.07"/>
    <x v="0"/>
    <s v="Bank Transfer"/>
    <n v="2"/>
    <n v="56.8"/>
    <n v="4"/>
    <n v="5971.47"/>
    <n v="1"/>
    <s v="Train"/>
    <x v="0"/>
    <x v="0"/>
    <x v="1"/>
    <x v="1"/>
    <s v="ContractType|1-Year"/>
    <s v="Tenure_Bin|&gt;=24"/>
    <s v="Satis_Bin|4-6"/>
    <s v="Monthly_Bin|&gt;=90"/>
    <s v="Usage_Bin|40-80"/>
    <n v="1"/>
    <n v="0"/>
    <n v="2"/>
    <n v="2"/>
    <n v="0"/>
    <n v="5"/>
    <s v="Medium"/>
    <s v="No"/>
    <n v="0"/>
    <n v="0.33333333333333331"/>
    <s v="No"/>
    <x v="2"/>
    <e v="#N/A"/>
  </r>
  <r>
    <n v="132"/>
    <n v="54"/>
    <s v="Male"/>
    <n v="19"/>
    <n v="28.92"/>
    <x v="2"/>
    <s v="PayPal"/>
    <n v="1"/>
    <n v="98.1"/>
    <n v="7"/>
    <n v="578.25"/>
    <n v="1"/>
    <s v="Train"/>
    <x v="1"/>
    <x v="3"/>
    <x v="2"/>
    <x v="3"/>
    <s v="ContractType|2-Year"/>
    <s v="Tenure_Bin|12-24"/>
    <s v="Satis_Bin|7-10"/>
    <s v="Monthly_Bin|&lt;30"/>
    <s v="Usage_Bin|&gt;=80"/>
    <n v="0"/>
    <n v="1"/>
    <n v="0"/>
    <n v="0"/>
    <n v="0"/>
    <n v="1"/>
    <s v="Low"/>
    <s v="No"/>
    <n v="0"/>
    <n v="0.25"/>
    <s v="No"/>
    <x v="2"/>
    <e v="#N/A"/>
  </r>
  <r>
    <n v="134"/>
    <n v="61"/>
    <s v="Female"/>
    <n v="71"/>
    <n v="43.32"/>
    <x v="1"/>
    <s v="Credit Card"/>
    <n v="1"/>
    <n v="43.4"/>
    <n v="4"/>
    <n v="3082.66"/>
    <n v="1"/>
    <s v="Train"/>
    <x v="0"/>
    <x v="1"/>
    <x v="1"/>
    <x v="1"/>
    <s v="ContractType|Month-to-Month"/>
    <s v="Tenure_Bin|&gt;=24"/>
    <s v="Satis_Bin|4-6"/>
    <s v="Monthly_Bin|30-60"/>
    <s v="Usage_Bin|40-80"/>
    <n v="3"/>
    <n v="0"/>
    <n v="2"/>
    <n v="0"/>
    <n v="0"/>
    <n v="5"/>
    <s v="Medium"/>
    <s v="No"/>
    <n v="0"/>
    <n v="0.33333333333333331"/>
    <s v="No"/>
    <x v="2"/>
    <e v="#N/A"/>
  </r>
  <r>
    <n v="135"/>
    <n v="57"/>
    <s v="Female"/>
    <n v="28"/>
    <n v="54.29"/>
    <x v="1"/>
    <s v="Bank Transfer"/>
    <n v="1"/>
    <n v="56.5"/>
    <n v="6"/>
    <n v="1517.79"/>
    <n v="0"/>
    <s v="Train"/>
    <x v="0"/>
    <x v="1"/>
    <x v="1"/>
    <x v="1"/>
    <s v="ContractType|Month-to-Month"/>
    <s v="Tenure_Bin|&gt;=24"/>
    <s v="Satis_Bin|4-6"/>
    <s v="Monthly_Bin|30-60"/>
    <s v="Usage_Bin|40-80"/>
    <n v="3"/>
    <n v="0"/>
    <n v="2"/>
    <n v="0"/>
    <n v="0"/>
    <n v="5"/>
    <s v="Medium"/>
    <s v="No"/>
    <n v="0"/>
    <n v="0.33333333333333331"/>
    <s v="No"/>
    <x v="2"/>
    <e v="#N/A"/>
  </r>
  <r>
    <n v="136"/>
    <n v="39"/>
    <s v="Male"/>
    <n v="52"/>
    <n v="67.400000000000006"/>
    <x v="1"/>
    <s v="Credit Card"/>
    <n v="1"/>
    <n v="80.2"/>
    <n v="3"/>
    <n v="3558.97"/>
    <n v="1"/>
    <s v="Train"/>
    <x v="0"/>
    <x v="2"/>
    <x v="0"/>
    <x v="3"/>
    <s v="ContractType|Month-to-Month"/>
    <s v="Tenure_Bin|&gt;=24"/>
    <s v="Satis_Bin|1-3"/>
    <s v="Monthly_Bin|60-90"/>
    <s v="Usage_Bin|&gt;=80"/>
    <n v="3"/>
    <n v="0"/>
    <n v="4"/>
    <n v="1"/>
    <n v="0"/>
    <n v="8"/>
    <s v="High"/>
    <s v="No"/>
    <n v="0"/>
    <n v="0.73684210526315785"/>
    <s v="Yes"/>
    <x v="1"/>
    <s v="&gt;=24"/>
  </r>
  <r>
    <n v="137"/>
    <n v="44"/>
    <s v="Male"/>
    <n v="16"/>
    <n v="55.51"/>
    <x v="1"/>
    <s v="Credit Card"/>
    <n v="2"/>
    <n v="57.1"/>
    <n v="6"/>
    <n v="953.1"/>
    <n v="1"/>
    <s v="Train"/>
    <x v="1"/>
    <x v="1"/>
    <x v="1"/>
    <x v="1"/>
    <s v="ContractType|Month-to-Month"/>
    <s v="Tenure_Bin|12-24"/>
    <s v="Satis_Bin|4-6"/>
    <s v="Monthly_Bin|30-60"/>
    <s v="Usage_Bin|40-80"/>
    <n v="3"/>
    <n v="1"/>
    <n v="2"/>
    <n v="0"/>
    <n v="0"/>
    <n v="6"/>
    <s v="Medium"/>
    <s v="No"/>
    <n v="0"/>
    <n v="0.33333333333333331"/>
    <s v="No"/>
    <x v="2"/>
    <e v="#N/A"/>
  </r>
  <r>
    <n v="139"/>
    <n v="18"/>
    <s v="Male"/>
    <n v="12"/>
    <n v="67.959999999999994"/>
    <x v="0"/>
    <s v="PayPal"/>
    <n v="3"/>
    <n v="26.5"/>
    <n v="8"/>
    <n v="800.45"/>
    <n v="0"/>
    <s v="Train"/>
    <x v="1"/>
    <x v="2"/>
    <x v="2"/>
    <x v="2"/>
    <s v="ContractType|1-Year"/>
    <s v="Tenure_Bin|12-24"/>
    <s v="Satis_Bin|7-10"/>
    <s v="Monthly_Bin|60-90"/>
    <s v="Usage_Bin|20-40"/>
    <n v="1"/>
    <n v="1"/>
    <n v="0"/>
    <n v="1"/>
    <n v="1"/>
    <n v="4"/>
    <s v="Medium"/>
    <s v="No"/>
    <n v="0"/>
    <n v="0.40740740740740738"/>
    <s v="No"/>
    <x v="0"/>
    <e v="#N/A"/>
  </r>
  <r>
    <n v="141"/>
    <n v="54"/>
    <s v="Male"/>
    <n v="52"/>
    <n v="93.68"/>
    <x v="1"/>
    <s v="Credit Card"/>
    <n v="3"/>
    <n v="45.7"/>
    <n v="7"/>
    <n v="5129.08"/>
    <n v="0"/>
    <s v="Train"/>
    <x v="0"/>
    <x v="0"/>
    <x v="2"/>
    <x v="1"/>
    <s v="ContractType|Month-to-Month"/>
    <s v="Tenure_Bin|&gt;=24"/>
    <s v="Satis_Bin|7-10"/>
    <s v="Monthly_Bin|&gt;=90"/>
    <s v="Usage_Bin|40-80"/>
    <n v="3"/>
    <n v="0"/>
    <n v="0"/>
    <n v="2"/>
    <n v="0"/>
    <n v="5"/>
    <s v="Medium"/>
    <s v="No"/>
    <n v="0"/>
    <n v="0.33333333333333331"/>
    <s v="No"/>
    <x v="2"/>
    <e v="#N/A"/>
  </r>
  <r>
    <n v="143"/>
    <n v="31"/>
    <s v="Male"/>
    <n v="23"/>
    <n v="78.650000000000006"/>
    <x v="0"/>
    <s v="Bank Transfer"/>
    <n v="2"/>
    <n v="68.099999999999994"/>
    <n v="1"/>
    <n v="1973.94"/>
    <n v="1"/>
    <s v="Train"/>
    <x v="1"/>
    <x v="2"/>
    <x v="0"/>
    <x v="1"/>
    <s v="ContractType|1-Year"/>
    <s v="Tenure_Bin|12-24"/>
    <s v="Satis_Bin|1-3"/>
    <s v="Monthly_Bin|60-90"/>
    <s v="Usage_Bin|40-80"/>
    <n v="1"/>
    <n v="1"/>
    <n v="4"/>
    <n v="1"/>
    <n v="0"/>
    <n v="7"/>
    <s v="High"/>
    <s v="No"/>
    <n v="0"/>
    <n v="0.54166666666666663"/>
    <s v="Yes"/>
    <x v="0"/>
    <e v="#N/A"/>
  </r>
  <r>
    <n v="144"/>
    <n v="20"/>
    <s v="Female"/>
    <n v="16"/>
    <n v="76.45"/>
    <x v="0"/>
    <s v="PayPal"/>
    <n v="2"/>
    <n v="25.5"/>
    <n v="8"/>
    <n v="1149.92"/>
    <n v="0"/>
    <s v="Train"/>
    <x v="1"/>
    <x v="2"/>
    <x v="2"/>
    <x v="2"/>
    <s v="ContractType|1-Year"/>
    <s v="Tenure_Bin|12-24"/>
    <s v="Satis_Bin|7-10"/>
    <s v="Monthly_Bin|60-90"/>
    <s v="Usage_Bin|20-40"/>
    <n v="1"/>
    <n v="1"/>
    <n v="0"/>
    <n v="1"/>
    <n v="1"/>
    <n v="4"/>
    <s v="Medium"/>
    <s v="No"/>
    <n v="0"/>
    <n v="0.40740740740740738"/>
    <s v="No"/>
    <x v="0"/>
    <e v="#N/A"/>
  </r>
  <r>
    <n v="145"/>
    <n v="18"/>
    <s v="Male"/>
    <n v="57"/>
    <n v="57.88"/>
    <x v="2"/>
    <s v="PayPal"/>
    <n v="2"/>
    <n v="14.3"/>
    <n v="7"/>
    <n v="3041.34"/>
    <n v="0"/>
    <s v="Train"/>
    <x v="0"/>
    <x v="1"/>
    <x v="2"/>
    <x v="0"/>
    <s v="ContractType|2-Year"/>
    <s v="Tenure_Bin|&gt;=24"/>
    <s v="Satis_Bin|7-10"/>
    <s v="Monthly_Bin|30-60"/>
    <s v="Usage_Bin|&lt;20"/>
    <n v="0"/>
    <n v="0"/>
    <n v="0"/>
    <n v="0"/>
    <n v="2"/>
    <n v="2"/>
    <s v="Low"/>
    <s v="No"/>
    <n v="0"/>
    <n v="0.6"/>
    <s v="Yes"/>
    <x v="1"/>
    <s v="&gt;=24"/>
  </r>
  <r>
    <n v="146"/>
    <n v="22"/>
    <s v="Male"/>
    <n v="39"/>
    <n v="53.74"/>
    <x v="0"/>
    <s v="Credit Card"/>
    <n v="2"/>
    <n v="86.9"/>
    <n v="6"/>
    <n v="2244.23"/>
    <n v="0"/>
    <s v="Train"/>
    <x v="0"/>
    <x v="1"/>
    <x v="1"/>
    <x v="3"/>
    <s v="ContractType|1-Year"/>
    <s v="Tenure_Bin|&gt;=24"/>
    <s v="Satis_Bin|4-6"/>
    <s v="Monthly_Bin|30-60"/>
    <s v="Usage_Bin|&gt;=80"/>
    <n v="1"/>
    <n v="0"/>
    <n v="2"/>
    <n v="0"/>
    <n v="0"/>
    <n v="3"/>
    <s v="Low"/>
    <s v="No"/>
    <n v="0"/>
    <n v="0.42105263157894735"/>
    <s v="No"/>
    <x v="0"/>
    <e v="#N/A"/>
  </r>
  <r>
    <n v="147"/>
    <n v="43"/>
    <s v="Female"/>
    <n v="53"/>
    <n v="109.96"/>
    <x v="1"/>
    <s v="Credit Card"/>
    <n v="2"/>
    <n v="48.7"/>
    <n v="6"/>
    <n v="5756.95"/>
    <n v="0"/>
    <s v="Train"/>
    <x v="0"/>
    <x v="0"/>
    <x v="1"/>
    <x v="1"/>
    <s v="ContractType|Month-to-Month"/>
    <s v="Tenure_Bin|&gt;=24"/>
    <s v="Satis_Bin|4-6"/>
    <s v="Monthly_Bin|&gt;=90"/>
    <s v="Usage_Bin|40-80"/>
    <n v="3"/>
    <n v="0"/>
    <n v="2"/>
    <n v="2"/>
    <n v="0"/>
    <n v="7"/>
    <s v="High"/>
    <s v="No"/>
    <n v="0"/>
    <n v="0.54166666666666663"/>
    <s v="Yes"/>
    <x v="0"/>
    <e v="#N/A"/>
  </r>
  <r>
    <n v="148"/>
    <n v="31"/>
    <s v="Male"/>
    <n v="42"/>
    <n v="80.760000000000005"/>
    <x v="0"/>
    <s v="PayPal"/>
    <n v="1"/>
    <n v="76.2"/>
    <n v="6"/>
    <n v="3627.3"/>
    <n v="0"/>
    <s v="Train"/>
    <x v="0"/>
    <x v="2"/>
    <x v="1"/>
    <x v="1"/>
    <s v="ContractType|1-Year"/>
    <s v="Tenure_Bin|&gt;=24"/>
    <s v="Satis_Bin|4-6"/>
    <s v="Monthly_Bin|60-90"/>
    <s v="Usage_Bin|40-80"/>
    <n v="1"/>
    <n v="0"/>
    <n v="2"/>
    <n v="1"/>
    <n v="0"/>
    <n v="4"/>
    <s v="Medium"/>
    <s v="No"/>
    <n v="0"/>
    <n v="0.40740740740740738"/>
    <s v="No"/>
    <x v="0"/>
    <e v="#N/A"/>
  </r>
  <r>
    <n v="149"/>
    <n v="56"/>
    <s v="Female"/>
    <n v="58"/>
    <n v="44.44"/>
    <x v="1"/>
    <s v="Bank Transfer"/>
    <n v="3"/>
    <n v="32.6"/>
    <n v="9"/>
    <n v="2780.16"/>
    <n v="1"/>
    <s v="Train"/>
    <x v="0"/>
    <x v="1"/>
    <x v="2"/>
    <x v="2"/>
    <s v="ContractType|Month-to-Month"/>
    <s v="Tenure_Bin|&gt;=24"/>
    <s v="Satis_Bin|7-10"/>
    <s v="Monthly_Bin|30-60"/>
    <s v="Usage_Bin|20-40"/>
    <n v="3"/>
    <n v="0"/>
    <n v="0"/>
    <n v="0"/>
    <n v="1"/>
    <n v="4"/>
    <s v="Medium"/>
    <s v="No"/>
    <n v="0"/>
    <n v="0.40740740740740738"/>
    <s v="No"/>
    <x v="0"/>
    <e v="#N/A"/>
  </r>
  <r>
    <n v="150"/>
    <n v="44"/>
    <s v="Male"/>
    <n v="39"/>
    <n v="69.819999999999993"/>
    <x v="1"/>
    <s v="Credit Card"/>
    <n v="2"/>
    <n v="79.8"/>
    <n v="2"/>
    <n v="2484.6999999999998"/>
    <n v="1"/>
    <s v="Train"/>
    <x v="0"/>
    <x v="2"/>
    <x v="0"/>
    <x v="1"/>
    <s v="ContractType|Month-to-Month"/>
    <s v="Tenure_Bin|&gt;=24"/>
    <s v="Satis_Bin|1-3"/>
    <s v="Monthly_Bin|60-90"/>
    <s v="Usage_Bin|40-80"/>
    <n v="3"/>
    <n v="0"/>
    <n v="4"/>
    <n v="1"/>
    <n v="0"/>
    <n v="8"/>
    <s v="High"/>
    <s v="No"/>
    <n v="0"/>
    <n v="0.73684210526315785"/>
    <s v="Yes"/>
    <x v="1"/>
    <s v="&gt;=24"/>
  </r>
  <r>
    <n v="152"/>
    <n v="32"/>
    <s v="Male"/>
    <n v="5"/>
    <n v="113.37"/>
    <x v="1"/>
    <s v="PayPal"/>
    <n v="3"/>
    <n v="38.799999999999997"/>
    <n v="6"/>
    <n v="560.99"/>
    <n v="0"/>
    <s v="Train"/>
    <x v="3"/>
    <x v="0"/>
    <x v="1"/>
    <x v="2"/>
    <s v="ContractType|Month-to-Month"/>
    <s v="Tenure_Bin|&lt;6"/>
    <s v="Satis_Bin|4-6"/>
    <s v="Monthly_Bin|&gt;=90"/>
    <s v="Usage_Bin|20-40"/>
    <n v="3"/>
    <n v="3"/>
    <n v="2"/>
    <n v="2"/>
    <n v="1"/>
    <n v="11"/>
    <s v="High"/>
    <s v="No"/>
    <n v="0"/>
    <n v="0.6"/>
    <s v="Yes"/>
    <x v="1"/>
    <s v="&lt;6"/>
  </r>
  <r>
    <n v="153"/>
    <n v="32"/>
    <s v="Female"/>
    <n v="35"/>
    <n v="20.75"/>
    <x v="0"/>
    <s v="Bank Transfer"/>
    <n v="3"/>
    <n v="97.9"/>
    <n v="10"/>
    <n v="727.77"/>
    <n v="0"/>
    <s v="Train"/>
    <x v="0"/>
    <x v="3"/>
    <x v="2"/>
    <x v="3"/>
    <s v="ContractType|1-Year"/>
    <s v="Tenure_Bin|&gt;=24"/>
    <s v="Satis_Bin|7-10"/>
    <s v="Monthly_Bin|&lt;30"/>
    <s v="Usage_Bin|&gt;=80"/>
    <n v="1"/>
    <n v="0"/>
    <n v="0"/>
    <n v="0"/>
    <n v="0"/>
    <n v="1"/>
    <s v="Low"/>
    <s v="No"/>
    <n v="0"/>
    <n v="0.25"/>
    <s v="No"/>
    <x v="2"/>
    <e v="#N/A"/>
  </r>
  <r>
    <n v="154"/>
    <n v="43"/>
    <s v="Male"/>
    <n v="18"/>
    <n v="42.53"/>
    <x v="1"/>
    <s v="PayPal"/>
    <n v="0"/>
    <n v="80.400000000000006"/>
    <n v="8"/>
    <n v="784.92"/>
    <n v="1"/>
    <s v="Train"/>
    <x v="1"/>
    <x v="1"/>
    <x v="2"/>
    <x v="3"/>
    <s v="ContractType|Month-to-Month"/>
    <s v="Tenure_Bin|12-24"/>
    <s v="Satis_Bin|7-10"/>
    <s v="Monthly_Bin|30-60"/>
    <s v="Usage_Bin|&gt;=80"/>
    <n v="3"/>
    <n v="1"/>
    <n v="0"/>
    <n v="0"/>
    <n v="0"/>
    <n v="4"/>
    <s v="Medium"/>
    <s v="No"/>
    <n v="0"/>
    <n v="0.40740740740740738"/>
    <s v="No"/>
    <x v="0"/>
    <e v="#N/A"/>
  </r>
  <r>
    <n v="155"/>
    <n v="59"/>
    <s v="Female"/>
    <n v="9"/>
    <n v="56.54"/>
    <x v="2"/>
    <s v="Bank Transfer"/>
    <n v="1"/>
    <n v="52.2"/>
    <n v="3"/>
    <n v="552.25"/>
    <n v="0"/>
    <s v="Train"/>
    <x v="2"/>
    <x v="1"/>
    <x v="0"/>
    <x v="1"/>
    <s v="ContractType|2-Year"/>
    <s v="Tenure_Bin|6-12"/>
    <s v="Satis_Bin|1-3"/>
    <s v="Monthly_Bin|30-60"/>
    <s v="Usage_Bin|40-80"/>
    <n v="0"/>
    <n v="2"/>
    <n v="4"/>
    <n v="0"/>
    <n v="0"/>
    <n v="6"/>
    <s v="Medium"/>
    <s v="No"/>
    <n v="0"/>
    <n v="0.33333333333333331"/>
    <s v="No"/>
    <x v="2"/>
    <e v="#N/A"/>
  </r>
  <r>
    <n v="157"/>
    <n v="68"/>
    <s v="Female"/>
    <n v="17"/>
    <n v="105.08"/>
    <x v="2"/>
    <s v="Bank Transfer"/>
    <n v="0"/>
    <n v="87.9"/>
    <n v="1"/>
    <n v="1778.09"/>
    <n v="1"/>
    <s v="Train"/>
    <x v="1"/>
    <x v="0"/>
    <x v="0"/>
    <x v="3"/>
    <s v="ContractType|2-Year"/>
    <s v="Tenure_Bin|12-24"/>
    <s v="Satis_Bin|1-3"/>
    <s v="Monthly_Bin|&gt;=90"/>
    <s v="Usage_Bin|&gt;=80"/>
    <n v="0"/>
    <n v="1"/>
    <n v="4"/>
    <n v="2"/>
    <n v="0"/>
    <n v="7"/>
    <s v="High"/>
    <s v="No"/>
    <n v="0"/>
    <n v="0.54166666666666663"/>
    <s v="Yes"/>
    <x v="0"/>
    <e v="#N/A"/>
  </r>
  <r>
    <n v="158"/>
    <n v="49"/>
    <s v="Female"/>
    <n v="7"/>
    <n v="28.79"/>
    <x v="0"/>
    <s v="Credit Card"/>
    <n v="3"/>
    <n v="56.8"/>
    <n v="9"/>
    <n v="209.1"/>
    <n v="0"/>
    <s v="Train"/>
    <x v="2"/>
    <x v="3"/>
    <x v="2"/>
    <x v="1"/>
    <s v="ContractType|1-Year"/>
    <s v="Tenure_Bin|6-12"/>
    <s v="Satis_Bin|7-10"/>
    <s v="Monthly_Bin|&lt;30"/>
    <s v="Usage_Bin|40-80"/>
    <n v="1"/>
    <n v="2"/>
    <n v="0"/>
    <n v="0"/>
    <n v="0"/>
    <n v="3"/>
    <s v="Low"/>
    <s v="No"/>
    <n v="0"/>
    <n v="0.42105263157894735"/>
    <s v="No"/>
    <x v="0"/>
    <e v="#N/A"/>
  </r>
  <r>
    <n v="159"/>
    <n v="56"/>
    <s v="Female"/>
    <n v="46"/>
    <n v="100.59"/>
    <x v="1"/>
    <s v="PayPal"/>
    <n v="1"/>
    <n v="77.099999999999994"/>
    <n v="1"/>
    <n v="4833.24"/>
    <n v="0"/>
    <s v="Train"/>
    <x v="0"/>
    <x v="0"/>
    <x v="0"/>
    <x v="1"/>
    <s v="ContractType|Month-to-Month"/>
    <s v="Tenure_Bin|&gt;=24"/>
    <s v="Satis_Bin|1-3"/>
    <s v="Monthly_Bin|&gt;=90"/>
    <s v="Usage_Bin|40-80"/>
    <n v="3"/>
    <n v="0"/>
    <n v="4"/>
    <n v="2"/>
    <n v="0"/>
    <n v="9"/>
    <s v="High"/>
    <s v="No"/>
    <n v="0"/>
    <n v="0.54545454545454541"/>
    <s v="Yes"/>
    <x v="0"/>
    <e v="#N/A"/>
  </r>
  <r>
    <n v="160"/>
    <n v="66"/>
    <s v="Male"/>
    <n v="13"/>
    <n v="25.57"/>
    <x v="1"/>
    <s v="PayPal"/>
    <n v="0"/>
    <n v="76.599999999999994"/>
    <n v="3"/>
    <n v="345.21"/>
    <n v="1"/>
    <s v="Train"/>
    <x v="1"/>
    <x v="3"/>
    <x v="0"/>
    <x v="1"/>
    <s v="ContractType|Month-to-Month"/>
    <s v="Tenure_Bin|12-24"/>
    <s v="Satis_Bin|1-3"/>
    <s v="Monthly_Bin|&lt;30"/>
    <s v="Usage_Bin|40-80"/>
    <n v="3"/>
    <n v="1"/>
    <n v="4"/>
    <n v="0"/>
    <n v="0"/>
    <n v="8"/>
    <s v="High"/>
    <s v="No"/>
    <n v="0"/>
    <n v="0.73684210526315785"/>
    <s v="Yes"/>
    <x v="1"/>
    <s v="12-24"/>
  </r>
  <r>
    <n v="161"/>
    <n v="69"/>
    <s v="Female"/>
    <n v="40"/>
    <n v="104.23"/>
    <x v="2"/>
    <s v="Bank Transfer"/>
    <n v="0"/>
    <n v="6.7"/>
    <n v="8"/>
    <n v="3864.38"/>
    <n v="0"/>
    <s v="Train"/>
    <x v="0"/>
    <x v="0"/>
    <x v="2"/>
    <x v="0"/>
    <s v="ContractType|2-Year"/>
    <s v="Tenure_Bin|&gt;=24"/>
    <s v="Satis_Bin|7-10"/>
    <s v="Monthly_Bin|&gt;=90"/>
    <s v="Usage_Bin|&lt;20"/>
    <n v="0"/>
    <n v="0"/>
    <n v="0"/>
    <n v="2"/>
    <n v="2"/>
    <n v="4"/>
    <s v="Medium"/>
    <s v="No"/>
    <n v="0"/>
    <n v="0.40740740740740738"/>
    <s v="No"/>
    <x v="0"/>
    <e v="#N/A"/>
  </r>
  <r>
    <n v="163"/>
    <n v="21"/>
    <s v="Female"/>
    <n v="9"/>
    <n v="21.82"/>
    <x v="1"/>
    <s v="Credit Card"/>
    <n v="1"/>
    <n v="67.7"/>
    <n v="4"/>
    <n v="190.83"/>
    <n v="1"/>
    <s v="Train"/>
    <x v="2"/>
    <x v="3"/>
    <x v="1"/>
    <x v="1"/>
    <s v="ContractType|Month-to-Month"/>
    <s v="Tenure_Bin|6-12"/>
    <s v="Satis_Bin|4-6"/>
    <s v="Monthly_Bin|&lt;30"/>
    <s v="Usage_Bin|40-80"/>
    <n v="3"/>
    <n v="2"/>
    <n v="2"/>
    <n v="0"/>
    <n v="0"/>
    <n v="7"/>
    <s v="High"/>
    <s v="No"/>
    <n v="0"/>
    <n v="0.54166666666666663"/>
    <s v="Yes"/>
    <x v="0"/>
    <e v="#N/A"/>
  </r>
  <r>
    <n v="164"/>
    <n v="47"/>
    <s v="Male"/>
    <n v="50"/>
    <n v="89.7"/>
    <x v="1"/>
    <s v="PayPal"/>
    <n v="1"/>
    <n v="20.399999999999999"/>
    <n v="8"/>
    <n v="4758.08"/>
    <n v="0"/>
    <s v="Train"/>
    <x v="0"/>
    <x v="2"/>
    <x v="2"/>
    <x v="2"/>
    <s v="ContractType|Month-to-Month"/>
    <s v="Tenure_Bin|&gt;=24"/>
    <s v="Satis_Bin|7-10"/>
    <s v="Monthly_Bin|60-90"/>
    <s v="Usage_Bin|20-40"/>
    <n v="3"/>
    <n v="0"/>
    <n v="0"/>
    <n v="1"/>
    <n v="1"/>
    <n v="5"/>
    <s v="Medium"/>
    <s v="No"/>
    <n v="0"/>
    <n v="0.33333333333333331"/>
    <s v="No"/>
    <x v="2"/>
    <e v="#N/A"/>
  </r>
  <r>
    <n v="165"/>
    <n v="54"/>
    <s v="Female"/>
    <n v="27"/>
    <n v="119.73"/>
    <x v="1"/>
    <s v="Credit Card"/>
    <n v="4"/>
    <n v="29.3"/>
    <n v="1"/>
    <n v="3089.67"/>
    <n v="1"/>
    <s v="Train"/>
    <x v="0"/>
    <x v="0"/>
    <x v="0"/>
    <x v="2"/>
    <s v="ContractType|Month-to-Month"/>
    <s v="Tenure_Bin|&gt;=24"/>
    <s v="Satis_Bin|1-3"/>
    <s v="Monthly_Bin|&gt;=90"/>
    <s v="Usage_Bin|20-40"/>
    <n v="3"/>
    <n v="0"/>
    <n v="4"/>
    <n v="2"/>
    <n v="1"/>
    <n v="10"/>
    <s v="High"/>
    <s v="No"/>
    <n v="0"/>
    <n v="0.5"/>
    <s v="Yes"/>
    <x v="0"/>
    <e v="#N/A"/>
  </r>
  <r>
    <n v="166"/>
    <n v="40"/>
    <s v="Male"/>
    <n v="66"/>
    <n v="109.66"/>
    <x v="0"/>
    <s v="Credit Card"/>
    <n v="3"/>
    <n v="94.9"/>
    <n v="6"/>
    <n v="6818.8"/>
    <n v="1"/>
    <s v="Train"/>
    <x v="0"/>
    <x v="0"/>
    <x v="1"/>
    <x v="3"/>
    <s v="ContractType|1-Year"/>
    <s v="Tenure_Bin|&gt;=24"/>
    <s v="Satis_Bin|4-6"/>
    <s v="Monthly_Bin|&gt;=90"/>
    <s v="Usage_Bin|&gt;=80"/>
    <n v="1"/>
    <n v="0"/>
    <n v="2"/>
    <n v="2"/>
    <n v="0"/>
    <n v="5"/>
    <s v="Medium"/>
    <s v="No"/>
    <n v="0"/>
    <n v="0.33333333333333331"/>
    <s v="No"/>
    <x v="2"/>
    <e v="#N/A"/>
  </r>
  <r>
    <n v="167"/>
    <n v="56"/>
    <s v="Male"/>
    <n v="5"/>
    <n v="77.599999999999994"/>
    <x v="0"/>
    <s v="Bank Transfer"/>
    <n v="2"/>
    <n v="58.2"/>
    <n v="1"/>
    <n v="423.5"/>
    <n v="1"/>
    <s v="Train"/>
    <x v="3"/>
    <x v="2"/>
    <x v="0"/>
    <x v="1"/>
    <s v="ContractType|1-Year"/>
    <s v="Tenure_Bin|&lt;6"/>
    <s v="Satis_Bin|1-3"/>
    <s v="Monthly_Bin|60-90"/>
    <s v="Usage_Bin|40-80"/>
    <n v="1"/>
    <n v="3"/>
    <n v="4"/>
    <n v="1"/>
    <n v="0"/>
    <n v="9"/>
    <s v="High"/>
    <s v="No"/>
    <n v="0"/>
    <n v="0.54545454545454541"/>
    <s v="Yes"/>
    <x v="0"/>
    <e v="#N/A"/>
  </r>
  <r>
    <n v="168"/>
    <n v="62"/>
    <s v="Female"/>
    <n v="29"/>
    <n v="111.74"/>
    <x v="1"/>
    <s v="Credit Card"/>
    <n v="4"/>
    <n v="76.3"/>
    <n v="1"/>
    <n v="2922.16"/>
    <n v="1"/>
    <s v="Train"/>
    <x v="0"/>
    <x v="0"/>
    <x v="0"/>
    <x v="1"/>
    <s v="ContractType|Month-to-Month"/>
    <s v="Tenure_Bin|&gt;=24"/>
    <s v="Satis_Bin|1-3"/>
    <s v="Monthly_Bin|&gt;=90"/>
    <s v="Usage_Bin|40-80"/>
    <n v="3"/>
    <n v="0"/>
    <n v="4"/>
    <n v="2"/>
    <n v="0"/>
    <n v="9"/>
    <s v="High"/>
    <s v="No"/>
    <n v="0"/>
    <n v="0.54545454545454541"/>
    <s v="Yes"/>
    <x v="0"/>
    <e v="#N/A"/>
  </r>
  <r>
    <n v="169"/>
    <n v="32"/>
    <s v="Male"/>
    <n v="37"/>
    <n v="20.53"/>
    <x v="1"/>
    <s v="Bank Transfer"/>
    <n v="2"/>
    <n v="58"/>
    <n v="8"/>
    <n v="835.24"/>
    <n v="1"/>
    <s v="Train"/>
    <x v="0"/>
    <x v="3"/>
    <x v="2"/>
    <x v="1"/>
    <s v="ContractType|Month-to-Month"/>
    <s v="Tenure_Bin|&gt;=24"/>
    <s v="Satis_Bin|7-10"/>
    <s v="Monthly_Bin|&lt;30"/>
    <s v="Usage_Bin|40-80"/>
    <n v="3"/>
    <n v="0"/>
    <n v="0"/>
    <n v="0"/>
    <n v="0"/>
    <n v="3"/>
    <s v="Low"/>
    <s v="No"/>
    <n v="0"/>
    <n v="0.42105263157894735"/>
    <s v="No"/>
    <x v="0"/>
    <e v="#N/A"/>
  </r>
  <r>
    <n v="170"/>
    <n v="60"/>
    <s v="Male"/>
    <n v="38"/>
    <n v="117.51"/>
    <x v="0"/>
    <s v="PayPal"/>
    <n v="0"/>
    <n v="57.5"/>
    <n v="4"/>
    <n v="4623.29"/>
    <n v="1"/>
    <s v="Train"/>
    <x v="0"/>
    <x v="0"/>
    <x v="1"/>
    <x v="1"/>
    <s v="ContractType|1-Year"/>
    <s v="Tenure_Bin|&gt;=24"/>
    <s v="Satis_Bin|4-6"/>
    <s v="Monthly_Bin|&gt;=90"/>
    <s v="Usage_Bin|40-80"/>
    <n v="1"/>
    <n v="0"/>
    <n v="2"/>
    <n v="2"/>
    <n v="0"/>
    <n v="5"/>
    <s v="Medium"/>
    <s v="No"/>
    <n v="0"/>
    <n v="0.33333333333333331"/>
    <s v="No"/>
    <x v="2"/>
    <e v="#N/A"/>
  </r>
  <r>
    <n v="173"/>
    <n v="30"/>
    <s v="Male"/>
    <n v="17"/>
    <n v="102.09"/>
    <x v="2"/>
    <s v="PayPal"/>
    <n v="1"/>
    <n v="31.8"/>
    <n v="7"/>
    <n v="1566.95"/>
    <n v="0"/>
    <s v="Train"/>
    <x v="1"/>
    <x v="0"/>
    <x v="2"/>
    <x v="2"/>
    <s v="ContractType|2-Year"/>
    <s v="Tenure_Bin|12-24"/>
    <s v="Satis_Bin|7-10"/>
    <s v="Monthly_Bin|&gt;=90"/>
    <s v="Usage_Bin|20-40"/>
    <n v="0"/>
    <n v="1"/>
    <n v="0"/>
    <n v="2"/>
    <n v="1"/>
    <n v="4"/>
    <s v="Medium"/>
    <s v="No"/>
    <n v="0"/>
    <n v="0.40740740740740738"/>
    <s v="No"/>
    <x v="0"/>
    <e v="#N/A"/>
  </r>
  <r>
    <n v="174"/>
    <n v="49"/>
    <s v="Male"/>
    <n v="71"/>
    <n v="91.85"/>
    <x v="0"/>
    <s v="Credit Card"/>
    <n v="5"/>
    <n v="42.1"/>
    <n v="5"/>
    <n v="6831.6"/>
    <n v="0"/>
    <s v="Train"/>
    <x v="0"/>
    <x v="0"/>
    <x v="1"/>
    <x v="1"/>
    <s v="ContractType|1-Year"/>
    <s v="Tenure_Bin|&gt;=24"/>
    <s v="Satis_Bin|4-6"/>
    <s v="Monthly_Bin|&gt;=90"/>
    <s v="Usage_Bin|40-80"/>
    <n v="1"/>
    <n v="0"/>
    <n v="2"/>
    <n v="2"/>
    <n v="0"/>
    <n v="5"/>
    <s v="Medium"/>
    <s v="No"/>
    <n v="0"/>
    <n v="0.33333333333333331"/>
    <s v="No"/>
    <x v="2"/>
    <e v="#N/A"/>
  </r>
  <r>
    <n v="175"/>
    <n v="24"/>
    <s v="Female"/>
    <n v="45"/>
    <n v="73.5"/>
    <x v="0"/>
    <s v="Credit Card"/>
    <n v="0"/>
    <n v="80.8"/>
    <n v="5"/>
    <n v="3528.54"/>
    <n v="0"/>
    <s v="Train"/>
    <x v="0"/>
    <x v="2"/>
    <x v="1"/>
    <x v="3"/>
    <s v="ContractType|1-Year"/>
    <s v="Tenure_Bin|&gt;=24"/>
    <s v="Satis_Bin|4-6"/>
    <s v="Monthly_Bin|60-90"/>
    <s v="Usage_Bin|&gt;=80"/>
    <n v="1"/>
    <n v="0"/>
    <n v="2"/>
    <n v="1"/>
    <n v="0"/>
    <n v="4"/>
    <s v="Medium"/>
    <s v="No"/>
    <n v="0"/>
    <n v="0.40740740740740738"/>
    <s v="No"/>
    <x v="0"/>
    <e v="#N/A"/>
  </r>
  <r>
    <n v="177"/>
    <n v="39"/>
    <s v="Female"/>
    <n v="36"/>
    <n v="103.86"/>
    <x v="1"/>
    <s v="Credit Card"/>
    <n v="0"/>
    <n v="47.9"/>
    <n v="10"/>
    <n v="3471.89"/>
    <n v="1"/>
    <s v="Train"/>
    <x v="0"/>
    <x v="0"/>
    <x v="2"/>
    <x v="1"/>
    <s v="ContractType|Month-to-Month"/>
    <s v="Tenure_Bin|&gt;=24"/>
    <s v="Satis_Bin|7-10"/>
    <s v="Monthly_Bin|&gt;=90"/>
    <s v="Usage_Bin|40-80"/>
    <n v="3"/>
    <n v="0"/>
    <n v="0"/>
    <n v="2"/>
    <n v="0"/>
    <n v="5"/>
    <s v="Medium"/>
    <s v="No"/>
    <n v="0"/>
    <n v="0.33333333333333331"/>
    <s v="No"/>
    <x v="2"/>
    <e v="#N/A"/>
  </r>
  <r>
    <n v="179"/>
    <n v="19"/>
    <s v="Male"/>
    <n v="31"/>
    <n v="116.8"/>
    <x v="1"/>
    <s v="Bank Transfer"/>
    <n v="4"/>
    <n v="13.9"/>
    <n v="9"/>
    <n v="3815.54"/>
    <n v="0"/>
    <s v="Train"/>
    <x v="0"/>
    <x v="0"/>
    <x v="2"/>
    <x v="0"/>
    <s v="ContractType|Month-to-Month"/>
    <s v="Tenure_Bin|&gt;=24"/>
    <s v="Satis_Bin|7-10"/>
    <s v="Monthly_Bin|&gt;=90"/>
    <s v="Usage_Bin|&lt;20"/>
    <n v="3"/>
    <n v="0"/>
    <n v="0"/>
    <n v="2"/>
    <n v="2"/>
    <n v="7"/>
    <s v="High"/>
    <s v="No"/>
    <n v="0"/>
    <n v="0.54166666666666663"/>
    <s v="Yes"/>
    <x v="0"/>
    <e v="#N/A"/>
  </r>
  <r>
    <n v="181"/>
    <n v="62"/>
    <s v="Female"/>
    <n v="61"/>
    <n v="39.950000000000003"/>
    <x v="1"/>
    <s v="PayPal"/>
    <n v="0"/>
    <n v="23.6"/>
    <n v="8"/>
    <n v="2566.65"/>
    <n v="0"/>
    <s v="Train"/>
    <x v="0"/>
    <x v="1"/>
    <x v="2"/>
    <x v="2"/>
    <s v="ContractType|Month-to-Month"/>
    <s v="Tenure_Bin|&gt;=24"/>
    <s v="Satis_Bin|7-10"/>
    <s v="Monthly_Bin|30-60"/>
    <s v="Usage_Bin|20-40"/>
    <n v="3"/>
    <n v="0"/>
    <n v="0"/>
    <n v="0"/>
    <n v="1"/>
    <n v="4"/>
    <s v="Medium"/>
    <s v="No"/>
    <n v="0"/>
    <n v="0.40740740740740738"/>
    <s v="No"/>
    <x v="0"/>
    <e v="#N/A"/>
  </r>
  <r>
    <n v="182"/>
    <n v="23"/>
    <s v="Male"/>
    <n v="54"/>
    <n v="93.62"/>
    <x v="1"/>
    <s v="Credit Card"/>
    <n v="2"/>
    <n v="22.7"/>
    <n v="5"/>
    <n v="5405.24"/>
    <n v="0"/>
    <s v="Train"/>
    <x v="0"/>
    <x v="0"/>
    <x v="1"/>
    <x v="2"/>
    <s v="ContractType|Month-to-Month"/>
    <s v="Tenure_Bin|&gt;=24"/>
    <s v="Satis_Bin|4-6"/>
    <s v="Monthly_Bin|&gt;=90"/>
    <s v="Usage_Bin|20-40"/>
    <n v="3"/>
    <n v="0"/>
    <n v="2"/>
    <n v="2"/>
    <n v="1"/>
    <n v="8"/>
    <s v="High"/>
    <s v="No"/>
    <n v="0"/>
    <n v="0.73684210526315785"/>
    <s v="Yes"/>
    <x v="1"/>
    <s v="&gt;=24"/>
  </r>
  <r>
    <n v="183"/>
    <n v="45"/>
    <s v="Male"/>
    <n v="39"/>
    <n v="72.98"/>
    <x v="0"/>
    <s v="Credit Card"/>
    <n v="1"/>
    <n v="13.9"/>
    <n v="1"/>
    <n v="2910.89"/>
    <n v="1"/>
    <s v="Train"/>
    <x v="0"/>
    <x v="2"/>
    <x v="0"/>
    <x v="0"/>
    <s v="ContractType|1-Year"/>
    <s v="Tenure_Bin|&gt;=24"/>
    <s v="Satis_Bin|1-3"/>
    <s v="Monthly_Bin|60-90"/>
    <s v="Usage_Bin|&lt;20"/>
    <n v="1"/>
    <n v="0"/>
    <n v="4"/>
    <n v="1"/>
    <n v="2"/>
    <n v="8"/>
    <s v="High"/>
    <s v="No"/>
    <n v="0"/>
    <n v="0.73684210526315785"/>
    <s v="Yes"/>
    <x v="1"/>
    <s v="&gt;=24"/>
  </r>
  <r>
    <n v="186"/>
    <n v="61"/>
    <s v="Female"/>
    <n v="67"/>
    <n v="28.73"/>
    <x v="1"/>
    <s v="Bank Transfer"/>
    <n v="1"/>
    <n v="31.3"/>
    <n v="8"/>
    <n v="1762.31"/>
    <n v="1"/>
    <s v="Train"/>
    <x v="0"/>
    <x v="3"/>
    <x v="2"/>
    <x v="2"/>
    <s v="ContractType|Month-to-Month"/>
    <s v="Tenure_Bin|&gt;=24"/>
    <s v="Satis_Bin|7-10"/>
    <s v="Monthly_Bin|&lt;30"/>
    <s v="Usage_Bin|20-40"/>
    <n v="3"/>
    <n v="0"/>
    <n v="0"/>
    <n v="0"/>
    <n v="1"/>
    <n v="4"/>
    <s v="Medium"/>
    <s v="No"/>
    <n v="0"/>
    <n v="0.40740740740740738"/>
    <s v="No"/>
    <x v="0"/>
    <e v="#N/A"/>
  </r>
  <r>
    <n v="187"/>
    <n v="37"/>
    <s v="Female"/>
    <n v="45"/>
    <n v="70.61"/>
    <x v="1"/>
    <s v="PayPal"/>
    <n v="2"/>
    <n v="34.700000000000003"/>
    <n v="5"/>
    <n v="3118.69"/>
    <n v="0"/>
    <s v="Train"/>
    <x v="0"/>
    <x v="2"/>
    <x v="1"/>
    <x v="2"/>
    <s v="ContractType|Month-to-Month"/>
    <s v="Tenure_Bin|&gt;=24"/>
    <s v="Satis_Bin|4-6"/>
    <s v="Monthly_Bin|60-90"/>
    <s v="Usage_Bin|20-40"/>
    <n v="3"/>
    <n v="0"/>
    <n v="2"/>
    <n v="1"/>
    <n v="1"/>
    <n v="7"/>
    <s v="High"/>
    <s v="No"/>
    <n v="0"/>
    <n v="0.54166666666666663"/>
    <s v="Yes"/>
    <x v="0"/>
    <e v="#N/A"/>
  </r>
  <r>
    <n v="188"/>
    <n v="47"/>
    <s v="Male"/>
    <n v="13"/>
    <n v="113.2"/>
    <x v="0"/>
    <s v="Bank Transfer"/>
    <n v="3"/>
    <n v="66.099999999999994"/>
    <n v="3"/>
    <n v="1444.26"/>
    <n v="0"/>
    <s v="Train"/>
    <x v="1"/>
    <x v="0"/>
    <x v="0"/>
    <x v="1"/>
    <s v="ContractType|1-Year"/>
    <s v="Tenure_Bin|12-24"/>
    <s v="Satis_Bin|1-3"/>
    <s v="Monthly_Bin|&gt;=90"/>
    <s v="Usage_Bin|40-80"/>
    <n v="1"/>
    <n v="1"/>
    <n v="4"/>
    <n v="2"/>
    <n v="0"/>
    <n v="8"/>
    <s v="High"/>
    <s v="No"/>
    <n v="0"/>
    <n v="0.73684210526315785"/>
    <s v="Yes"/>
    <x v="1"/>
    <s v="12-24"/>
  </r>
  <r>
    <n v="189"/>
    <n v="28"/>
    <s v="Female"/>
    <n v="58"/>
    <n v="52.06"/>
    <x v="1"/>
    <s v="PayPal"/>
    <n v="1"/>
    <n v="23.6"/>
    <n v="7"/>
    <n v="2757.4"/>
    <n v="1"/>
    <s v="Train"/>
    <x v="0"/>
    <x v="1"/>
    <x v="2"/>
    <x v="2"/>
    <s v="ContractType|Month-to-Month"/>
    <s v="Tenure_Bin|&gt;=24"/>
    <s v="Satis_Bin|7-10"/>
    <s v="Monthly_Bin|30-60"/>
    <s v="Usage_Bin|20-40"/>
    <n v="3"/>
    <n v="0"/>
    <n v="0"/>
    <n v="0"/>
    <n v="1"/>
    <n v="4"/>
    <s v="Medium"/>
    <s v="No"/>
    <n v="0"/>
    <n v="0.40740740740740738"/>
    <s v="No"/>
    <x v="0"/>
    <e v="#N/A"/>
  </r>
  <r>
    <n v="191"/>
    <n v="42"/>
    <s v="Female"/>
    <n v="61"/>
    <n v="56.92"/>
    <x v="1"/>
    <s v="Bank Transfer"/>
    <n v="4"/>
    <n v="54.4"/>
    <n v="9"/>
    <n v="3201.99"/>
    <n v="0"/>
    <s v="Train"/>
    <x v="0"/>
    <x v="1"/>
    <x v="2"/>
    <x v="1"/>
    <s v="ContractType|Month-to-Month"/>
    <s v="Tenure_Bin|&gt;=24"/>
    <s v="Satis_Bin|7-10"/>
    <s v="Monthly_Bin|30-60"/>
    <s v="Usage_Bin|40-80"/>
    <n v="3"/>
    <n v="0"/>
    <n v="0"/>
    <n v="0"/>
    <n v="0"/>
    <n v="3"/>
    <s v="Low"/>
    <s v="No"/>
    <n v="0"/>
    <n v="0.42105263157894735"/>
    <s v="No"/>
    <x v="0"/>
    <e v="#N/A"/>
  </r>
  <r>
    <n v="193"/>
    <n v="50"/>
    <s v="Male"/>
    <n v="1"/>
    <n v="74.86"/>
    <x v="0"/>
    <s v="Bank Transfer"/>
    <n v="1"/>
    <n v="58"/>
    <n v="3"/>
    <n v="81.56"/>
    <n v="0"/>
    <s v="Train"/>
    <x v="3"/>
    <x v="2"/>
    <x v="0"/>
    <x v="1"/>
    <s v="ContractType|1-Year"/>
    <s v="Tenure_Bin|&lt;6"/>
    <s v="Satis_Bin|1-3"/>
    <s v="Monthly_Bin|60-90"/>
    <s v="Usage_Bin|40-80"/>
    <n v="1"/>
    <n v="3"/>
    <n v="4"/>
    <n v="1"/>
    <n v="0"/>
    <n v="9"/>
    <s v="High"/>
    <s v="No"/>
    <n v="0"/>
    <n v="0.54545454545454541"/>
    <s v="Yes"/>
    <x v="0"/>
    <e v="#N/A"/>
  </r>
  <r>
    <n v="194"/>
    <n v="18"/>
    <s v="Female"/>
    <n v="3"/>
    <n v="74.89"/>
    <x v="1"/>
    <s v="Credit Card"/>
    <n v="2"/>
    <n v="20.8"/>
    <n v="1"/>
    <n v="205.45"/>
    <n v="1"/>
    <s v="Train"/>
    <x v="3"/>
    <x v="2"/>
    <x v="0"/>
    <x v="2"/>
    <s v="ContractType|Month-to-Month"/>
    <s v="Tenure_Bin|&lt;6"/>
    <s v="Satis_Bin|1-3"/>
    <s v="Monthly_Bin|60-90"/>
    <s v="Usage_Bin|20-40"/>
    <n v="3"/>
    <n v="3"/>
    <n v="4"/>
    <n v="1"/>
    <n v="1"/>
    <n v="12"/>
    <s v="High"/>
    <s v="No"/>
    <n v="0"/>
    <n v="0.8"/>
    <s v="Yes"/>
    <x v="1"/>
    <s v="&lt;6"/>
  </r>
  <r>
    <n v="195"/>
    <n v="44"/>
    <s v="Female"/>
    <n v="62"/>
    <n v="40.17"/>
    <x v="0"/>
    <s v="Credit Card"/>
    <n v="3"/>
    <n v="63.3"/>
    <n v="8"/>
    <n v="2717.24"/>
    <n v="0"/>
    <s v="Train"/>
    <x v="0"/>
    <x v="1"/>
    <x v="2"/>
    <x v="1"/>
    <s v="ContractType|1-Year"/>
    <s v="Tenure_Bin|&gt;=24"/>
    <s v="Satis_Bin|7-10"/>
    <s v="Monthly_Bin|30-60"/>
    <s v="Usage_Bin|40-80"/>
    <n v="1"/>
    <n v="0"/>
    <n v="0"/>
    <n v="0"/>
    <n v="0"/>
    <n v="1"/>
    <s v="Low"/>
    <s v="No"/>
    <n v="0"/>
    <n v="0.25"/>
    <s v="No"/>
    <x v="2"/>
    <e v="#N/A"/>
  </r>
  <r>
    <n v="196"/>
    <n v="69"/>
    <s v="Female"/>
    <n v="63"/>
    <n v="88.46"/>
    <x v="1"/>
    <s v="Credit Card"/>
    <n v="1"/>
    <n v="39.5"/>
    <n v="3"/>
    <n v="5598.14"/>
    <n v="0"/>
    <s v="Train"/>
    <x v="0"/>
    <x v="2"/>
    <x v="0"/>
    <x v="2"/>
    <s v="ContractType|Month-to-Month"/>
    <s v="Tenure_Bin|&gt;=24"/>
    <s v="Satis_Bin|1-3"/>
    <s v="Monthly_Bin|60-90"/>
    <s v="Usage_Bin|20-40"/>
    <n v="3"/>
    <n v="0"/>
    <n v="4"/>
    <n v="1"/>
    <n v="1"/>
    <n v="9"/>
    <s v="High"/>
    <s v="No"/>
    <n v="0"/>
    <n v="0.54545454545454541"/>
    <s v="Yes"/>
    <x v="0"/>
    <e v="#N/A"/>
  </r>
  <r>
    <n v="197"/>
    <n v="30"/>
    <s v="Female"/>
    <n v="25"/>
    <n v="28.79"/>
    <x v="1"/>
    <s v="Credit Card"/>
    <n v="3"/>
    <n v="90.2"/>
    <n v="8"/>
    <n v="690.9"/>
    <n v="1"/>
    <s v="Train"/>
    <x v="0"/>
    <x v="3"/>
    <x v="2"/>
    <x v="3"/>
    <s v="ContractType|Month-to-Month"/>
    <s v="Tenure_Bin|&gt;=24"/>
    <s v="Satis_Bin|7-10"/>
    <s v="Monthly_Bin|&lt;30"/>
    <s v="Usage_Bin|&gt;=80"/>
    <n v="3"/>
    <n v="0"/>
    <n v="0"/>
    <n v="0"/>
    <n v="0"/>
    <n v="3"/>
    <s v="Low"/>
    <s v="No"/>
    <n v="0"/>
    <n v="0.42105263157894735"/>
    <s v="No"/>
    <x v="0"/>
    <e v="#N/A"/>
  </r>
  <r>
    <n v="198"/>
    <n v="58"/>
    <s v="Female"/>
    <n v="56"/>
    <n v="33.880000000000003"/>
    <x v="2"/>
    <s v="Credit Card"/>
    <n v="0"/>
    <n v="21"/>
    <n v="8"/>
    <n v="1736.72"/>
    <n v="0"/>
    <s v="Train"/>
    <x v="0"/>
    <x v="1"/>
    <x v="2"/>
    <x v="2"/>
    <s v="ContractType|2-Year"/>
    <s v="Tenure_Bin|&gt;=24"/>
    <s v="Satis_Bin|7-10"/>
    <s v="Monthly_Bin|30-60"/>
    <s v="Usage_Bin|20-40"/>
    <n v="0"/>
    <n v="0"/>
    <n v="0"/>
    <n v="0"/>
    <n v="1"/>
    <n v="1"/>
    <s v="Low"/>
    <s v="No"/>
    <n v="0"/>
    <n v="0.25"/>
    <s v="No"/>
    <x v="2"/>
    <e v="#N/A"/>
  </r>
  <r>
    <n v="199"/>
    <n v="20"/>
    <s v="Male"/>
    <n v="33"/>
    <n v="20.27"/>
    <x v="1"/>
    <s v="Bank Transfer"/>
    <n v="0"/>
    <n v="53.2"/>
    <n v="5"/>
    <n v="668.99"/>
    <n v="0"/>
    <s v="Train"/>
    <x v="0"/>
    <x v="3"/>
    <x v="1"/>
    <x v="1"/>
    <s v="ContractType|Month-to-Month"/>
    <s v="Tenure_Bin|&gt;=24"/>
    <s v="Satis_Bin|4-6"/>
    <s v="Monthly_Bin|&lt;30"/>
    <s v="Usage_Bin|40-80"/>
    <n v="3"/>
    <n v="0"/>
    <n v="2"/>
    <n v="0"/>
    <n v="0"/>
    <n v="5"/>
    <s v="Medium"/>
    <s v="No"/>
    <n v="0"/>
    <n v="0.33333333333333331"/>
    <s v="No"/>
    <x v="2"/>
    <e v="#N/A"/>
  </r>
  <r>
    <n v="200"/>
    <n v="56"/>
    <s v="Female"/>
    <n v="38"/>
    <n v="31.67"/>
    <x v="1"/>
    <s v="Credit Card"/>
    <n v="1"/>
    <n v="61.8"/>
    <n v="1"/>
    <n v="1274.3499999999999"/>
    <n v="1"/>
    <s v="Train"/>
    <x v="0"/>
    <x v="1"/>
    <x v="0"/>
    <x v="1"/>
    <s v="ContractType|Month-to-Month"/>
    <s v="Tenure_Bin|&gt;=24"/>
    <s v="Satis_Bin|1-3"/>
    <s v="Monthly_Bin|30-60"/>
    <s v="Usage_Bin|40-80"/>
    <n v="3"/>
    <n v="0"/>
    <n v="4"/>
    <n v="0"/>
    <n v="0"/>
    <n v="7"/>
    <s v="High"/>
    <s v="No"/>
    <n v="0"/>
    <n v="0.54166666666666663"/>
    <s v="Yes"/>
    <x v="0"/>
    <e v="#N/A"/>
  </r>
  <r>
    <n v="201"/>
    <n v="23"/>
    <s v="Male"/>
    <n v="6"/>
    <n v="67.319999999999993"/>
    <x v="0"/>
    <s v="Bank Transfer"/>
    <n v="2"/>
    <n v="8.1999999999999993"/>
    <n v="10"/>
    <n v="420.65"/>
    <n v="0"/>
    <s v="Train"/>
    <x v="2"/>
    <x v="2"/>
    <x v="2"/>
    <x v="0"/>
    <s v="ContractType|1-Year"/>
    <s v="Tenure_Bin|6-12"/>
    <s v="Satis_Bin|7-10"/>
    <s v="Monthly_Bin|60-90"/>
    <s v="Usage_Bin|&lt;20"/>
    <n v="1"/>
    <n v="2"/>
    <n v="0"/>
    <n v="1"/>
    <n v="2"/>
    <n v="6"/>
    <s v="Medium"/>
    <s v="No"/>
    <n v="0"/>
    <n v="0.33333333333333331"/>
    <s v="No"/>
    <x v="2"/>
    <e v="#N/A"/>
  </r>
  <r>
    <n v="202"/>
    <n v="25"/>
    <s v="Female"/>
    <n v="58"/>
    <n v="80.61"/>
    <x v="1"/>
    <s v="Credit Card"/>
    <n v="1"/>
    <n v="39.6"/>
    <n v="7"/>
    <n v="4254.8100000000004"/>
    <n v="0"/>
    <s v="Train"/>
    <x v="0"/>
    <x v="2"/>
    <x v="2"/>
    <x v="2"/>
    <s v="ContractType|Month-to-Month"/>
    <s v="Tenure_Bin|&gt;=24"/>
    <s v="Satis_Bin|7-10"/>
    <s v="Monthly_Bin|60-90"/>
    <s v="Usage_Bin|20-40"/>
    <n v="3"/>
    <n v="0"/>
    <n v="0"/>
    <n v="1"/>
    <n v="1"/>
    <n v="5"/>
    <s v="Medium"/>
    <s v="No"/>
    <n v="0"/>
    <n v="0.33333333333333331"/>
    <s v="No"/>
    <x v="2"/>
    <e v="#N/A"/>
  </r>
  <r>
    <n v="203"/>
    <n v="44"/>
    <s v="Male"/>
    <n v="44"/>
    <n v="99.43"/>
    <x v="0"/>
    <s v="PayPal"/>
    <n v="3"/>
    <n v="74.599999999999994"/>
    <n v="10"/>
    <n v="4001.22"/>
    <n v="1"/>
    <s v="Train"/>
    <x v="0"/>
    <x v="0"/>
    <x v="2"/>
    <x v="1"/>
    <s v="ContractType|1-Year"/>
    <s v="Tenure_Bin|&gt;=24"/>
    <s v="Satis_Bin|7-10"/>
    <s v="Monthly_Bin|&gt;=90"/>
    <s v="Usage_Bin|40-80"/>
    <n v="1"/>
    <n v="0"/>
    <n v="0"/>
    <n v="2"/>
    <n v="0"/>
    <n v="3"/>
    <s v="Low"/>
    <s v="No"/>
    <n v="0"/>
    <n v="0.42105263157894735"/>
    <s v="No"/>
    <x v="0"/>
    <e v="#N/A"/>
  </r>
  <r>
    <n v="205"/>
    <n v="54"/>
    <s v="Female"/>
    <n v="32"/>
    <n v="105.07"/>
    <x v="2"/>
    <s v="PayPal"/>
    <n v="0"/>
    <n v="34.799999999999997"/>
    <n v="8"/>
    <n v="3224.58"/>
    <n v="0"/>
    <s v="Train"/>
    <x v="0"/>
    <x v="0"/>
    <x v="2"/>
    <x v="2"/>
    <s v="ContractType|2-Year"/>
    <s v="Tenure_Bin|&gt;=24"/>
    <s v="Satis_Bin|7-10"/>
    <s v="Monthly_Bin|&gt;=90"/>
    <s v="Usage_Bin|20-40"/>
    <n v="0"/>
    <n v="0"/>
    <n v="0"/>
    <n v="2"/>
    <n v="1"/>
    <n v="3"/>
    <s v="Low"/>
    <s v="No"/>
    <n v="0"/>
    <n v="0.42105263157894735"/>
    <s v="No"/>
    <x v="0"/>
    <e v="#N/A"/>
  </r>
  <r>
    <n v="207"/>
    <n v="68"/>
    <s v="Female"/>
    <n v="61"/>
    <n v="60.85"/>
    <x v="0"/>
    <s v="PayPal"/>
    <n v="2"/>
    <n v="96.9"/>
    <n v="7"/>
    <n v="3549.27"/>
    <n v="1"/>
    <s v="Train"/>
    <x v="0"/>
    <x v="2"/>
    <x v="2"/>
    <x v="3"/>
    <s v="ContractType|1-Year"/>
    <s v="Tenure_Bin|&gt;=24"/>
    <s v="Satis_Bin|7-10"/>
    <s v="Monthly_Bin|60-90"/>
    <s v="Usage_Bin|&gt;=80"/>
    <n v="1"/>
    <n v="0"/>
    <n v="0"/>
    <n v="1"/>
    <n v="0"/>
    <n v="2"/>
    <s v="Low"/>
    <s v="No"/>
    <n v="0"/>
    <n v="0.6"/>
    <s v="Yes"/>
    <x v="1"/>
    <s v="&gt;=24"/>
  </r>
  <r>
    <n v="208"/>
    <n v="59"/>
    <s v="Male"/>
    <n v="47"/>
    <n v="113.29"/>
    <x v="2"/>
    <s v="Credit Card"/>
    <n v="3"/>
    <n v="86.4"/>
    <n v="7"/>
    <n v="5647.82"/>
    <n v="1"/>
    <s v="Train"/>
    <x v="0"/>
    <x v="0"/>
    <x v="2"/>
    <x v="3"/>
    <s v="ContractType|2-Year"/>
    <s v="Tenure_Bin|&gt;=24"/>
    <s v="Satis_Bin|7-10"/>
    <s v="Monthly_Bin|&gt;=90"/>
    <s v="Usage_Bin|&gt;=80"/>
    <n v="0"/>
    <n v="0"/>
    <n v="0"/>
    <n v="2"/>
    <n v="0"/>
    <n v="2"/>
    <s v="Low"/>
    <s v="No"/>
    <n v="0"/>
    <n v="0.6"/>
    <s v="Yes"/>
    <x v="1"/>
    <s v="&gt;=24"/>
  </r>
  <r>
    <n v="211"/>
    <n v="32"/>
    <s v="Male"/>
    <n v="19"/>
    <n v="57.92"/>
    <x v="1"/>
    <s v="Bank Transfer"/>
    <n v="2"/>
    <n v="35.4"/>
    <n v="2"/>
    <n v="1189.8599999999999"/>
    <n v="1"/>
    <s v="Train"/>
    <x v="1"/>
    <x v="1"/>
    <x v="0"/>
    <x v="2"/>
    <s v="ContractType|Month-to-Month"/>
    <s v="Tenure_Bin|12-24"/>
    <s v="Satis_Bin|1-3"/>
    <s v="Monthly_Bin|30-60"/>
    <s v="Usage_Bin|20-40"/>
    <n v="3"/>
    <n v="1"/>
    <n v="4"/>
    <n v="0"/>
    <n v="1"/>
    <n v="9"/>
    <s v="High"/>
    <s v="No"/>
    <n v="0"/>
    <n v="0.54545454545454541"/>
    <s v="Yes"/>
    <x v="0"/>
    <e v="#N/A"/>
  </r>
  <r>
    <n v="213"/>
    <n v="49"/>
    <s v="Female"/>
    <n v="57"/>
    <n v="92.16"/>
    <x v="1"/>
    <s v="Credit Card"/>
    <n v="3"/>
    <n v="51.1"/>
    <n v="2"/>
    <n v="5228.3599999999997"/>
    <n v="1"/>
    <s v="Train"/>
    <x v="0"/>
    <x v="0"/>
    <x v="0"/>
    <x v="1"/>
    <s v="ContractType|Month-to-Month"/>
    <s v="Tenure_Bin|&gt;=24"/>
    <s v="Satis_Bin|1-3"/>
    <s v="Monthly_Bin|&gt;=90"/>
    <s v="Usage_Bin|40-80"/>
    <n v="3"/>
    <n v="0"/>
    <n v="4"/>
    <n v="2"/>
    <n v="0"/>
    <n v="9"/>
    <s v="High"/>
    <s v="No"/>
    <n v="0"/>
    <n v="0.54545454545454541"/>
    <s v="Yes"/>
    <x v="0"/>
    <e v="#N/A"/>
  </r>
  <r>
    <n v="214"/>
    <n v="41"/>
    <s v="Female"/>
    <n v="18"/>
    <n v="24.81"/>
    <x v="1"/>
    <s v="PayPal"/>
    <n v="0"/>
    <n v="16.600000000000001"/>
    <n v="4"/>
    <n v="422.11"/>
    <n v="1"/>
    <s v="Train"/>
    <x v="1"/>
    <x v="3"/>
    <x v="1"/>
    <x v="0"/>
    <s v="ContractType|Month-to-Month"/>
    <s v="Tenure_Bin|12-24"/>
    <s v="Satis_Bin|4-6"/>
    <s v="Monthly_Bin|&lt;30"/>
    <s v="Usage_Bin|&lt;20"/>
    <n v="3"/>
    <n v="1"/>
    <n v="2"/>
    <n v="0"/>
    <n v="2"/>
    <n v="8"/>
    <s v="High"/>
    <s v="No"/>
    <n v="0"/>
    <n v="0.73684210526315785"/>
    <s v="Yes"/>
    <x v="1"/>
    <s v="12-24"/>
  </r>
  <r>
    <n v="215"/>
    <n v="58"/>
    <s v="Male"/>
    <n v="47"/>
    <n v="98.15"/>
    <x v="1"/>
    <s v="PayPal"/>
    <n v="2"/>
    <n v="73.900000000000006"/>
    <n v="1"/>
    <n v="4742.6499999999996"/>
    <n v="0"/>
    <s v="Train"/>
    <x v="0"/>
    <x v="0"/>
    <x v="0"/>
    <x v="1"/>
    <s v="ContractType|Month-to-Month"/>
    <s v="Tenure_Bin|&gt;=24"/>
    <s v="Satis_Bin|1-3"/>
    <s v="Monthly_Bin|&gt;=90"/>
    <s v="Usage_Bin|40-80"/>
    <n v="3"/>
    <n v="0"/>
    <n v="4"/>
    <n v="2"/>
    <n v="0"/>
    <n v="9"/>
    <s v="High"/>
    <s v="No"/>
    <n v="0"/>
    <n v="0.54545454545454541"/>
    <s v="Yes"/>
    <x v="0"/>
    <e v="#N/A"/>
  </r>
  <r>
    <n v="216"/>
    <n v="69"/>
    <s v="Male"/>
    <n v="49"/>
    <n v="102.79"/>
    <x v="0"/>
    <s v="Credit Card"/>
    <n v="5"/>
    <n v="35.700000000000003"/>
    <n v="4"/>
    <n v="5519.21"/>
    <n v="0"/>
    <s v="Train"/>
    <x v="0"/>
    <x v="0"/>
    <x v="1"/>
    <x v="2"/>
    <s v="ContractType|1-Year"/>
    <s v="Tenure_Bin|&gt;=24"/>
    <s v="Satis_Bin|4-6"/>
    <s v="Monthly_Bin|&gt;=90"/>
    <s v="Usage_Bin|20-40"/>
    <n v="1"/>
    <n v="0"/>
    <n v="2"/>
    <n v="2"/>
    <n v="1"/>
    <n v="6"/>
    <s v="Medium"/>
    <s v="No"/>
    <n v="0"/>
    <n v="0.33333333333333331"/>
    <s v="No"/>
    <x v="2"/>
    <e v="#N/A"/>
  </r>
  <r>
    <n v="217"/>
    <n v="66"/>
    <s v="Female"/>
    <n v="14"/>
    <n v="95.05"/>
    <x v="0"/>
    <s v="Credit Card"/>
    <n v="2"/>
    <n v="99.7"/>
    <n v="2"/>
    <n v="1358.24"/>
    <n v="1"/>
    <s v="Train"/>
    <x v="1"/>
    <x v="0"/>
    <x v="0"/>
    <x v="3"/>
    <s v="ContractType|1-Year"/>
    <s v="Tenure_Bin|12-24"/>
    <s v="Satis_Bin|1-3"/>
    <s v="Monthly_Bin|&gt;=90"/>
    <s v="Usage_Bin|&gt;=80"/>
    <n v="1"/>
    <n v="1"/>
    <n v="4"/>
    <n v="2"/>
    <n v="0"/>
    <n v="8"/>
    <s v="High"/>
    <s v="No"/>
    <n v="0"/>
    <n v="0.73684210526315785"/>
    <s v="Yes"/>
    <x v="1"/>
    <s v="12-24"/>
  </r>
  <r>
    <n v="218"/>
    <n v="66"/>
    <s v="Male"/>
    <n v="15"/>
    <n v="99.95"/>
    <x v="2"/>
    <s v="PayPal"/>
    <n v="1"/>
    <n v="98.1"/>
    <n v="5"/>
    <n v="1456.62"/>
    <n v="0"/>
    <s v="Train"/>
    <x v="1"/>
    <x v="0"/>
    <x v="1"/>
    <x v="3"/>
    <s v="ContractType|2-Year"/>
    <s v="Tenure_Bin|12-24"/>
    <s v="Satis_Bin|4-6"/>
    <s v="Monthly_Bin|&gt;=90"/>
    <s v="Usage_Bin|&gt;=80"/>
    <n v="0"/>
    <n v="1"/>
    <n v="2"/>
    <n v="2"/>
    <n v="0"/>
    <n v="5"/>
    <s v="Medium"/>
    <s v="No"/>
    <n v="0"/>
    <n v="0.33333333333333331"/>
    <s v="No"/>
    <x v="2"/>
    <e v="#N/A"/>
  </r>
  <r>
    <n v="220"/>
    <n v="29"/>
    <s v="Male"/>
    <n v="1"/>
    <n v="38.64"/>
    <x v="0"/>
    <s v="Credit Card"/>
    <n v="2"/>
    <n v="17.3"/>
    <n v="8"/>
    <n v="35.729999999999997"/>
    <n v="0"/>
    <s v="Train"/>
    <x v="3"/>
    <x v="1"/>
    <x v="2"/>
    <x v="0"/>
    <s v="ContractType|1-Year"/>
    <s v="Tenure_Bin|&lt;6"/>
    <s v="Satis_Bin|7-10"/>
    <s v="Monthly_Bin|30-60"/>
    <s v="Usage_Bin|&lt;20"/>
    <n v="1"/>
    <n v="3"/>
    <n v="0"/>
    <n v="0"/>
    <n v="2"/>
    <n v="6"/>
    <s v="Medium"/>
    <s v="No"/>
    <n v="0"/>
    <n v="0.33333333333333331"/>
    <s v="No"/>
    <x v="2"/>
    <e v="#N/A"/>
  </r>
  <r>
    <n v="221"/>
    <n v="56"/>
    <s v="Female"/>
    <n v="54"/>
    <n v="43.57"/>
    <x v="1"/>
    <s v="Credit Card"/>
    <n v="1"/>
    <n v="70.3"/>
    <n v="4"/>
    <n v="2535.67"/>
    <n v="0"/>
    <s v="Train"/>
    <x v="0"/>
    <x v="1"/>
    <x v="1"/>
    <x v="1"/>
    <s v="ContractType|Month-to-Month"/>
    <s v="Tenure_Bin|&gt;=24"/>
    <s v="Satis_Bin|4-6"/>
    <s v="Monthly_Bin|30-60"/>
    <s v="Usage_Bin|40-80"/>
    <n v="3"/>
    <n v="0"/>
    <n v="2"/>
    <n v="0"/>
    <n v="0"/>
    <n v="5"/>
    <s v="Medium"/>
    <s v="No"/>
    <n v="0"/>
    <n v="0.33333333333333331"/>
    <s v="No"/>
    <x v="2"/>
    <e v="#N/A"/>
  </r>
  <r>
    <n v="222"/>
    <n v="19"/>
    <s v="Male"/>
    <n v="3"/>
    <n v="83.38"/>
    <x v="1"/>
    <s v="Bank Transfer"/>
    <n v="0"/>
    <n v="13.8"/>
    <n v="1"/>
    <n v="250.29"/>
    <n v="1"/>
    <s v="Train"/>
    <x v="3"/>
    <x v="2"/>
    <x v="0"/>
    <x v="0"/>
    <s v="ContractType|Month-to-Month"/>
    <s v="Tenure_Bin|&lt;6"/>
    <s v="Satis_Bin|1-3"/>
    <s v="Monthly_Bin|60-90"/>
    <s v="Usage_Bin|&lt;20"/>
    <n v="3"/>
    <n v="3"/>
    <n v="4"/>
    <n v="1"/>
    <n v="2"/>
    <n v="13"/>
    <s v="High"/>
    <s v="Yes"/>
    <n v="1"/>
    <n v="0.5"/>
    <s v="Yes"/>
    <x v="0"/>
    <e v="#N/A"/>
  </r>
  <r>
    <n v="223"/>
    <n v="20"/>
    <s v="Female"/>
    <n v="16"/>
    <n v="110.79"/>
    <x v="1"/>
    <s v="PayPal"/>
    <n v="3"/>
    <n v="7.8"/>
    <n v="1"/>
    <n v="1754.68"/>
    <n v="1"/>
    <s v="Train"/>
    <x v="1"/>
    <x v="0"/>
    <x v="0"/>
    <x v="0"/>
    <s v="ContractType|Month-to-Month"/>
    <s v="Tenure_Bin|12-24"/>
    <s v="Satis_Bin|1-3"/>
    <s v="Monthly_Bin|&gt;=90"/>
    <s v="Usage_Bin|&lt;20"/>
    <n v="3"/>
    <n v="1"/>
    <n v="4"/>
    <n v="2"/>
    <n v="2"/>
    <n v="12"/>
    <s v="High"/>
    <s v="No"/>
    <n v="0"/>
    <n v="0.8"/>
    <s v="Yes"/>
    <x v="1"/>
    <s v="12-24"/>
  </r>
  <r>
    <n v="226"/>
    <n v="66"/>
    <s v="Female"/>
    <n v="16"/>
    <n v="88.3"/>
    <x v="1"/>
    <s v="PayPal"/>
    <n v="4"/>
    <n v="41"/>
    <n v="9"/>
    <n v="1291.8"/>
    <n v="0"/>
    <s v="Train"/>
    <x v="1"/>
    <x v="2"/>
    <x v="2"/>
    <x v="1"/>
    <s v="ContractType|Month-to-Month"/>
    <s v="Tenure_Bin|12-24"/>
    <s v="Satis_Bin|7-10"/>
    <s v="Monthly_Bin|60-90"/>
    <s v="Usage_Bin|40-80"/>
    <n v="3"/>
    <n v="1"/>
    <n v="0"/>
    <n v="1"/>
    <n v="0"/>
    <n v="5"/>
    <s v="Medium"/>
    <s v="No"/>
    <n v="0"/>
    <n v="0.33333333333333331"/>
    <s v="No"/>
    <x v="2"/>
    <e v="#N/A"/>
  </r>
  <r>
    <n v="227"/>
    <n v="34"/>
    <s v="Male"/>
    <n v="24"/>
    <n v="65.19"/>
    <x v="1"/>
    <s v="Credit Card"/>
    <n v="0"/>
    <n v="97.5"/>
    <n v="7"/>
    <n v="1621.7"/>
    <n v="1"/>
    <s v="Train"/>
    <x v="0"/>
    <x v="2"/>
    <x v="2"/>
    <x v="3"/>
    <s v="ContractType|Month-to-Month"/>
    <s v="Tenure_Bin|&gt;=24"/>
    <s v="Satis_Bin|7-10"/>
    <s v="Monthly_Bin|60-90"/>
    <s v="Usage_Bin|&gt;=80"/>
    <n v="3"/>
    <n v="0"/>
    <n v="0"/>
    <n v="1"/>
    <n v="0"/>
    <n v="4"/>
    <s v="Medium"/>
    <s v="No"/>
    <n v="0"/>
    <n v="0.40740740740740738"/>
    <s v="No"/>
    <x v="0"/>
    <e v="#N/A"/>
  </r>
  <r>
    <n v="228"/>
    <n v="66"/>
    <s v="Male"/>
    <n v="28"/>
    <n v="91.38"/>
    <x v="1"/>
    <s v="PayPal"/>
    <n v="0"/>
    <n v="37"/>
    <n v="2"/>
    <n v="2426.58"/>
    <n v="0"/>
    <s v="Train"/>
    <x v="0"/>
    <x v="0"/>
    <x v="0"/>
    <x v="2"/>
    <s v="ContractType|Month-to-Month"/>
    <s v="Tenure_Bin|&gt;=24"/>
    <s v="Satis_Bin|1-3"/>
    <s v="Monthly_Bin|&gt;=90"/>
    <s v="Usage_Bin|20-40"/>
    <n v="3"/>
    <n v="0"/>
    <n v="4"/>
    <n v="2"/>
    <n v="1"/>
    <n v="10"/>
    <s v="High"/>
    <s v="No"/>
    <n v="0"/>
    <n v="0.5"/>
    <s v="Yes"/>
    <x v="0"/>
    <e v="#N/A"/>
  </r>
  <r>
    <n v="229"/>
    <n v="19"/>
    <s v="Female"/>
    <n v="8"/>
    <n v="109.97"/>
    <x v="1"/>
    <s v="Credit Card"/>
    <n v="1"/>
    <n v="33.200000000000003"/>
    <n v="9"/>
    <n v="917.41"/>
    <n v="1"/>
    <s v="Train"/>
    <x v="2"/>
    <x v="0"/>
    <x v="2"/>
    <x v="2"/>
    <s v="ContractType|Month-to-Month"/>
    <s v="Tenure_Bin|6-12"/>
    <s v="Satis_Bin|7-10"/>
    <s v="Monthly_Bin|&gt;=90"/>
    <s v="Usage_Bin|20-40"/>
    <n v="3"/>
    <n v="2"/>
    <n v="0"/>
    <n v="2"/>
    <n v="1"/>
    <n v="8"/>
    <s v="High"/>
    <s v="No"/>
    <n v="0"/>
    <n v="0.73684210526315785"/>
    <s v="Yes"/>
    <x v="1"/>
    <s v="6-12"/>
  </r>
  <r>
    <n v="230"/>
    <n v="19"/>
    <s v="Male"/>
    <n v="36"/>
    <n v="82.41"/>
    <x v="1"/>
    <s v="Bank Transfer"/>
    <n v="2"/>
    <n v="92.2"/>
    <n v="10"/>
    <n v="3158.14"/>
    <n v="1"/>
    <s v="Train"/>
    <x v="0"/>
    <x v="2"/>
    <x v="2"/>
    <x v="3"/>
    <s v="ContractType|Month-to-Month"/>
    <s v="Tenure_Bin|&gt;=24"/>
    <s v="Satis_Bin|7-10"/>
    <s v="Monthly_Bin|60-90"/>
    <s v="Usage_Bin|&gt;=80"/>
    <n v="3"/>
    <n v="0"/>
    <n v="0"/>
    <n v="1"/>
    <n v="0"/>
    <n v="4"/>
    <s v="Medium"/>
    <s v="No"/>
    <n v="0"/>
    <n v="0.40740740740740738"/>
    <s v="No"/>
    <x v="0"/>
    <e v="#N/A"/>
  </r>
  <r>
    <n v="231"/>
    <n v="45"/>
    <s v="Female"/>
    <n v="8"/>
    <n v="73.98"/>
    <x v="2"/>
    <s v="Credit Card"/>
    <n v="1"/>
    <n v="15.5"/>
    <n v="2"/>
    <n v="627.82000000000005"/>
    <n v="0"/>
    <s v="Train"/>
    <x v="2"/>
    <x v="2"/>
    <x v="0"/>
    <x v="0"/>
    <s v="ContractType|2-Year"/>
    <s v="Tenure_Bin|6-12"/>
    <s v="Satis_Bin|1-3"/>
    <s v="Monthly_Bin|60-90"/>
    <s v="Usage_Bin|&lt;20"/>
    <n v="0"/>
    <n v="2"/>
    <n v="4"/>
    <n v="1"/>
    <n v="2"/>
    <n v="9"/>
    <s v="High"/>
    <s v="No"/>
    <n v="0"/>
    <n v="0.54545454545454541"/>
    <s v="Yes"/>
    <x v="0"/>
    <e v="#N/A"/>
  </r>
  <r>
    <n v="232"/>
    <n v="40"/>
    <s v="Male"/>
    <n v="58"/>
    <n v="63.87"/>
    <x v="1"/>
    <s v="PayPal"/>
    <n v="3"/>
    <n v="77.2"/>
    <n v="3"/>
    <n v="3743.36"/>
    <n v="0"/>
    <s v="Train"/>
    <x v="0"/>
    <x v="2"/>
    <x v="0"/>
    <x v="1"/>
    <s v="ContractType|Month-to-Month"/>
    <s v="Tenure_Bin|&gt;=24"/>
    <s v="Satis_Bin|1-3"/>
    <s v="Monthly_Bin|60-90"/>
    <s v="Usage_Bin|40-80"/>
    <n v="3"/>
    <n v="0"/>
    <n v="4"/>
    <n v="1"/>
    <n v="0"/>
    <n v="8"/>
    <s v="High"/>
    <s v="No"/>
    <n v="0"/>
    <n v="0.73684210526315785"/>
    <s v="Yes"/>
    <x v="1"/>
    <s v="&gt;=24"/>
  </r>
  <r>
    <n v="233"/>
    <n v="54"/>
    <s v="Female"/>
    <n v="60"/>
    <n v="77.75"/>
    <x v="1"/>
    <s v="PayPal"/>
    <n v="4"/>
    <n v="98.9"/>
    <n v="10"/>
    <n v="4683.82"/>
    <n v="0"/>
    <s v="Train"/>
    <x v="0"/>
    <x v="2"/>
    <x v="2"/>
    <x v="3"/>
    <s v="ContractType|Month-to-Month"/>
    <s v="Tenure_Bin|&gt;=24"/>
    <s v="Satis_Bin|7-10"/>
    <s v="Monthly_Bin|60-90"/>
    <s v="Usage_Bin|&gt;=80"/>
    <n v="3"/>
    <n v="0"/>
    <n v="0"/>
    <n v="1"/>
    <n v="0"/>
    <n v="4"/>
    <s v="Medium"/>
    <s v="No"/>
    <n v="0"/>
    <n v="0.40740740740740738"/>
    <s v="No"/>
    <x v="0"/>
    <e v="#N/A"/>
  </r>
  <r>
    <n v="235"/>
    <n v="50"/>
    <s v="Female"/>
    <n v="28"/>
    <n v="59.15"/>
    <x v="0"/>
    <s v="Bank Transfer"/>
    <n v="3"/>
    <n v="66.900000000000006"/>
    <n v="3"/>
    <n v="1747.41"/>
    <n v="1"/>
    <s v="Train"/>
    <x v="0"/>
    <x v="1"/>
    <x v="0"/>
    <x v="1"/>
    <s v="ContractType|1-Year"/>
    <s v="Tenure_Bin|&gt;=24"/>
    <s v="Satis_Bin|1-3"/>
    <s v="Monthly_Bin|30-60"/>
    <s v="Usage_Bin|40-80"/>
    <n v="1"/>
    <n v="0"/>
    <n v="4"/>
    <n v="0"/>
    <n v="0"/>
    <n v="5"/>
    <s v="Medium"/>
    <s v="No"/>
    <n v="0"/>
    <n v="0.33333333333333331"/>
    <s v="No"/>
    <x v="2"/>
    <e v="#N/A"/>
  </r>
  <r>
    <n v="236"/>
    <n v="18"/>
    <s v="Female"/>
    <n v="41"/>
    <n v="73.19"/>
    <x v="2"/>
    <s v="Bank Transfer"/>
    <n v="0"/>
    <n v="34.799999999999997"/>
    <n v="6"/>
    <n v="2863.6"/>
    <n v="0"/>
    <s v="Train"/>
    <x v="0"/>
    <x v="2"/>
    <x v="1"/>
    <x v="2"/>
    <s v="ContractType|2-Year"/>
    <s v="Tenure_Bin|&gt;=24"/>
    <s v="Satis_Bin|4-6"/>
    <s v="Monthly_Bin|60-90"/>
    <s v="Usage_Bin|20-40"/>
    <n v="0"/>
    <n v="0"/>
    <n v="2"/>
    <n v="1"/>
    <n v="1"/>
    <n v="4"/>
    <s v="Medium"/>
    <s v="No"/>
    <n v="0"/>
    <n v="0.40740740740740738"/>
    <s v="No"/>
    <x v="0"/>
    <e v="#N/A"/>
  </r>
  <r>
    <n v="237"/>
    <n v="36"/>
    <s v="Female"/>
    <n v="64"/>
    <n v="26.66"/>
    <x v="0"/>
    <s v="PayPal"/>
    <n v="2"/>
    <n v="29.2"/>
    <n v="9"/>
    <n v="1705.11"/>
    <n v="0"/>
    <s v="Train"/>
    <x v="0"/>
    <x v="3"/>
    <x v="2"/>
    <x v="2"/>
    <s v="ContractType|1-Year"/>
    <s v="Tenure_Bin|&gt;=24"/>
    <s v="Satis_Bin|7-10"/>
    <s v="Monthly_Bin|&lt;30"/>
    <s v="Usage_Bin|20-40"/>
    <n v="1"/>
    <n v="0"/>
    <n v="0"/>
    <n v="0"/>
    <n v="1"/>
    <n v="2"/>
    <s v="Low"/>
    <s v="No"/>
    <n v="0"/>
    <n v="0.6"/>
    <s v="Yes"/>
    <x v="1"/>
    <s v="&gt;=24"/>
  </r>
  <r>
    <n v="239"/>
    <n v="61"/>
    <s v="Male"/>
    <n v="63"/>
    <n v="74.28"/>
    <x v="1"/>
    <s v="Bank Transfer"/>
    <n v="1"/>
    <n v="88.6"/>
    <n v="7"/>
    <n v="4336.93"/>
    <n v="1"/>
    <s v="Train"/>
    <x v="0"/>
    <x v="2"/>
    <x v="2"/>
    <x v="3"/>
    <s v="ContractType|Month-to-Month"/>
    <s v="Tenure_Bin|&gt;=24"/>
    <s v="Satis_Bin|7-10"/>
    <s v="Monthly_Bin|60-90"/>
    <s v="Usage_Bin|&gt;=80"/>
    <n v="3"/>
    <n v="0"/>
    <n v="0"/>
    <n v="1"/>
    <n v="0"/>
    <n v="4"/>
    <s v="Medium"/>
    <s v="No"/>
    <n v="0"/>
    <n v="0.40740740740740738"/>
    <s v="No"/>
    <x v="0"/>
    <e v="#N/A"/>
  </r>
  <r>
    <n v="240"/>
    <n v="43"/>
    <s v="Male"/>
    <n v="17"/>
    <n v="63.15"/>
    <x v="1"/>
    <s v="PayPal"/>
    <n v="2"/>
    <n v="54.9"/>
    <n v="3"/>
    <n v="1101.3699999999999"/>
    <n v="0"/>
    <s v="Train"/>
    <x v="1"/>
    <x v="2"/>
    <x v="0"/>
    <x v="1"/>
    <s v="ContractType|Month-to-Month"/>
    <s v="Tenure_Bin|12-24"/>
    <s v="Satis_Bin|1-3"/>
    <s v="Monthly_Bin|60-90"/>
    <s v="Usage_Bin|40-80"/>
    <n v="3"/>
    <n v="1"/>
    <n v="4"/>
    <n v="1"/>
    <n v="0"/>
    <n v="9"/>
    <s v="High"/>
    <s v="No"/>
    <n v="0"/>
    <n v="0.54545454545454541"/>
    <s v="Yes"/>
    <x v="0"/>
    <e v="#N/A"/>
  </r>
  <r>
    <n v="242"/>
    <n v="23"/>
    <s v="Female"/>
    <n v="29"/>
    <n v="93.05"/>
    <x v="0"/>
    <s v="Bank Transfer"/>
    <n v="2"/>
    <n v="15.7"/>
    <n v="6"/>
    <n v="2832.64"/>
    <n v="1"/>
    <s v="Train"/>
    <x v="0"/>
    <x v="0"/>
    <x v="1"/>
    <x v="0"/>
    <s v="ContractType|1-Year"/>
    <s v="Tenure_Bin|&gt;=24"/>
    <s v="Satis_Bin|4-6"/>
    <s v="Monthly_Bin|&gt;=90"/>
    <s v="Usage_Bin|&lt;20"/>
    <n v="1"/>
    <n v="0"/>
    <n v="2"/>
    <n v="2"/>
    <n v="2"/>
    <n v="7"/>
    <s v="High"/>
    <s v="No"/>
    <n v="0"/>
    <n v="0.54166666666666663"/>
    <s v="Yes"/>
    <x v="0"/>
    <e v="#N/A"/>
  </r>
  <r>
    <n v="243"/>
    <n v="49"/>
    <s v="Female"/>
    <n v="13"/>
    <n v="89.37"/>
    <x v="0"/>
    <s v="Bank Transfer"/>
    <n v="1"/>
    <n v="13.3"/>
    <n v="5"/>
    <n v="1119.42"/>
    <n v="0"/>
    <s v="Train"/>
    <x v="1"/>
    <x v="2"/>
    <x v="1"/>
    <x v="0"/>
    <s v="ContractType|1-Year"/>
    <s v="Tenure_Bin|12-24"/>
    <s v="Satis_Bin|4-6"/>
    <s v="Monthly_Bin|60-90"/>
    <s v="Usage_Bin|&lt;20"/>
    <n v="1"/>
    <n v="1"/>
    <n v="2"/>
    <n v="1"/>
    <n v="2"/>
    <n v="7"/>
    <s v="High"/>
    <s v="No"/>
    <n v="0"/>
    <n v="0.54166666666666663"/>
    <s v="Yes"/>
    <x v="0"/>
    <e v="#N/A"/>
  </r>
  <r>
    <n v="244"/>
    <n v="21"/>
    <s v="Female"/>
    <n v="46"/>
    <n v="36.67"/>
    <x v="0"/>
    <s v="Bank Transfer"/>
    <n v="3"/>
    <n v="73.3"/>
    <n v="2"/>
    <n v="1518.18"/>
    <n v="1"/>
    <s v="Train"/>
    <x v="0"/>
    <x v="1"/>
    <x v="0"/>
    <x v="1"/>
    <s v="ContractType|1-Year"/>
    <s v="Tenure_Bin|&gt;=24"/>
    <s v="Satis_Bin|1-3"/>
    <s v="Monthly_Bin|30-60"/>
    <s v="Usage_Bin|40-80"/>
    <n v="1"/>
    <n v="0"/>
    <n v="4"/>
    <n v="0"/>
    <n v="0"/>
    <n v="5"/>
    <s v="Medium"/>
    <s v="No"/>
    <n v="0"/>
    <n v="0.33333333333333331"/>
    <s v="No"/>
    <x v="2"/>
    <e v="#N/A"/>
  </r>
  <r>
    <n v="245"/>
    <n v="28"/>
    <s v="Female"/>
    <n v="35"/>
    <n v="107.86"/>
    <x v="0"/>
    <s v="Credit Card"/>
    <n v="4"/>
    <n v="44.9"/>
    <n v="6"/>
    <n v="3783.5"/>
    <n v="0"/>
    <s v="Train"/>
    <x v="0"/>
    <x v="0"/>
    <x v="1"/>
    <x v="1"/>
    <s v="ContractType|1-Year"/>
    <s v="Tenure_Bin|&gt;=24"/>
    <s v="Satis_Bin|4-6"/>
    <s v="Monthly_Bin|&gt;=90"/>
    <s v="Usage_Bin|40-80"/>
    <n v="1"/>
    <n v="0"/>
    <n v="2"/>
    <n v="2"/>
    <n v="0"/>
    <n v="5"/>
    <s v="Medium"/>
    <s v="No"/>
    <n v="0"/>
    <n v="0.33333333333333331"/>
    <s v="No"/>
    <x v="2"/>
    <e v="#N/A"/>
  </r>
  <r>
    <n v="246"/>
    <n v="34"/>
    <s v="Male"/>
    <n v="6"/>
    <n v="69.540000000000006"/>
    <x v="0"/>
    <s v="Credit Card"/>
    <n v="2"/>
    <n v="91"/>
    <n v="3"/>
    <n v="379.43"/>
    <n v="1"/>
    <s v="Train"/>
    <x v="2"/>
    <x v="2"/>
    <x v="0"/>
    <x v="3"/>
    <s v="ContractType|1-Year"/>
    <s v="Tenure_Bin|6-12"/>
    <s v="Satis_Bin|1-3"/>
    <s v="Monthly_Bin|60-90"/>
    <s v="Usage_Bin|&gt;=80"/>
    <n v="1"/>
    <n v="2"/>
    <n v="4"/>
    <n v="1"/>
    <n v="0"/>
    <n v="8"/>
    <s v="High"/>
    <s v="No"/>
    <n v="0"/>
    <n v="0.73684210526315785"/>
    <s v="Yes"/>
    <x v="1"/>
    <s v="6-12"/>
  </r>
  <r>
    <n v="248"/>
    <n v="41"/>
    <s v="Female"/>
    <n v="47"/>
    <n v="77.319999999999993"/>
    <x v="2"/>
    <s v="Bank Transfer"/>
    <n v="3"/>
    <n v="23.2"/>
    <n v="2"/>
    <n v="3784.47"/>
    <n v="1"/>
    <s v="Train"/>
    <x v="0"/>
    <x v="2"/>
    <x v="0"/>
    <x v="2"/>
    <s v="ContractType|2-Year"/>
    <s v="Tenure_Bin|&gt;=24"/>
    <s v="Satis_Bin|1-3"/>
    <s v="Monthly_Bin|60-90"/>
    <s v="Usage_Bin|20-40"/>
    <n v="0"/>
    <n v="0"/>
    <n v="4"/>
    <n v="1"/>
    <n v="1"/>
    <n v="6"/>
    <s v="Medium"/>
    <s v="No"/>
    <n v="0"/>
    <n v="0.33333333333333331"/>
    <s v="No"/>
    <x v="2"/>
    <e v="#N/A"/>
  </r>
  <r>
    <n v="249"/>
    <n v="22"/>
    <s v="Male"/>
    <n v="25"/>
    <n v="119.77"/>
    <x v="0"/>
    <s v="Credit Card"/>
    <n v="3"/>
    <n v="63.3"/>
    <n v="1"/>
    <n v="2732.37"/>
    <n v="1"/>
    <s v="Train"/>
    <x v="0"/>
    <x v="0"/>
    <x v="0"/>
    <x v="1"/>
    <s v="ContractType|1-Year"/>
    <s v="Tenure_Bin|&gt;=24"/>
    <s v="Satis_Bin|1-3"/>
    <s v="Monthly_Bin|&gt;=90"/>
    <s v="Usage_Bin|40-80"/>
    <n v="1"/>
    <n v="0"/>
    <n v="4"/>
    <n v="2"/>
    <n v="0"/>
    <n v="7"/>
    <s v="High"/>
    <s v="No"/>
    <n v="0"/>
    <n v="0.54166666666666663"/>
    <s v="Yes"/>
    <x v="0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  <r>
    <m/>
    <m/>
    <m/>
    <m/>
    <m/>
    <x v="3"/>
    <m/>
    <m/>
    <m/>
    <m/>
    <m/>
    <m/>
    <m/>
    <x v="4"/>
    <x v="4"/>
    <x v="3"/>
    <x v="4"/>
    <m/>
    <m/>
    <m/>
    <m/>
    <m/>
    <m/>
    <m/>
    <m/>
    <m/>
    <m/>
    <m/>
    <m/>
    <m/>
    <m/>
    <m/>
    <s v="No"/>
    <x v="2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010D8-43BC-E94D-8FD4-B83391B00BD3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D89D9-C184-E14C-AEE7-E532775741DB}" name="PivotTable2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M5:AN20" firstHeaderRow="1" firstDataRow="1" firstDataCol="1"/>
  <pivotFields count="35">
    <pivotField dataField="1"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>
      <items count="6">
        <item x="3"/>
        <item x="0"/>
        <item x="1"/>
        <item x="2"/>
        <item x="4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2">
    <field x="5"/>
    <field x="33"/>
  </rowFields>
  <rowItems count="1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FDE746-DBC7-1545-A148-9207EB525308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8" firstHeaderRow="0" firstDataRow="1" firstDataCol="1"/>
  <pivotFields count="16">
    <pivotField dataField="1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11">
        <item x="1"/>
        <item x="5"/>
        <item x="3"/>
        <item x="4"/>
        <item x="2"/>
        <item x="0"/>
        <item x="7"/>
        <item x="6"/>
        <item x="8"/>
        <item x="9"/>
        <item t="default"/>
      </items>
    </pivotField>
    <pivotField showAll="0"/>
    <pivotField dataField="1" showAll="0">
      <items count="3">
        <item x="1"/>
        <item x="0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Average of Churn" fld="11" subtotal="average" baseField="0" baseItem="0"/>
  </dataFields>
  <formats count="1">
    <format dxfId="7">
      <pivotArea collapsedLevelsAreSubtotals="1" fieldPosition="0">
        <references count="2">
          <reference field="4294967294" count="1" selected="0">
            <x v="1"/>
          </reference>
          <reference field="1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45291-93B2-0749-95F4-7FBF80515214}" name="PivotTable1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T5" firstHeaderRow="0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Average of Churn" fld="1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A5792-9DDB-A841-8981-B37BCDFE67D4}" name="PivotTable1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T5" firstHeaderRow="0" firstDataRow="1" firstDataCol="1"/>
  <pivotFields count="16">
    <pivotField dataField="1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Average of Churn" fld="11" subtotal="average" baseField="0" baseItem="0"/>
  </dataFields>
  <formats count="1">
    <format dxfId="6">
      <pivotArea collapsedLevelsAreSubtotals="1" fieldPosition="0">
        <references count="2">
          <reference field="4294967294" count="1" selected="0">
            <x v="1"/>
          </reference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04303-9DE3-8A49-AA05-F1B60FB85AE8}" name="PivotTable1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3">
        <item sd="0" x="0"/>
        <item x="1"/>
        <item t="default"/>
      </items>
    </pivotField>
    <pivotField showAll="0"/>
    <pivotField showAll="0"/>
    <pivotField showAll="0"/>
    <pivotField showAll="0"/>
  </pivotFields>
  <rowFields count="2">
    <field x="12"/>
    <field x="5"/>
  </rowFields>
  <rowItems count="6">
    <i>
      <x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Churn" fld="11" subtotal="average" baseField="0" baseItem="0" numFmtId="9"/>
  </dataFields>
  <formats count="2">
    <format dxfId="5">
      <pivotArea collapsedLevelsAreSubtotals="1" fieldPosition="0">
        <references count="2">
          <reference field="5" count="1">
            <x v="0"/>
          </reference>
          <reference field="12" count="1" selected="0">
            <x v="1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B2315-98BC-D540-AD67-5155C1F211E9}" name="PivotTable1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sd="0" x="0"/>
        <item x="1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</pivotFields>
  <rowFields count="2">
    <field x="12"/>
    <field x="13"/>
  </rowFields>
  <rowItems count="7">
    <i>
      <x/>
    </i>
    <i>
      <x v="1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Churn" fld="11" subtotal="average" baseField="0" baseItem="0" numFmtId="9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4A332-79DC-A446-916F-04173A1A36A3}" name="PivotTable1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sd="0" x="0"/>
        <item x="1"/>
        <item t="default"/>
      </items>
    </pivotField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</pivotFields>
  <rowFields count="2">
    <field x="12"/>
    <field x="14"/>
  </rowFields>
  <rowItems count="7">
    <i>
      <x/>
    </i>
    <i>
      <x v="1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Churn" fld="11" subtotal="average" baseField="0" baseItem="0" numFmtId="9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C154A-FCD8-1140-9CB2-E34B22C8DE6D}" name="PivotTable1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sd="0" x="0"/>
        <item x="1"/>
        <item t="default"/>
      </items>
    </pivotField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</pivotFields>
  <rowFields count="2">
    <field x="12"/>
    <field x="16"/>
  </rowFields>
  <rowItems count="7">
    <i>
      <x/>
    </i>
    <i>
      <x v="1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Churn" fld="11" subtotal="average" baseField="0" baseItem="0" numFmtId="9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E2A94-BA51-4A47-AB3F-0CE07190537B}" name="PivotTable1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sd="0" x="0"/>
        <item x="1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2">
    <field x="12"/>
    <field x="15"/>
  </rowFields>
  <rowItems count="6">
    <i>
      <x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Churn" fld="11" subtotal="average" baseField="0" baseItem="0" numFmtId="9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17555-D2C9-3341-8D3C-36A2E5D06895}" name="PivotTable18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Average of Churn" fld="1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1120-47D5-214C-9CB5-D9AE8603BFFE}">
  <sheetPr>
    <tabColor rgb="FF00B050"/>
  </sheetPr>
  <dimension ref="A1:R251"/>
  <sheetViews>
    <sheetView tabSelected="1" zoomScaleNormal="100" workbookViewId="0">
      <selection activeCell="E29" sqref="E29"/>
    </sheetView>
  </sheetViews>
  <sheetFormatPr baseColWidth="10" defaultRowHeight="15" x14ac:dyDescent="0.2"/>
  <cols>
    <col min="6" max="6" width="15.83203125" customWidth="1"/>
    <col min="14" max="14" width="10.6640625" bestFit="1" customWidth="1"/>
    <col min="17" max="17" width="15.83203125" customWidth="1"/>
    <col min="20" max="20" width="18.1640625" customWidth="1"/>
  </cols>
  <sheetData>
    <row r="1" spans="1:18" x14ac:dyDescent="0.2">
      <c r="A1" t="s">
        <v>5</v>
      </c>
      <c r="B1" t="s">
        <v>6</v>
      </c>
      <c r="C1" t="s">
        <v>14</v>
      </c>
      <c r="D1" t="s">
        <v>7</v>
      </c>
      <c r="E1" t="s">
        <v>8</v>
      </c>
      <c r="F1" t="s">
        <v>17</v>
      </c>
      <c r="G1" t="s">
        <v>21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68</v>
      </c>
      <c r="N1" t="s">
        <v>13</v>
      </c>
      <c r="Q1" t="s">
        <v>17</v>
      </c>
      <c r="R1" t="s">
        <v>13</v>
      </c>
    </row>
    <row r="2" spans="1:18" x14ac:dyDescent="0.2">
      <c r="A2">
        <v>1</v>
      </c>
      <c r="B2">
        <v>56</v>
      </c>
      <c r="C2" t="s">
        <v>15</v>
      </c>
      <c r="D2">
        <v>58</v>
      </c>
      <c r="E2">
        <v>28.27</v>
      </c>
      <c r="F2" t="s">
        <v>18</v>
      </c>
      <c r="G2" t="s">
        <v>23</v>
      </c>
      <c r="H2">
        <v>2</v>
      </c>
      <c r="I2">
        <v>52.7</v>
      </c>
      <c r="J2">
        <v>6</v>
      </c>
      <c r="K2">
        <v>1614.09</v>
      </c>
      <c r="L2">
        <v>1</v>
      </c>
      <c r="M2">
        <f>COUNTIF(L2:L251, 0)</f>
        <v>132</v>
      </c>
      <c r="N2">
        <f>COUNTIF(L2:L251, 1)</f>
        <v>118</v>
      </c>
      <c r="O2">
        <f>N2/250</f>
        <v>0.47199999999999998</v>
      </c>
      <c r="Q2" t="s">
        <v>18</v>
      </c>
      <c r="R2">
        <v>1</v>
      </c>
    </row>
    <row r="3" spans="1:18" x14ac:dyDescent="0.2">
      <c r="A3">
        <v>2</v>
      </c>
      <c r="B3">
        <v>69</v>
      </c>
      <c r="C3" t="s">
        <v>15</v>
      </c>
      <c r="D3">
        <v>63</v>
      </c>
      <c r="E3">
        <v>107.67</v>
      </c>
      <c r="F3" t="s">
        <v>18</v>
      </c>
      <c r="G3" t="s">
        <v>23</v>
      </c>
      <c r="H3">
        <v>1</v>
      </c>
      <c r="I3">
        <v>16.8</v>
      </c>
      <c r="J3">
        <v>1</v>
      </c>
      <c r="K3">
        <v>6505.15</v>
      </c>
      <c r="L3">
        <v>1</v>
      </c>
      <c r="Q3" t="s">
        <v>18</v>
      </c>
      <c r="R3">
        <v>1</v>
      </c>
    </row>
    <row r="4" spans="1:18" x14ac:dyDescent="0.2">
      <c r="A4">
        <v>3</v>
      </c>
      <c r="B4">
        <v>46</v>
      </c>
      <c r="C4" t="s">
        <v>15</v>
      </c>
      <c r="D4">
        <v>62</v>
      </c>
      <c r="E4">
        <v>75.16</v>
      </c>
      <c r="F4" t="s">
        <v>20</v>
      </c>
      <c r="G4" t="s">
        <v>22</v>
      </c>
      <c r="H4">
        <v>1</v>
      </c>
      <c r="I4">
        <v>41.6</v>
      </c>
      <c r="J4">
        <v>5</v>
      </c>
      <c r="K4">
        <v>4646.87</v>
      </c>
      <c r="L4">
        <v>0</v>
      </c>
      <c r="Q4" t="s">
        <v>20</v>
      </c>
      <c r="R4">
        <v>0</v>
      </c>
    </row>
    <row r="5" spans="1:18" x14ac:dyDescent="0.2">
      <c r="A5">
        <v>4</v>
      </c>
      <c r="B5">
        <v>32</v>
      </c>
      <c r="C5" t="s">
        <v>16</v>
      </c>
      <c r="D5">
        <v>22</v>
      </c>
      <c r="E5">
        <v>36.479999999999997</v>
      </c>
      <c r="F5" t="s">
        <v>20</v>
      </c>
      <c r="G5" t="s">
        <v>24</v>
      </c>
      <c r="H5">
        <v>1</v>
      </c>
      <c r="I5">
        <v>66.099999999999994</v>
      </c>
      <c r="J5">
        <v>3</v>
      </c>
      <c r="K5">
        <v>814.95</v>
      </c>
      <c r="L5">
        <v>1</v>
      </c>
      <c r="Q5" t="s">
        <v>20</v>
      </c>
      <c r="R5">
        <v>1</v>
      </c>
    </row>
    <row r="6" spans="1:18" x14ac:dyDescent="0.2">
      <c r="A6">
        <v>5</v>
      </c>
      <c r="B6">
        <v>60</v>
      </c>
      <c r="C6" t="s">
        <v>16</v>
      </c>
      <c r="D6">
        <v>58</v>
      </c>
      <c r="E6">
        <v>61.13</v>
      </c>
      <c r="F6" t="s">
        <v>18</v>
      </c>
      <c r="G6" t="s">
        <v>22</v>
      </c>
      <c r="H6">
        <v>3</v>
      </c>
      <c r="I6">
        <v>79.099999999999994</v>
      </c>
      <c r="J6">
        <v>1</v>
      </c>
      <c r="K6">
        <v>3222</v>
      </c>
      <c r="L6">
        <v>1</v>
      </c>
      <c r="Q6" t="s">
        <v>18</v>
      </c>
      <c r="R6">
        <v>1</v>
      </c>
    </row>
    <row r="7" spans="1:18" x14ac:dyDescent="0.2">
      <c r="A7">
        <v>6</v>
      </c>
      <c r="B7">
        <v>25</v>
      </c>
      <c r="C7" t="s">
        <v>15</v>
      </c>
      <c r="D7">
        <v>58</v>
      </c>
      <c r="E7">
        <v>97.76</v>
      </c>
      <c r="F7" t="s">
        <v>20</v>
      </c>
      <c r="G7" t="s">
        <v>24</v>
      </c>
      <c r="H7">
        <v>2</v>
      </c>
      <c r="I7">
        <v>25.6</v>
      </c>
      <c r="J7">
        <v>4</v>
      </c>
      <c r="K7">
        <v>5242.5600000000004</v>
      </c>
      <c r="L7">
        <v>1</v>
      </c>
      <c r="Q7" t="s">
        <v>20</v>
      </c>
      <c r="R7">
        <v>1</v>
      </c>
    </row>
    <row r="8" spans="1:18" x14ac:dyDescent="0.2">
      <c r="A8">
        <v>7</v>
      </c>
      <c r="B8">
        <v>38</v>
      </c>
      <c r="C8" t="s">
        <v>15</v>
      </c>
      <c r="D8">
        <v>49</v>
      </c>
      <c r="E8">
        <v>68.040000000000006</v>
      </c>
      <c r="F8" t="s">
        <v>18</v>
      </c>
      <c r="G8" t="s">
        <v>23</v>
      </c>
      <c r="H8">
        <v>2</v>
      </c>
      <c r="I8">
        <v>18.100000000000001</v>
      </c>
      <c r="J8">
        <v>2</v>
      </c>
      <c r="K8">
        <v>3373.06</v>
      </c>
      <c r="L8">
        <v>1</v>
      </c>
      <c r="Q8" t="s">
        <v>18</v>
      </c>
      <c r="R8">
        <v>1</v>
      </c>
    </row>
    <row r="9" spans="1:18" x14ac:dyDescent="0.2">
      <c r="A9">
        <v>8</v>
      </c>
      <c r="B9">
        <v>56</v>
      </c>
      <c r="C9" t="s">
        <v>16</v>
      </c>
      <c r="D9">
        <v>52</v>
      </c>
      <c r="E9">
        <v>118.53</v>
      </c>
      <c r="F9" t="s">
        <v>20</v>
      </c>
      <c r="G9" t="s">
        <v>24</v>
      </c>
      <c r="H9">
        <v>3</v>
      </c>
      <c r="I9">
        <v>68</v>
      </c>
      <c r="J9">
        <v>2</v>
      </c>
      <c r="K9">
        <v>5970.23</v>
      </c>
      <c r="L9">
        <v>0</v>
      </c>
      <c r="Q9" t="s">
        <v>20</v>
      </c>
      <c r="R9">
        <v>0</v>
      </c>
    </row>
    <row r="10" spans="1:18" x14ac:dyDescent="0.2">
      <c r="A10">
        <v>9</v>
      </c>
      <c r="B10">
        <v>36</v>
      </c>
      <c r="C10" t="s">
        <v>16</v>
      </c>
      <c r="D10">
        <v>42</v>
      </c>
      <c r="E10">
        <v>57.67</v>
      </c>
      <c r="F10" t="s">
        <v>20</v>
      </c>
      <c r="G10" t="s">
        <v>22</v>
      </c>
      <c r="H10">
        <v>0</v>
      </c>
      <c r="I10">
        <v>5.2</v>
      </c>
      <c r="J10">
        <v>3</v>
      </c>
      <c r="K10">
        <v>2533.16</v>
      </c>
      <c r="L10">
        <v>1</v>
      </c>
      <c r="Q10" t="s">
        <v>20</v>
      </c>
      <c r="R10">
        <v>1</v>
      </c>
    </row>
    <row r="11" spans="1:18" x14ac:dyDescent="0.2">
      <c r="A11">
        <v>10</v>
      </c>
      <c r="B11">
        <v>40</v>
      </c>
      <c r="C11" t="s">
        <v>15</v>
      </c>
      <c r="D11">
        <v>70</v>
      </c>
      <c r="E11">
        <v>94.96</v>
      </c>
      <c r="F11" t="s">
        <v>20</v>
      </c>
      <c r="G11" t="s">
        <v>23</v>
      </c>
      <c r="H11">
        <v>5</v>
      </c>
      <c r="I11">
        <v>21.9</v>
      </c>
      <c r="J11">
        <v>8</v>
      </c>
      <c r="K11">
        <v>6849.66</v>
      </c>
      <c r="L11">
        <v>0</v>
      </c>
      <c r="Q11" t="s">
        <v>20</v>
      </c>
      <c r="R11">
        <v>0</v>
      </c>
    </row>
    <row r="12" spans="1:18" x14ac:dyDescent="0.2">
      <c r="A12">
        <v>11</v>
      </c>
      <c r="B12">
        <v>28</v>
      </c>
      <c r="C12" t="s">
        <v>16</v>
      </c>
      <c r="D12">
        <v>15</v>
      </c>
      <c r="E12">
        <v>59.3</v>
      </c>
      <c r="F12" t="s">
        <v>20</v>
      </c>
      <c r="G12" t="s">
        <v>22</v>
      </c>
      <c r="H12">
        <v>1</v>
      </c>
      <c r="I12">
        <v>7.8</v>
      </c>
      <c r="J12">
        <v>8</v>
      </c>
      <c r="K12">
        <v>950.98</v>
      </c>
      <c r="L12">
        <v>0</v>
      </c>
      <c r="Q12" t="s">
        <v>20</v>
      </c>
      <c r="R12">
        <v>0</v>
      </c>
    </row>
    <row r="13" spans="1:18" x14ac:dyDescent="0.2">
      <c r="A13">
        <v>12</v>
      </c>
      <c r="B13">
        <v>28</v>
      </c>
      <c r="C13" t="s">
        <v>15</v>
      </c>
      <c r="D13">
        <v>54</v>
      </c>
      <c r="E13">
        <v>102.92</v>
      </c>
      <c r="F13" t="s">
        <v>18</v>
      </c>
      <c r="G13" t="s">
        <v>22</v>
      </c>
      <c r="H13">
        <v>3</v>
      </c>
      <c r="I13">
        <v>20.9</v>
      </c>
      <c r="J13">
        <v>7</v>
      </c>
      <c r="K13">
        <v>5771.64</v>
      </c>
      <c r="L13">
        <v>0</v>
      </c>
      <c r="Q13" t="s">
        <v>18</v>
      </c>
      <c r="R13">
        <v>0</v>
      </c>
    </row>
    <row r="14" spans="1:18" x14ac:dyDescent="0.2">
      <c r="A14">
        <v>13</v>
      </c>
      <c r="B14">
        <v>41</v>
      </c>
      <c r="C14" t="s">
        <v>15</v>
      </c>
      <c r="D14">
        <v>60</v>
      </c>
      <c r="E14">
        <v>76.91</v>
      </c>
      <c r="F14" t="s">
        <v>20</v>
      </c>
      <c r="G14" t="s">
        <v>24</v>
      </c>
      <c r="H14">
        <v>0</v>
      </c>
      <c r="I14">
        <v>22.2</v>
      </c>
      <c r="J14">
        <v>6</v>
      </c>
      <c r="K14">
        <v>4549.93</v>
      </c>
      <c r="L14">
        <v>0</v>
      </c>
      <c r="Q14" t="s">
        <v>20</v>
      </c>
      <c r="R14">
        <v>0</v>
      </c>
    </row>
    <row r="15" spans="1:18" x14ac:dyDescent="0.2">
      <c r="A15">
        <v>14</v>
      </c>
      <c r="B15">
        <v>53</v>
      </c>
      <c r="C15" t="s">
        <v>16</v>
      </c>
      <c r="D15">
        <v>8</v>
      </c>
      <c r="E15">
        <v>26.35</v>
      </c>
      <c r="F15" t="s">
        <v>20</v>
      </c>
      <c r="G15" t="s">
        <v>22</v>
      </c>
      <c r="H15">
        <v>1</v>
      </c>
      <c r="I15">
        <v>41.8</v>
      </c>
      <c r="J15">
        <v>9</v>
      </c>
      <c r="K15">
        <v>218.09</v>
      </c>
      <c r="L15">
        <v>1</v>
      </c>
      <c r="Q15" t="s">
        <v>20</v>
      </c>
      <c r="R15">
        <v>1</v>
      </c>
    </row>
    <row r="16" spans="1:18" x14ac:dyDescent="0.2">
      <c r="A16">
        <v>15</v>
      </c>
      <c r="B16">
        <v>57</v>
      </c>
      <c r="C16" t="s">
        <v>16</v>
      </c>
      <c r="D16">
        <v>53</v>
      </c>
      <c r="E16">
        <v>23.68</v>
      </c>
      <c r="F16" t="s">
        <v>20</v>
      </c>
      <c r="G16" t="s">
        <v>24</v>
      </c>
      <c r="H16">
        <v>1</v>
      </c>
      <c r="I16">
        <v>43.2</v>
      </c>
      <c r="J16">
        <v>4</v>
      </c>
      <c r="K16">
        <v>1198.6600000000001</v>
      </c>
      <c r="L16">
        <v>0</v>
      </c>
      <c r="Q16" t="s">
        <v>20</v>
      </c>
      <c r="R16">
        <v>0</v>
      </c>
    </row>
    <row r="17" spans="1:18" x14ac:dyDescent="0.2">
      <c r="A17">
        <v>16</v>
      </c>
      <c r="B17">
        <v>41</v>
      </c>
      <c r="C17" t="s">
        <v>15</v>
      </c>
      <c r="D17">
        <v>60</v>
      </c>
      <c r="E17">
        <v>33.39</v>
      </c>
      <c r="F17" t="s">
        <v>20</v>
      </c>
      <c r="G17" t="s">
        <v>23</v>
      </c>
      <c r="H17">
        <v>3</v>
      </c>
      <c r="I17">
        <v>88.1</v>
      </c>
      <c r="J17">
        <v>1</v>
      </c>
      <c r="K17">
        <v>1925.79</v>
      </c>
      <c r="L17">
        <v>1</v>
      </c>
      <c r="Q17" t="s">
        <v>20</v>
      </c>
      <c r="R17">
        <v>1</v>
      </c>
    </row>
    <row r="18" spans="1:18" x14ac:dyDescent="0.2">
      <c r="A18">
        <v>17</v>
      </c>
      <c r="B18">
        <v>20</v>
      </c>
      <c r="C18" t="s">
        <v>15</v>
      </c>
      <c r="D18">
        <v>5</v>
      </c>
      <c r="E18">
        <v>21.37</v>
      </c>
      <c r="F18" t="s">
        <v>18</v>
      </c>
      <c r="G18" t="s">
        <v>24</v>
      </c>
      <c r="H18">
        <v>3</v>
      </c>
      <c r="I18">
        <v>53.5</v>
      </c>
      <c r="J18">
        <v>8</v>
      </c>
      <c r="K18">
        <v>113.03</v>
      </c>
      <c r="L18">
        <v>0</v>
      </c>
      <c r="Q18" t="s">
        <v>18</v>
      </c>
      <c r="R18">
        <v>0</v>
      </c>
    </row>
    <row r="19" spans="1:18" x14ac:dyDescent="0.2">
      <c r="A19">
        <v>18</v>
      </c>
      <c r="B19">
        <v>39</v>
      </c>
      <c r="C19" t="s">
        <v>16</v>
      </c>
      <c r="D19">
        <v>68</v>
      </c>
      <c r="E19">
        <v>27.54</v>
      </c>
      <c r="F19" t="s">
        <v>20</v>
      </c>
      <c r="G19" t="s">
        <v>23</v>
      </c>
      <c r="H19">
        <v>2</v>
      </c>
      <c r="I19">
        <v>73.7</v>
      </c>
      <c r="J19">
        <v>7</v>
      </c>
      <c r="K19">
        <v>1852.65</v>
      </c>
      <c r="L19">
        <v>0</v>
      </c>
      <c r="Q19" t="s">
        <v>20</v>
      </c>
      <c r="R19">
        <v>0</v>
      </c>
    </row>
    <row r="20" spans="1:18" x14ac:dyDescent="0.2">
      <c r="A20">
        <v>19</v>
      </c>
      <c r="B20">
        <v>19</v>
      </c>
      <c r="C20" t="s">
        <v>15</v>
      </c>
      <c r="D20">
        <v>6</v>
      </c>
      <c r="E20">
        <v>89.17</v>
      </c>
      <c r="F20" t="s">
        <v>20</v>
      </c>
      <c r="G20" t="s">
        <v>24</v>
      </c>
      <c r="H20">
        <v>6</v>
      </c>
      <c r="I20">
        <v>14.9</v>
      </c>
      <c r="J20">
        <v>7</v>
      </c>
      <c r="K20">
        <v>566.95000000000005</v>
      </c>
      <c r="L20">
        <v>1</v>
      </c>
      <c r="Q20" t="s">
        <v>20</v>
      </c>
      <c r="R20">
        <v>1</v>
      </c>
    </row>
    <row r="21" spans="1:18" x14ac:dyDescent="0.2">
      <c r="A21">
        <v>20</v>
      </c>
      <c r="B21">
        <v>41</v>
      </c>
      <c r="C21" t="s">
        <v>16</v>
      </c>
      <c r="D21">
        <v>47</v>
      </c>
      <c r="E21">
        <v>73.430000000000007</v>
      </c>
      <c r="F21" t="s">
        <v>20</v>
      </c>
      <c r="G21" t="s">
        <v>22</v>
      </c>
      <c r="H21">
        <v>3</v>
      </c>
      <c r="I21">
        <v>26.4</v>
      </c>
      <c r="J21">
        <v>3</v>
      </c>
      <c r="K21">
        <v>3673.76</v>
      </c>
      <c r="L21">
        <v>1</v>
      </c>
      <c r="Q21" t="s">
        <v>20</v>
      </c>
      <c r="R21">
        <v>1</v>
      </c>
    </row>
    <row r="22" spans="1:18" x14ac:dyDescent="0.2">
      <c r="A22">
        <v>21</v>
      </c>
      <c r="B22">
        <v>61</v>
      </c>
      <c r="C22" t="s">
        <v>15</v>
      </c>
      <c r="D22">
        <v>55</v>
      </c>
      <c r="E22">
        <v>94.99</v>
      </c>
      <c r="F22" t="s">
        <v>18</v>
      </c>
      <c r="G22" t="s">
        <v>24</v>
      </c>
      <c r="H22">
        <v>4</v>
      </c>
      <c r="I22">
        <v>71.8</v>
      </c>
      <c r="J22">
        <v>4</v>
      </c>
      <c r="K22">
        <v>5598.06</v>
      </c>
      <c r="L22">
        <v>0</v>
      </c>
      <c r="Q22" t="s">
        <v>18</v>
      </c>
      <c r="R22">
        <v>0</v>
      </c>
    </row>
    <row r="23" spans="1:18" x14ac:dyDescent="0.2">
      <c r="A23">
        <v>22</v>
      </c>
      <c r="B23">
        <v>47</v>
      </c>
      <c r="C23" t="s">
        <v>16</v>
      </c>
      <c r="D23">
        <v>40</v>
      </c>
      <c r="E23">
        <v>111.32</v>
      </c>
      <c r="F23" t="s">
        <v>20</v>
      </c>
      <c r="G23" t="s">
        <v>24</v>
      </c>
      <c r="H23">
        <v>1</v>
      </c>
      <c r="I23">
        <v>10</v>
      </c>
      <c r="J23">
        <v>10</v>
      </c>
      <c r="K23">
        <v>4823.84</v>
      </c>
      <c r="L23">
        <v>1</v>
      </c>
      <c r="Q23" t="s">
        <v>20</v>
      </c>
      <c r="R23">
        <v>1</v>
      </c>
    </row>
    <row r="24" spans="1:18" x14ac:dyDescent="0.2">
      <c r="A24">
        <v>23</v>
      </c>
      <c r="B24">
        <v>55</v>
      </c>
      <c r="C24" t="s">
        <v>16</v>
      </c>
      <c r="D24">
        <v>52</v>
      </c>
      <c r="E24">
        <v>78.510000000000005</v>
      </c>
      <c r="F24" t="s">
        <v>18</v>
      </c>
      <c r="G24" t="s">
        <v>23</v>
      </c>
      <c r="H24">
        <v>0</v>
      </c>
      <c r="I24">
        <v>51.2</v>
      </c>
      <c r="J24">
        <v>9</v>
      </c>
      <c r="K24">
        <v>4026.17</v>
      </c>
      <c r="L24">
        <v>1</v>
      </c>
      <c r="Q24" t="s">
        <v>18</v>
      </c>
      <c r="R24">
        <v>1</v>
      </c>
    </row>
    <row r="25" spans="1:18" x14ac:dyDescent="0.2">
      <c r="A25">
        <v>24</v>
      </c>
      <c r="B25">
        <v>19</v>
      </c>
      <c r="C25" t="s">
        <v>16</v>
      </c>
      <c r="D25">
        <v>16</v>
      </c>
      <c r="E25">
        <v>92.61</v>
      </c>
      <c r="F25" t="s">
        <v>19</v>
      </c>
      <c r="G25" t="s">
        <v>22</v>
      </c>
      <c r="H25">
        <v>1</v>
      </c>
      <c r="I25">
        <v>61.9</v>
      </c>
      <c r="J25">
        <v>6</v>
      </c>
      <c r="K25">
        <v>1428.08</v>
      </c>
      <c r="L25">
        <v>0</v>
      </c>
      <c r="Q25" t="s">
        <v>19</v>
      </c>
      <c r="R25">
        <v>0</v>
      </c>
    </row>
    <row r="26" spans="1:18" x14ac:dyDescent="0.2">
      <c r="A26">
        <v>25</v>
      </c>
      <c r="B26">
        <v>38</v>
      </c>
      <c r="C26" t="s">
        <v>15</v>
      </c>
      <c r="D26">
        <v>13</v>
      </c>
      <c r="E26">
        <v>95.71</v>
      </c>
      <c r="F26" t="s">
        <v>20</v>
      </c>
      <c r="G26" t="s">
        <v>24</v>
      </c>
      <c r="H26">
        <v>1</v>
      </c>
      <c r="I26">
        <v>62.2</v>
      </c>
      <c r="J26">
        <v>5</v>
      </c>
      <c r="K26">
        <v>1264.68</v>
      </c>
      <c r="L26">
        <v>0</v>
      </c>
      <c r="Q26" t="s">
        <v>20</v>
      </c>
      <c r="R26">
        <v>0</v>
      </c>
    </row>
    <row r="27" spans="1:18" x14ac:dyDescent="0.2">
      <c r="A27">
        <v>26</v>
      </c>
      <c r="B27">
        <v>50</v>
      </c>
      <c r="C27" t="s">
        <v>15</v>
      </c>
      <c r="D27">
        <v>30</v>
      </c>
      <c r="E27">
        <v>57.79</v>
      </c>
      <c r="F27" t="s">
        <v>20</v>
      </c>
      <c r="G27" t="s">
        <v>22</v>
      </c>
      <c r="H27">
        <v>4</v>
      </c>
      <c r="I27">
        <v>7.2</v>
      </c>
      <c r="J27">
        <v>3</v>
      </c>
      <c r="K27">
        <v>1689.03</v>
      </c>
      <c r="L27">
        <v>0</v>
      </c>
      <c r="Q27" t="s">
        <v>20</v>
      </c>
      <c r="R27">
        <v>0</v>
      </c>
    </row>
    <row r="28" spans="1:18" x14ac:dyDescent="0.2">
      <c r="A28">
        <v>27</v>
      </c>
      <c r="B28">
        <v>29</v>
      </c>
      <c r="C28" t="s">
        <v>16</v>
      </c>
      <c r="D28">
        <v>19</v>
      </c>
      <c r="E28">
        <v>44.11</v>
      </c>
      <c r="F28" t="s">
        <v>20</v>
      </c>
      <c r="G28" t="s">
        <v>24</v>
      </c>
      <c r="H28">
        <v>1</v>
      </c>
      <c r="I28">
        <v>35.6</v>
      </c>
      <c r="J28">
        <v>9</v>
      </c>
      <c r="K28">
        <v>855.03</v>
      </c>
      <c r="L28">
        <v>0</v>
      </c>
      <c r="Q28" t="s">
        <v>20</v>
      </c>
      <c r="R28">
        <v>0</v>
      </c>
    </row>
    <row r="29" spans="1:18" x14ac:dyDescent="0.2">
      <c r="A29">
        <v>28</v>
      </c>
      <c r="B29">
        <v>39</v>
      </c>
      <c r="C29" t="s">
        <v>15</v>
      </c>
      <c r="D29">
        <v>17</v>
      </c>
      <c r="E29">
        <v>40.5</v>
      </c>
      <c r="F29" t="s">
        <v>20</v>
      </c>
      <c r="G29" t="s">
        <v>24</v>
      </c>
      <c r="H29">
        <v>2</v>
      </c>
      <c r="I29">
        <v>65.5</v>
      </c>
      <c r="J29">
        <v>5</v>
      </c>
      <c r="K29">
        <v>716.81</v>
      </c>
      <c r="L29">
        <v>0</v>
      </c>
      <c r="Q29" t="s">
        <v>20</v>
      </c>
      <c r="R29">
        <v>0</v>
      </c>
    </row>
    <row r="30" spans="1:18" x14ac:dyDescent="0.2">
      <c r="A30">
        <v>29</v>
      </c>
      <c r="B30">
        <v>61</v>
      </c>
      <c r="C30" t="s">
        <v>16</v>
      </c>
      <c r="D30">
        <v>63</v>
      </c>
      <c r="E30">
        <v>45.14</v>
      </c>
      <c r="F30" t="s">
        <v>18</v>
      </c>
      <c r="G30" t="s">
        <v>22</v>
      </c>
      <c r="H30">
        <v>1</v>
      </c>
      <c r="I30">
        <v>19.2</v>
      </c>
      <c r="J30">
        <v>5</v>
      </c>
      <c r="K30">
        <v>2950.98</v>
      </c>
      <c r="L30">
        <v>0</v>
      </c>
      <c r="Q30" t="s">
        <v>18</v>
      </c>
      <c r="R30">
        <v>0</v>
      </c>
    </row>
    <row r="31" spans="1:18" x14ac:dyDescent="0.2">
      <c r="A31">
        <v>30</v>
      </c>
      <c r="B31">
        <v>42</v>
      </c>
      <c r="C31" t="s">
        <v>16</v>
      </c>
      <c r="D31">
        <v>19</v>
      </c>
      <c r="E31">
        <v>47.47</v>
      </c>
      <c r="F31" t="s">
        <v>19</v>
      </c>
      <c r="G31" t="s">
        <v>24</v>
      </c>
      <c r="H31">
        <v>1</v>
      </c>
      <c r="I31">
        <v>71.099999999999994</v>
      </c>
      <c r="J31">
        <v>4</v>
      </c>
      <c r="K31">
        <v>879.3</v>
      </c>
      <c r="L31">
        <v>1</v>
      </c>
      <c r="Q31" t="s">
        <v>19</v>
      </c>
      <c r="R31">
        <v>1</v>
      </c>
    </row>
    <row r="32" spans="1:18" x14ac:dyDescent="0.2">
      <c r="A32">
        <v>31</v>
      </c>
      <c r="B32">
        <v>66</v>
      </c>
      <c r="C32" t="s">
        <v>15</v>
      </c>
      <c r="D32">
        <v>58</v>
      </c>
      <c r="E32">
        <v>40.72</v>
      </c>
      <c r="F32" t="s">
        <v>20</v>
      </c>
      <c r="G32" t="s">
        <v>22</v>
      </c>
      <c r="H32">
        <v>2</v>
      </c>
      <c r="I32">
        <v>75.900000000000006</v>
      </c>
      <c r="J32">
        <v>4</v>
      </c>
      <c r="K32">
        <v>2204.4</v>
      </c>
      <c r="L32">
        <v>1</v>
      </c>
      <c r="Q32" t="s">
        <v>20</v>
      </c>
      <c r="R32">
        <v>1</v>
      </c>
    </row>
    <row r="33" spans="1:18" x14ac:dyDescent="0.2">
      <c r="A33">
        <v>32</v>
      </c>
      <c r="B33">
        <v>44</v>
      </c>
      <c r="C33" t="s">
        <v>15</v>
      </c>
      <c r="D33">
        <v>55</v>
      </c>
      <c r="E33">
        <v>107.82</v>
      </c>
      <c r="F33" t="s">
        <v>20</v>
      </c>
      <c r="G33" t="s">
        <v>24</v>
      </c>
      <c r="H33">
        <v>2</v>
      </c>
      <c r="I33">
        <v>98.3</v>
      </c>
      <c r="J33">
        <v>1</v>
      </c>
      <c r="K33">
        <v>5847.71</v>
      </c>
      <c r="L33">
        <v>0</v>
      </c>
      <c r="Q33" t="s">
        <v>20</v>
      </c>
      <c r="R33">
        <v>0</v>
      </c>
    </row>
    <row r="34" spans="1:18" x14ac:dyDescent="0.2">
      <c r="A34">
        <v>33</v>
      </c>
      <c r="B34">
        <v>59</v>
      </c>
      <c r="C34" t="s">
        <v>16</v>
      </c>
      <c r="D34">
        <v>62</v>
      </c>
      <c r="E34">
        <v>95.7</v>
      </c>
      <c r="F34" t="s">
        <v>20</v>
      </c>
      <c r="G34" t="s">
        <v>23</v>
      </c>
      <c r="H34">
        <v>4</v>
      </c>
      <c r="I34">
        <v>24.9</v>
      </c>
      <c r="J34">
        <v>7</v>
      </c>
      <c r="K34">
        <v>5509.27</v>
      </c>
      <c r="L34">
        <v>0</v>
      </c>
      <c r="Q34" t="s">
        <v>20</v>
      </c>
      <c r="R34">
        <v>0</v>
      </c>
    </row>
    <row r="35" spans="1:18" x14ac:dyDescent="0.2">
      <c r="A35">
        <v>34</v>
      </c>
      <c r="B35">
        <v>45</v>
      </c>
      <c r="C35" t="s">
        <v>15</v>
      </c>
      <c r="D35">
        <v>23</v>
      </c>
      <c r="E35">
        <v>24.69</v>
      </c>
      <c r="F35" t="s">
        <v>18</v>
      </c>
      <c r="G35" t="s">
        <v>22</v>
      </c>
      <c r="H35">
        <v>5</v>
      </c>
      <c r="I35">
        <v>83.4</v>
      </c>
      <c r="J35">
        <v>9</v>
      </c>
      <c r="K35">
        <v>612.16999999999996</v>
      </c>
      <c r="L35">
        <v>1</v>
      </c>
      <c r="Q35" t="s">
        <v>18</v>
      </c>
      <c r="R35">
        <v>1</v>
      </c>
    </row>
    <row r="36" spans="1:18" x14ac:dyDescent="0.2">
      <c r="A36">
        <v>35</v>
      </c>
      <c r="B36">
        <v>33</v>
      </c>
      <c r="C36" t="s">
        <v>15</v>
      </c>
      <c r="D36">
        <v>9</v>
      </c>
      <c r="E36">
        <v>46.87</v>
      </c>
      <c r="F36" t="s">
        <v>20</v>
      </c>
      <c r="G36" t="s">
        <v>24</v>
      </c>
      <c r="H36">
        <v>0</v>
      </c>
      <c r="I36">
        <v>54.4</v>
      </c>
      <c r="J36">
        <v>3</v>
      </c>
      <c r="K36">
        <v>408.83</v>
      </c>
      <c r="L36">
        <v>1</v>
      </c>
      <c r="Q36" t="s">
        <v>20</v>
      </c>
      <c r="R36">
        <v>1</v>
      </c>
    </row>
    <row r="37" spans="1:18" x14ac:dyDescent="0.2">
      <c r="A37">
        <v>36</v>
      </c>
      <c r="B37">
        <v>32</v>
      </c>
      <c r="C37" t="s">
        <v>16</v>
      </c>
      <c r="D37">
        <v>12</v>
      </c>
      <c r="E37">
        <v>22.22</v>
      </c>
      <c r="F37" t="s">
        <v>20</v>
      </c>
      <c r="G37" t="s">
        <v>24</v>
      </c>
      <c r="H37">
        <v>1</v>
      </c>
      <c r="I37">
        <v>40.5</v>
      </c>
      <c r="J37">
        <v>2</v>
      </c>
      <c r="K37">
        <v>248.21</v>
      </c>
      <c r="L37">
        <v>0</v>
      </c>
      <c r="Q37" t="s">
        <v>20</v>
      </c>
      <c r="R37">
        <v>0</v>
      </c>
    </row>
    <row r="38" spans="1:18" x14ac:dyDescent="0.2">
      <c r="A38">
        <v>37</v>
      </c>
      <c r="B38">
        <v>64</v>
      </c>
      <c r="C38" t="s">
        <v>16</v>
      </c>
      <c r="D38">
        <v>1</v>
      </c>
      <c r="E38">
        <v>69.819999999999993</v>
      </c>
      <c r="F38" t="s">
        <v>19</v>
      </c>
      <c r="G38" t="s">
        <v>23</v>
      </c>
      <c r="H38">
        <v>1</v>
      </c>
      <c r="I38">
        <v>16.600000000000001</v>
      </c>
      <c r="J38">
        <v>3</v>
      </c>
      <c r="K38">
        <v>63.19</v>
      </c>
      <c r="L38">
        <v>0</v>
      </c>
      <c r="Q38" t="s">
        <v>19</v>
      </c>
      <c r="R38">
        <v>0</v>
      </c>
    </row>
    <row r="39" spans="1:18" x14ac:dyDescent="0.2">
      <c r="A39">
        <v>38</v>
      </c>
      <c r="B39">
        <v>68</v>
      </c>
      <c r="C39" t="s">
        <v>15</v>
      </c>
      <c r="D39">
        <v>58</v>
      </c>
      <c r="E39">
        <v>67.62</v>
      </c>
      <c r="F39" t="s">
        <v>18</v>
      </c>
      <c r="G39" t="s">
        <v>22</v>
      </c>
      <c r="H39">
        <v>3</v>
      </c>
      <c r="I39">
        <v>74.900000000000006</v>
      </c>
      <c r="J39">
        <v>1</v>
      </c>
      <c r="K39">
        <v>4036.34</v>
      </c>
      <c r="L39">
        <v>0</v>
      </c>
      <c r="Q39" t="s">
        <v>18</v>
      </c>
      <c r="R39">
        <v>0</v>
      </c>
    </row>
    <row r="40" spans="1:18" x14ac:dyDescent="0.2">
      <c r="A40">
        <v>39</v>
      </c>
      <c r="B40">
        <v>61</v>
      </c>
      <c r="C40" t="s">
        <v>16</v>
      </c>
      <c r="D40">
        <v>1</v>
      </c>
      <c r="E40">
        <v>103.14</v>
      </c>
      <c r="F40" t="s">
        <v>20</v>
      </c>
      <c r="G40" t="s">
        <v>24</v>
      </c>
      <c r="H40">
        <v>2</v>
      </c>
      <c r="I40">
        <v>27.4</v>
      </c>
      <c r="J40">
        <v>6</v>
      </c>
      <c r="K40">
        <v>105.96</v>
      </c>
      <c r="L40">
        <v>1</v>
      </c>
      <c r="Q40" t="s">
        <v>20</v>
      </c>
      <c r="R40">
        <v>1</v>
      </c>
    </row>
    <row r="41" spans="1:18" x14ac:dyDescent="0.2">
      <c r="A41">
        <v>40</v>
      </c>
      <c r="B41">
        <v>69</v>
      </c>
      <c r="C41" t="s">
        <v>16</v>
      </c>
      <c r="D41">
        <v>34</v>
      </c>
      <c r="E41">
        <v>50.78</v>
      </c>
      <c r="F41" t="s">
        <v>18</v>
      </c>
      <c r="G41" t="s">
        <v>23</v>
      </c>
      <c r="H41">
        <v>2</v>
      </c>
      <c r="I41">
        <v>40.299999999999997</v>
      </c>
      <c r="J41">
        <v>7</v>
      </c>
      <c r="K41">
        <v>1671.48</v>
      </c>
      <c r="L41">
        <v>0</v>
      </c>
      <c r="Q41" t="s">
        <v>18</v>
      </c>
      <c r="R41">
        <v>0</v>
      </c>
    </row>
    <row r="42" spans="1:18" x14ac:dyDescent="0.2">
      <c r="A42">
        <v>41</v>
      </c>
      <c r="B42">
        <v>20</v>
      </c>
      <c r="C42" t="s">
        <v>15</v>
      </c>
      <c r="D42">
        <v>48</v>
      </c>
      <c r="E42">
        <v>101.64</v>
      </c>
      <c r="F42" t="s">
        <v>18</v>
      </c>
      <c r="G42" t="s">
        <v>24</v>
      </c>
      <c r="H42">
        <v>3</v>
      </c>
      <c r="I42">
        <v>10.9</v>
      </c>
      <c r="J42">
        <v>2</v>
      </c>
      <c r="K42">
        <v>4460.82</v>
      </c>
      <c r="L42">
        <v>1</v>
      </c>
      <c r="Q42" t="s">
        <v>18</v>
      </c>
      <c r="R42">
        <v>1</v>
      </c>
    </row>
    <row r="43" spans="1:18" x14ac:dyDescent="0.2">
      <c r="A43">
        <v>42</v>
      </c>
      <c r="B43">
        <v>54</v>
      </c>
      <c r="C43" t="s">
        <v>16</v>
      </c>
      <c r="D43">
        <v>1</v>
      </c>
      <c r="E43">
        <v>116.8</v>
      </c>
      <c r="F43" t="s">
        <v>20</v>
      </c>
      <c r="G43" t="s">
        <v>22</v>
      </c>
      <c r="H43">
        <v>0</v>
      </c>
      <c r="I43">
        <v>81.099999999999994</v>
      </c>
      <c r="J43">
        <v>8</v>
      </c>
      <c r="K43">
        <v>114.69</v>
      </c>
      <c r="L43">
        <v>1</v>
      </c>
      <c r="Q43" t="s">
        <v>20</v>
      </c>
      <c r="R43">
        <v>1</v>
      </c>
    </row>
    <row r="44" spans="1:18" x14ac:dyDescent="0.2">
      <c r="A44">
        <v>43</v>
      </c>
      <c r="B44">
        <v>68</v>
      </c>
      <c r="C44" t="s">
        <v>16</v>
      </c>
      <c r="D44">
        <v>16</v>
      </c>
      <c r="E44">
        <v>28.84</v>
      </c>
      <c r="F44" t="s">
        <v>20</v>
      </c>
      <c r="G44" t="s">
        <v>24</v>
      </c>
      <c r="H44">
        <v>2</v>
      </c>
      <c r="I44">
        <v>77.8</v>
      </c>
      <c r="J44">
        <v>6</v>
      </c>
      <c r="K44">
        <v>444.02</v>
      </c>
      <c r="L44">
        <v>1</v>
      </c>
      <c r="Q44" t="s">
        <v>20</v>
      </c>
      <c r="R44">
        <v>1</v>
      </c>
    </row>
    <row r="45" spans="1:18" x14ac:dyDescent="0.2">
      <c r="A45">
        <v>44</v>
      </c>
      <c r="B45">
        <v>24</v>
      </c>
      <c r="C45" t="s">
        <v>15</v>
      </c>
      <c r="D45">
        <v>61</v>
      </c>
      <c r="E45">
        <v>99.18</v>
      </c>
      <c r="F45" t="s">
        <v>20</v>
      </c>
      <c r="G45" t="s">
        <v>24</v>
      </c>
      <c r="H45">
        <v>4</v>
      </c>
      <c r="I45">
        <v>74.7</v>
      </c>
      <c r="J45">
        <v>4</v>
      </c>
      <c r="K45">
        <v>6264.3</v>
      </c>
      <c r="L45">
        <v>0</v>
      </c>
      <c r="Q45" t="s">
        <v>20</v>
      </c>
      <c r="R45">
        <v>0</v>
      </c>
    </row>
    <row r="46" spans="1:18" x14ac:dyDescent="0.2">
      <c r="A46">
        <v>45</v>
      </c>
      <c r="B46">
        <v>38</v>
      </c>
      <c r="C46" t="s">
        <v>15</v>
      </c>
      <c r="D46">
        <v>64</v>
      </c>
      <c r="E46">
        <v>79</v>
      </c>
      <c r="F46" t="s">
        <v>20</v>
      </c>
      <c r="G46" t="s">
        <v>24</v>
      </c>
      <c r="H46">
        <v>5</v>
      </c>
      <c r="I46">
        <v>33.4</v>
      </c>
      <c r="J46">
        <v>5</v>
      </c>
      <c r="K46">
        <v>5162.96</v>
      </c>
      <c r="L46">
        <v>1</v>
      </c>
      <c r="Q46" t="s">
        <v>20</v>
      </c>
      <c r="R46">
        <v>1</v>
      </c>
    </row>
    <row r="47" spans="1:18" x14ac:dyDescent="0.2">
      <c r="A47">
        <v>46</v>
      </c>
      <c r="B47">
        <v>26</v>
      </c>
      <c r="C47" t="s">
        <v>16</v>
      </c>
      <c r="D47">
        <v>63</v>
      </c>
      <c r="E47">
        <v>68</v>
      </c>
      <c r="F47" t="s">
        <v>18</v>
      </c>
      <c r="G47" t="s">
        <v>24</v>
      </c>
      <c r="H47">
        <v>4</v>
      </c>
      <c r="I47">
        <v>21.5</v>
      </c>
      <c r="J47">
        <v>8</v>
      </c>
      <c r="K47">
        <v>4167.9799999999996</v>
      </c>
      <c r="L47">
        <v>0</v>
      </c>
      <c r="Q47" t="s">
        <v>18</v>
      </c>
      <c r="R47">
        <v>0</v>
      </c>
    </row>
    <row r="48" spans="1:18" x14ac:dyDescent="0.2">
      <c r="A48">
        <v>47</v>
      </c>
      <c r="B48">
        <v>56</v>
      </c>
      <c r="C48" t="s">
        <v>16</v>
      </c>
      <c r="D48">
        <v>69</v>
      </c>
      <c r="E48">
        <v>62.05</v>
      </c>
      <c r="F48" t="s">
        <v>19</v>
      </c>
      <c r="G48" t="s">
        <v>23</v>
      </c>
      <c r="H48">
        <v>0</v>
      </c>
      <c r="I48">
        <v>65.599999999999994</v>
      </c>
      <c r="J48">
        <v>3</v>
      </c>
      <c r="K48">
        <v>4039.88</v>
      </c>
      <c r="L48">
        <v>0</v>
      </c>
      <c r="Q48" t="s">
        <v>19</v>
      </c>
      <c r="R48">
        <v>0</v>
      </c>
    </row>
    <row r="49" spans="1:18" x14ac:dyDescent="0.2">
      <c r="A49">
        <v>48</v>
      </c>
      <c r="B49">
        <v>35</v>
      </c>
      <c r="C49" t="s">
        <v>15</v>
      </c>
      <c r="D49">
        <v>22</v>
      </c>
      <c r="E49">
        <v>98.47</v>
      </c>
      <c r="F49" t="s">
        <v>20</v>
      </c>
      <c r="G49" t="s">
        <v>23</v>
      </c>
      <c r="H49">
        <v>1</v>
      </c>
      <c r="I49">
        <v>52.1</v>
      </c>
      <c r="J49">
        <v>3</v>
      </c>
      <c r="K49">
        <v>2377.79</v>
      </c>
      <c r="L49">
        <v>1</v>
      </c>
      <c r="Q49" t="s">
        <v>20</v>
      </c>
      <c r="R49">
        <v>1</v>
      </c>
    </row>
    <row r="50" spans="1:18" x14ac:dyDescent="0.2">
      <c r="A50">
        <v>49</v>
      </c>
      <c r="B50">
        <v>21</v>
      </c>
      <c r="C50" t="s">
        <v>15</v>
      </c>
      <c r="D50">
        <v>67</v>
      </c>
      <c r="E50">
        <v>83.94</v>
      </c>
      <c r="F50" t="s">
        <v>20</v>
      </c>
      <c r="G50" t="s">
        <v>22</v>
      </c>
      <c r="H50">
        <v>3</v>
      </c>
      <c r="I50">
        <v>21.9</v>
      </c>
      <c r="J50">
        <v>4</v>
      </c>
      <c r="K50">
        <v>5572.24</v>
      </c>
      <c r="L50">
        <v>0</v>
      </c>
      <c r="Q50" t="s">
        <v>20</v>
      </c>
      <c r="R50">
        <v>0</v>
      </c>
    </row>
    <row r="51" spans="1:18" x14ac:dyDescent="0.2">
      <c r="A51">
        <v>50</v>
      </c>
      <c r="B51">
        <v>42</v>
      </c>
      <c r="C51" t="s">
        <v>15</v>
      </c>
      <c r="D51">
        <v>26</v>
      </c>
      <c r="E51">
        <v>100.5</v>
      </c>
      <c r="F51" t="s">
        <v>20</v>
      </c>
      <c r="G51" t="s">
        <v>23</v>
      </c>
      <c r="H51">
        <v>2</v>
      </c>
      <c r="I51">
        <v>70.2</v>
      </c>
      <c r="J51">
        <v>1</v>
      </c>
      <c r="K51">
        <v>2711.39</v>
      </c>
      <c r="L51">
        <v>1</v>
      </c>
      <c r="Q51" t="s">
        <v>20</v>
      </c>
      <c r="R51">
        <v>1</v>
      </c>
    </row>
    <row r="52" spans="1:18" x14ac:dyDescent="0.2">
      <c r="A52">
        <v>51</v>
      </c>
      <c r="B52">
        <v>31</v>
      </c>
      <c r="C52" t="s">
        <v>15</v>
      </c>
      <c r="D52">
        <v>16</v>
      </c>
      <c r="E52">
        <v>110.32</v>
      </c>
      <c r="F52" t="s">
        <v>20</v>
      </c>
      <c r="G52" t="s">
        <v>23</v>
      </c>
      <c r="H52">
        <v>3</v>
      </c>
      <c r="I52">
        <v>99.2</v>
      </c>
      <c r="J52">
        <v>9</v>
      </c>
      <c r="K52">
        <v>1638.23</v>
      </c>
      <c r="L52">
        <v>0</v>
      </c>
      <c r="Q52" t="s">
        <v>20</v>
      </c>
      <c r="R52">
        <v>0</v>
      </c>
    </row>
    <row r="53" spans="1:18" x14ac:dyDescent="0.2">
      <c r="A53">
        <v>52</v>
      </c>
      <c r="B53">
        <v>67</v>
      </c>
      <c r="C53" t="s">
        <v>16</v>
      </c>
      <c r="D53">
        <v>51</v>
      </c>
      <c r="E53">
        <v>81.73</v>
      </c>
      <c r="F53" t="s">
        <v>18</v>
      </c>
      <c r="G53" t="s">
        <v>22</v>
      </c>
      <c r="H53">
        <v>1</v>
      </c>
      <c r="I53">
        <v>76</v>
      </c>
      <c r="J53">
        <v>8</v>
      </c>
      <c r="K53">
        <v>4156.22</v>
      </c>
      <c r="L53">
        <v>0</v>
      </c>
      <c r="Q53" t="s">
        <v>18</v>
      </c>
      <c r="R53">
        <v>0</v>
      </c>
    </row>
    <row r="54" spans="1:18" x14ac:dyDescent="0.2">
      <c r="A54">
        <v>53</v>
      </c>
      <c r="B54">
        <v>26</v>
      </c>
      <c r="C54" t="s">
        <v>15</v>
      </c>
      <c r="D54">
        <v>57</v>
      </c>
      <c r="E54">
        <v>118.05</v>
      </c>
      <c r="F54" t="s">
        <v>20</v>
      </c>
      <c r="G54" t="s">
        <v>23</v>
      </c>
      <c r="H54">
        <v>2</v>
      </c>
      <c r="I54">
        <v>75.3</v>
      </c>
      <c r="J54">
        <v>8</v>
      </c>
      <c r="K54">
        <v>6093.02</v>
      </c>
      <c r="L54">
        <v>0</v>
      </c>
      <c r="Q54" t="s">
        <v>20</v>
      </c>
      <c r="R54">
        <v>0</v>
      </c>
    </row>
    <row r="55" spans="1:18" x14ac:dyDescent="0.2">
      <c r="A55">
        <v>54</v>
      </c>
      <c r="B55">
        <v>43</v>
      </c>
      <c r="C55" t="s">
        <v>15</v>
      </c>
      <c r="D55">
        <v>29</v>
      </c>
      <c r="E55">
        <v>80.81</v>
      </c>
      <c r="F55" t="s">
        <v>20</v>
      </c>
      <c r="G55" t="s">
        <v>23</v>
      </c>
      <c r="H55">
        <v>1</v>
      </c>
      <c r="I55">
        <v>95.3</v>
      </c>
      <c r="J55">
        <v>10</v>
      </c>
      <c r="K55">
        <v>2346.0500000000002</v>
      </c>
      <c r="L55">
        <v>0</v>
      </c>
      <c r="Q55" t="s">
        <v>20</v>
      </c>
      <c r="R55">
        <v>0</v>
      </c>
    </row>
    <row r="56" spans="1:18" x14ac:dyDescent="0.2">
      <c r="A56">
        <v>55</v>
      </c>
      <c r="B56">
        <v>19</v>
      </c>
      <c r="C56" t="s">
        <v>16</v>
      </c>
      <c r="D56">
        <v>69</v>
      </c>
      <c r="E56">
        <v>83.66</v>
      </c>
      <c r="F56" t="s">
        <v>20</v>
      </c>
      <c r="G56" t="s">
        <v>22</v>
      </c>
      <c r="H56">
        <v>1</v>
      </c>
      <c r="I56">
        <v>24.3</v>
      </c>
      <c r="J56">
        <v>6</v>
      </c>
      <c r="K56">
        <v>6308.25</v>
      </c>
      <c r="L56">
        <v>1</v>
      </c>
      <c r="Q56" t="s">
        <v>20</v>
      </c>
      <c r="R56">
        <v>1</v>
      </c>
    </row>
    <row r="57" spans="1:18" x14ac:dyDescent="0.2">
      <c r="A57">
        <v>56</v>
      </c>
      <c r="B57">
        <v>37</v>
      </c>
      <c r="C57" t="s">
        <v>15</v>
      </c>
      <c r="D57">
        <v>47</v>
      </c>
      <c r="E57">
        <v>75.48</v>
      </c>
      <c r="F57" t="s">
        <v>18</v>
      </c>
      <c r="G57" t="s">
        <v>22</v>
      </c>
      <c r="H57">
        <v>1</v>
      </c>
      <c r="I57">
        <v>58.7</v>
      </c>
      <c r="J57">
        <v>7</v>
      </c>
      <c r="K57">
        <v>3465.4</v>
      </c>
      <c r="L57">
        <v>1</v>
      </c>
      <c r="Q57" t="s">
        <v>18</v>
      </c>
      <c r="R57">
        <v>1</v>
      </c>
    </row>
    <row r="58" spans="1:18" x14ac:dyDescent="0.2">
      <c r="A58">
        <v>57</v>
      </c>
      <c r="B58">
        <v>45</v>
      </c>
      <c r="C58" t="s">
        <v>16</v>
      </c>
      <c r="D58">
        <v>62</v>
      </c>
      <c r="E58">
        <v>29.1</v>
      </c>
      <c r="F58" t="s">
        <v>20</v>
      </c>
      <c r="G58" t="s">
        <v>22</v>
      </c>
      <c r="H58">
        <v>3</v>
      </c>
      <c r="I58">
        <v>98.1</v>
      </c>
      <c r="J58">
        <v>6</v>
      </c>
      <c r="K58">
        <v>1637.85</v>
      </c>
      <c r="L58">
        <v>0</v>
      </c>
      <c r="Q58" t="s">
        <v>20</v>
      </c>
      <c r="R58">
        <v>0</v>
      </c>
    </row>
    <row r="59" spans="1:18" x14ac:dyDescent="0.2">
      <c r="A59">
        <v>58</v>
      </c>
      <c r="B59">
        <v>64</v>
      </c>
      <c r="C59" t="s">
        <v>15</v>
      </c>
      <c r="D59">
        <v>69</v>
      </c>
      <c r="E59">
        <v>92.64</v>
      </c>
      <c r="F59" t="s">
        <v>18</v>
      </c>
      <c r="G59" t="s">
        <v>24</v>
      </c>
      <c r="H59">
        <v>5</v>
      </c>
      <c r="I59">
        <v>20.7</v>
      </c>
      <c r="J59">
        <v>9</v>
      </c>
      <c r="K59">
        <v>5792.52</v>
      </c>
      <c r="L59">
        <v>0</v>
      </c>
      <c r="Q59" t="s">
        <v>18</v>
      </c>
      <c r="R59">
        <v>0</v>
      </c>
    </row>
    <row r="60" spans="1:18" x14ac:dyDescent="0.2">
      <c r="A60">
        <v>59</v>
      </c>
      <c r="B60">
        <v>24</v>
      </c>
      <c r="C60" t="s">
        <v>15</v>
      </c>
      <c r="D60">
        <v>16</v>
      </c>
      <c r="E60">
        <v>74.739999999999995</v>
      </c>
      <c r="F60" t="s">
        <v>20</v>
      </c>
      <c r="G60" t="s">
        <v>24</v>
      </c>
      <c r="H60">
        <v>2</v>
      </c>
      <c r="I60">
        <v>71.5</v>
      </c>
      <c r="J60">
        <v>3</v>
      </c>
      <c r="K60">
        <v>1169.05</v>
      </c>
      <c r="L60">
        <v>1</v>
      </c>
      <c r="Q60" t="s">
        <v>20</v>
      </c>
      <c r="R60">
        <v>1</v>
      </c>
    </row>
    <row r="61" spans="1:18" x14ac:dyDescent="0.2">
      <c r="A61">
        <v>60</v>
      </c>
      <c r="B61">
        <v>61</v>
      </c>
      <c r="C61" t="s">
        <v>15</v>
      </c>
      <c r="D61">
        <v>48</v>
      </c>
      <c r="E61">
        <v>65.09</v>
      </c>
      <c r="F61" t="s">
        <v>18</v>
      </c>
      <c r="G61" t="s">
        <v>22</v>
      </c>
      <c r="H61">
        <v>3</v>
      </c>
      <c r="I61">
        <v>60.7</v>
      </c>
      <c r="J61">
        <v>3</v>
      </c>
      <c r="K61">
        <v>2911.88</v>
      </c>
      <c r="L61">
        <v>0</v>
      </c>
      <c r="Q61" t="s">
        <v>18</v>
      </c>
      <c r="R61">
        <v>0</v>
      </c>
    </row>
    <row r="62" spans="1:18" x14ac:dyDescent="0.2">
      <c r="A62">
        <v>61</v>
      </c>
      <c r="B62">
        <v>25</v>
      </c>
      <c r="C62" t="s">
        <v>16</v>
      </c>
      <c r="D62">
        <v>39</v>
      </c>
      <c r="E62">
        <v>111.05</v>
      </c>
      <c r="F62" t="s">
        <v>18</v>
      </c>
      <c r="G62" t="s">
        <v>22</v>
      </c>
      <c r="H62">
        <v>3</v>
      </c>
      <c r="I62">
        <v>60.7</v>
      </c>
      <c r="J62">
        <v>3</v>
      </c>
      <c r="K62">
        <v>3918.08</v>
      </c>
      <c r="L62">
        <v>1</v>
      </c>
      <c r="Q62" t="s">
        <v>18</v>
      </c>
      <c r="R62">
        <v>1</v>
      </c>
    </row>
    <row r="63" spans="1:18" x14ac:dyDescent="0.2">
      <c r="A63">
        <v>62</v>
      </c>
      <c r="B63">
        <v>64</v>
      </c>
      <c r="C63" t="s">
        <v>16</v>
      </c>
      <c r="D63">
        <v>33</v>
      </c>
      <c r="E63">
        <v>49.8</v>
      </c>
      <c r="F63" t="s">
        <v>20</v>
      </c>
      <c r="G63" t="s">
        <v>22</v>
      </c>
      <c r="H63">
        <v>3</v>
      </c>
      <c r="I63">
        <v>71.3</v>
      </c>
      <c r="J63">
        <v>10</v>
      </c>
      <c r="K63">
        <v>1727.61</v>
      </c>
      <c r="L63">
        <v>0</v>
      </c>
      <c r="Q63" t="s">
        <v>20</v>
      </c>
      <c r="R63">
        <v>0</v>
      </c>
    </row>
    <row r="64" spans="1:18" x14ac:dyDescent="0.2">
      <c r="A64">
        <v>63</v>
      </c>
      <c r="B64">
        <v>52</v>
      </c>
      <c r="C64" t="s">
        <v>15</v>
      </c>
      <c r="D64">
        <v>23</v>
      </c>
      <c r="E64">
        <v>72.36</v>
      </c>
      <c r="F64" t="s">
        <v>20</v>
      </c>
      <c r="G64" t="s">
        <v>24</v>
      </c>
      <c r="H64">
        <v>3</v>
      </c>
      <c r="I64">
        <v>93.3</v>
      </c>
      <c r="J64">
        <v>3</v>
      </c>
      <c r="K64">
        <v>1650.47</v>
      </c>
      <c r="L64">
        <v>1</v>
      </c>
      <c r="Q64" t="s">
        <v>20</v>
      </c>
      <c r="R64">
        <v>1</v>
      </c>
    </row>
    <row r="65" spans="1:18" x14ac:dyDescent="0.2">
      <c r="A65">
        <v>64</v>
      </c>
      <c r="B65">
        <v>31</v>
      </c>
      <c r="C65" t="s">
        <v>16</v>
      </c>
      <c r="D65">
        <v>10</v>
      </c>
      <c r="E65">
        <v>89.76</v>
      </c>
      <c r="F65" t="s">
        <v>19</v>
      </c>
      <c r="G65" t="s">
        <v>24</v>
      </c>
      <c r="H65">
        <v>2</v>
      </c>
      <c r="I65">
        <v>79.3</v>
      </c>
      <c r="J65">
        <v>9</v>
      </c>
      <c r="K65">
        <v>859.77</v>
      </c>
      <c r="L65">
        <v>0</v>
      </c>
      <c r="Q65" t="s">
        <v>19</v>
      </c>
      <c r="R65">
        <v>0</v>
      </c>
    </row>
    <row r="66" spans="1:18" x14ac:dyDescent="0.2">
      <c r="A66">
        <v>65</v>
      </c>
      <c r="B66">
        <v>34</v>
      </c>
      <c r="C66" t="s">
        <v>16</v>
      </c>
      <c r="D66">
        <v>69</v>
      </c>
      <c r="E66">
        <v>99.65</v>
      </c>
      <c r="F66" t="s">
        <v>19</v>
      </c>
      <c r="G66" t="s">
        <v>23</v>
      </c>
      <c r="H66">
        <v>0</v>
      </c>
      <c r="I66">
        <v>10.3</v>
      </c>
      <c r="J66">
        <v>4</v>
      </c>
      <c r="K66">
        <v>7426.03</v>
      </c>
      <c r="L66">
        <v>1</v>
      </c>
      <c r="Q66" t="s">
        <v>19</v>
      </c>
      <c r="R66">
        <v>1</v>
      </c>
    </row>
    <row r="67" spans="1:18" x14ac:dyDescent="0.2">
      <c r="A67">
        <v>66</v>
      </c>
      <c r="B67">
        <v>53</v>
      </c>
      <c r="C67" t="s">
        <v>16</v>
      </c>
      <c r="D67">
        <v>34</v>
      </c>
      <c r="E67">
        <v>65.930000000000007</v>
      </c>
      <c r="F67" t="s">
        <v>20</v>
      </c>
      <c r="G67" t="s">
        <v>23</v>
      </c>
      <c r="H67">
        <v>1</v>
      </c>
      <c r="I67">
        <v>86</v>
      </c>
      <c r="J67">
        <v>7</v>
      </c>
      <c r="K67">
        <v>2069.5300000000002</v>
      </c>
      <c r="L67">
        <v>1</v>
      </c>
      <c r="Q67" t="s">
        <v>20</v>
      </c>
      <c r="R67">
        <v>1</v>
      </c>
    </row>
    <row r="68" spans="1:18" x14ac:dyDescent="0.2">
      <c r="A68">
        <v>67</v>
      </c>
      <c r="B68">
        <v>67</v>
      </c>
      <c r="C68" t="s">
        <v>16</v>
      </c>
      <c r="D68">
        <v>52</v>
      </c>
      <c r="E68">
        <v>104.21</v>
      </c>
      <c r="F68" t="s">
        <v>20</v>
      </c>
      <c r="G68" t="s">
        <v>22</v>
      </c>
      <c r="H68">
        <v>3</v>
      </c>
      <c r="I68">
        <v>26.4</v>
      </c>
      <c r="J68">
        <v>9</v>
      </c>
      <c r="K68">
        <v>5913.04</v>
      </c>
      <c r="L68">
        <v>1</v>
      </c>
      <c r="Q68" t="s">
        <v>20</v>
      </c>
      <c r="R68">
        <v>1</v>
      </c>
    </row>
    <row r="69" spans="1:18" x14ac:dyDescent="0.2">
      <c r="A69">
        <v>68</v>
      </c>
      <c r="B69">
        <v>57</v>
      </c>
      <c r="C69" t="s">
        <v>16</v>
      </c>
      <c r="D69">
        <v>10</v>
      </c>
      <c r="E69">
        <v>96.89</v>
      </c>
      <c r="F69" t="s">
        <v>19</v>
      </c>
      <c r="G69" t="s">
        <v>24</v>
      </c>
      <c r="H69">
        <v>0</v>
      </c>
      <c r="I69">
        <v>40.799999999999997</v>
      </c>
      <c r="J69">
        <v>7</v>
      </c>
      <c r="K69">
        <v>932.85</v>
      </c>
      <c r="L69">
        <v>1</v>
      </c>
      <c r="Q69" t="s">
        <v>19</v>
      </c>
      <c r="R69">
        <v>1</v>
      </c>
    </row>
    <row r="70" spans="1:18" x14ac:dyDescent="0.2">
      <c r="A70">
        <v>69</v>
      </c>
      <c r="B70">
        <v>21</v>
      </c>
      <c r="C70" t="s">
        <v>16</v>
      </c>
      <c r="D70">
        <v>19</v>
      </c>
      <c r="E70">
        <v>26.62</v>
      </c>
      <c r="F70" t="s">
        <v>20</v>
      </c>
      <c r="G70" t="s">
        <v>24</v>
      </c>
      <c r="H70">
        <v>2</v>
      </c>
      <c r="I70">
        <v>48.9</v>
      </c>
      <c r="J70">
        <v>9</v>
      </c>
      <c r="K70">
        <v>545.07000000000005</v>
      </c>
      <c r="L70">
        <v>0</v>
      </c>
      <c r="Q70" t="s">
        <v>20</v>
      </c>
      <c r="R70">
        <v>0</v>
      </c>
    </row>
    <row r="71" spans="1:18" x14ac:dyDescent="0.2">
      <c r="A71">
        <v>70</v>
      </c>
      <c r="B71">
        <v>19</v>
      </c>
      <c r="C71" t="s">
        <v>15</v>
      </c>
      <c r="D71">
        <v>58</v>
      </c>
      <c r="E71">
        <v>24.59</v>
      </c>
      <c r="F71" t="s">
        <v>20</v>
      </c>
      <c r="G71" t="s">
        <v>24</v>
      </c>
      <c r="H71">
        <v>1</v>
      </c>
      <c r="I71">
        <v>50.7</v>
      </c>
      <c r="J71">
        <v>3</v>
      </c>
      <c r="K71">
        <v>1455.58</v>
      </c>
      <c r="L71">
        <v>1</v>
      </c>
      <c r="Q71" t="s">
        <v>20</v>
      </c>
      <c r="R71">
        <v>1</v>
      </c>
    </row>
    <row r="72" spans="1:18" x14ac:dyDescent="0.2">
      <c r="A72">
        <v>71</v>
      </c>
      <c r="B72">
        <v>23</v>
      </c>
      <c r="C72" t="s">
        <v>15</v>
      </c>
      <c r="D72">
        <v>1</v>
      </c>
      <c r="E72">
        <v>82.08</v>
      </c>
      <c r="F72" t="s">
        <v>19</v>
      </c>
      <c r="G72" t="s">
        <v>22</v>
      </c>
      <c r="H72">
        <v>3</v>
      </c>
      <c r="I72">
        <v>46.3</v>
      </c>
      <c r="J72">
        <v>4</v>
      </c>
      <c r="K72">
        <v>87.44</v>
      </c>
      <c r="L72">
        <v>0</v>
      </c>
      <c r="Q72" t="s">
        <v>19</v>
      </c>
      <c r="R72">
        <v>0</v>
      </c>
    </row>
    <row r="73" spans="1:18" x14ac:dyDescent="0.2">
      <c r="A73">
        <v>72</v>
      </c>
      <c r="B73">
        <v>59</v>
      </c>
      <c r="C73" t="s">
        <v>16</v>
      </c>
      <c r="D73">
        <v>69</v>
      </c>
      <c r="E73">
        <v>54.74</v>
      </c>
      <c r="F73" t="s">
        <v>20</v>
      </c>
      <c r="G73" t="s">
        <v>23</v>
      </c>
      <c r="H73">
        <v>2</v>
      </c>
      <c r="I73">
        <v>94</v>
      </c>
      <c r="J73">
        <v>8</v>
      </c>
      <c r="K73">
        <v>4142.6899999999996</v>
      </c>
      <c r="L73">
        <v>1</v>
      </c>
      <c r="Q73" t="s">
        <v>20</v>
      </c>
      <c r="R73">
        <v>1</v>
      </c>
    </row>
    <row r="74" spans="1:18" x14ac:dyDescent="0.2">
      <c r="A74">
        <v>73</v>
      </c>
      <c r="B74">
        <v>21</v>
      </c>
      <c r="C74" t="s">
        <v>15</v>
      </c>
      <c r="D74">
        <v>4</v>
      </c>
      <c r="E74">
        <v>40.909999999999997</v>
      </c>
      <c r="F74" t="s">
        <v>20</v>
      </c>
      <c r="G74" t="s">
        <v>22</v>
      </c>
      <c r="H74">
        <v>2</v>
      </c>
      <c r="I74">
        <v>72.099999999999994</v>
      </c>
      <c r="J74">
        <v>6</v>
      </c>
      <c r="K74">
        <v>156.71</v>
      </c>
      <c r="L74">
        <v>1</v>
      </c>
      <c r="Q74" t="s">
        <v>20</v>
      </c>
      <c r="R74">
        <v>1</v>
      </c>
    </row>
    <row r="75" spans="1:18" x14ac:dyDescent="0.2">
      <c r="A75">
        <v>74</v>
      </c>
      <c r="B75">
        <v>46</v>
      </c>
      <c r="C75" t="s">
        <v>15</v>
      </c>
      <c r="D75">
        <v>16</v>
      </c>
      <c r="E75">
        <v>77.959999999999994</v>
      </c>
      <c r="F75" t="s">
        <v>20</v>
      </c>
      <c r="G75" t="s">
        <v>23</v>
      </c>
      <c r="H75">
        <v>1</v>
      </c>
      <c r="I75">
        <v>65</v>
      </c>
      <c r="J75">
        <v>5</v>
      </c>
      <c r="K75">
        <v>1362.4</v>
      </c>
      <c r="L75">
        <v>1</v>
      </c>
      <c r="Q75" t="s">
        <v>20</v>
      </c>
      <c r="R75">
        <v>1</v>
      </c>
    </row>
    <row r="76" spans="1:18" x14ac:dyDescent="0.2">
      <c r="A76">
        <v>75</v>
      </c>
      <c r="B76">
        <v>35</v>
      </c>
      <c r="C76" t="s">
        <v>15</v>
      </c>
      <c r="D76">
        <v>24</v>
      </c>
      <c r="E76">
        <v>54.16</v>
      </c>
      <c r="F76" t="s">
        <v>20</v>
      </c>
      <c r="G76" t="s">
        <v>23</v>
      </c>
      <c r="H76">
        <v>3</v>
      </c>
      <c r="I76">
        <v>9.6999999999999993</v>
      </c>
      <c r="J76">
        <v>4</v>
      </c>
      <c r="K76">
        <v>1271.1099999999999</v>
      </c>
      <c r="L76">
        <v>1</v>
      </c>
      <c r="Q76" t="s">
        <v>20</v>
      </c>
      <c r="R76">
        <v>1</v>
      </c>
    </row>
    <row r="77" spans="1:18" x14ac:dyDescent="0.2">
      <c r="A77">
        <v>76</v>
      </c>
      <c r="B77">
        <v>43</v>
      </c>
      <c r="C77" t="s">
        <v>15</v>
      </c>
      <c r="D77">
        <v>2</v>
      </c>
      <c r="E77">
        <v>73.73</v>
      </c>
      <c r="F77" t="s">
        <v>20</v>
      </c>
      <c r="G77" t="s">
        <v>22</v>
      </c>
      <c r="H77">
        <v>2</v>
      </c>
      <c r="I77">
        <v>90.9</v>
      </c>
      <c r="J77">
        <v>8</v>
      </c>
      <c r="K77">
        <v>144.08000000000001</v>
      </c>
      <c r="L77">
        <v>1</v>
      </c>
      <c r="Q77" t="s">
        <v>20</v>
      </c>
      <c r="R77">
        <v>1</v>
      </c>
    </row>
    <row r="78" spans="1:18" x14ac:dyDescent="0.2">
      <c r="A78">
        <v>77</v>
      </c>
      <c r="B78">
        <v>61</v>
      </c>
      <c r="C78" t="s">
        <v>16</v>
      </c>
      <c r="D78">
        <v>32</v>
      </c>
      <c r="E78">
        <v>66.010000000000005</v>
      </c>
      <c r="F78" t="s">
        <v>18</v>
      </c>
      <c r="G78" t="s">
        <v>23</v>
      </c>
      <c r="H78">
        <v>3</v>
      </c>
      <c r="I78">
        <v>91.4</v>
      </c>
      <c r="J78">
        <v>1</v>
      </c>
      <c r="K78">
        <v>2044.89</v>
      </c>
      <c r="L78">
        <v>0</v>
      </c>
      <c r="Q78" t="s">
        <v>18</v>
      </c>
      <c r="R78">
        <v>0</v>
      </c>
    </row>
    <row r="79" spans="1:18" x14ac:dyDescent="0.2">
      <c r="A79">
        <v>78</v>
      </c>
      <c r="B79">
        <v>51</v>
      </c>
      <c r="C79" t="s">
        <v>15</v>
      </c>
      <c r="D79">
        <v>24</v>
      </c>
      <c r="E79">
        <v>78.48</v>
      </c>
      <c r="F79" t="s">
        <v>20</v>
      </c>
      <c r="G79" t="s">
        <v>23</v>
      </c>
      <c r="H79">
        <v>3</v>
      </c>
      <c r="I79">
        <v>79.099999999999994</v>
      </c>
      <c r="J79">
        <v>9</v>
      </c>
      <c r="K79">
        <v>1899.12</v>
      </c>
      <c r="L79">
        <v>0</v>
      </c>
      <c r="Q79" t="s">
        <v>20</v>
      </c>
      <c r="R79">
        <v>0</v>
      </c>
    </row>
    <row r="80" spans="1:18" x14ac:dyDescent="0.2">
      <c r="A80">
        <v>79</v>
      </c>
      <c r="B80">
        <v>27</v>
      </c>
      <c r="C80" t="s">
        <v>15</v>
      </c>
      <c r="D80">
        <v>12</v>
      </c>
      <c r="E80">
        <v>60.03</v>
      </c>
      <c r="F80" t="s">
        <v>20</v>
      </c>
      <c r="G80" t="s">
        <v>24</v>
      </c>
      <c r="H80">
        <v>1</v>
      </c>
      <c r="I80">
        <v>5.7</v>
      </c>
      <c r="J80">
        <v>1</v>
      </c>
      <c r="K80">
        <v>670.53</v>
      </c>
      <c r="L80">
        <v>1</v>
      </c>
      <c r="Q80" t="s">
        <v>20</v>
      </c>
      <c r="R80">
        <v>1</v>
      </c>
    </row>
    <row r="81" spans="1:18" x14ac:dyDescent="0.2">
      <c r="A81">
        <v>80</v>
      </c>
      <c r="B81">
        <v>53</v>
      </c>
      <c r="C81" t="s">
        <v>16</v>
      </c>
      <c r="D81">
        <v>50</v>
      </c>
      <c r="E81">
        <v>89.77</v>
      </c>
      <c r="F81" t="s">
        <v>20</v>
      </c>
      <c r="G81" t="s">
        <v>23</v>
      </c>
      <c r="H81">
        <v>1</v>
      </c>
      <c r="I81">
        <v>10.4</v>
      </c>
      <c r="J81">
        <v>8</v>
      </c>
      <c r="K81">
        <v>4536.72</v>
      </c>
      <c r="L81">
        <v>0</v>
      </c>
      <c r="Q81" t="s">
        <v>20</v>
      </c>
      <c r="R81">
        <v>0</v>
      </c>
    </row>
    <row r="82" spans="1:18" x14ac:dyDescent="0.2">
      <c r="A82">
        <v>81</v>
      </c>
      <c r="B82">
        <v>31</v>
      </c>
      <c r="C82" t="s">
        <v>16</v>
      </c>
      <c r="D82">
        <v>35</v>
      </c>
      <c r="E82">
        <v>38.01</v>
      </c>
      <c r="F82" t="s">
        <v>20</v>
      </c>
      <c r="G82" t="s">
        <v>22</v>
      </c>
      <c r="H82">
        <v>2</v>
      </c>
      <c r="I82">
        <v>26.4</v>
      </c>
      <c r="J82">
        <v>4</v>
      </c>
      <c r="K82">
        <v>1341.45</v>
      </c>
      <c r="L82">
        <v>1</v>
      </c>
      <c r="Q82" t="s">
        <v>20</v>
      </c>
      <c r="R82">
        <v>1</v>
      </c>
    </row>
    <row r="83" spans="1:18" x14ac:dyDescent="0.2">
      <c r="A83">
        <v>82</v>
      </c>
      <c r="B83">
        <v>48</v>
      </c>
      <c r="C83" t="s">
        <v>15</v>
      </c>
      <c r="D83">
        <v>33</v>
      </c>
      <c r="E83">
        <v>89.65</v>
      </c>
      <c r="F83" t="s">
        <v>19</v>
      </c>
      <c r="G83" t="s">
        <v>22</v>
      </c>
      <c r="H83">
        <v>0</v>
      </c>
      <c r="I83">
        <v>17.5</v>
      </c>
      <c r="J83">
        <v>9</v>
      </c>
      <c r="K83">
        <v>3113.41</v>
      </c>
      <c r="L83">
        <v>1</v>
      </c>
      <c r="Q83" t="s">
        <v>19</v>
      </c>
      <c r="R83">
        <v>1</v>
      </c>
    </row>
    <row r="84" spans="1:18" x14ac:dyDescent="0.2">
      <c r="A84">
        <v>83</v>
      </c>
      <c r="B84">
        <v>65</v>
      </c>
      <c r="C84" t="s">
        <v>15</v>
      </c>
      <c r="D84">
        <v>33</v>
      </c>
      <c r="E84">
        <v>61.17</v>
      </c>
      <c r="F84" t="s">
        <v>20</v>
      </c>
      <c r="G84" t="s">
        <v>23</v>
      </c>
      <c r="H84">
        <v>0</v>
      </c>
      <c r="I84">
        <v>42.9</v>
      </c>
      <c r="J84">
        <v>5</v>
      </c>
      <c r="K84">
        <v>2153.31</v>
      </c>
      <c r="L84">
        <v>0</v>
      </c>
      <c r="Q84" t="s">
        <v>20</v>
      </c>
      <c r="R84">
        <v>0</v>
      </c>
    </row>
    <row r="85" spans="1:18" x14ac:dyDescent="0.2">
      <c r="A85">
        <v>84</v>
      </c>
      <c r="B85">
        <v>32</v>
      </c>
      <c r="C85" t="s">
        <v>15</v>
      </c>
      <c r="D85">
        <v>61</v>
      </c>
      <c r="E85">
        <v>107.43</v>
      </c>
      <c r="F85" t="s">
        <v>20</v>
      </c>
      <c r="G85" t="s">
        <v>24</v>
      </c>
      <c r="H85">
        <v>3</v>
      </c>
      <c r="I85">
        <v>92.6</v>
      </c>
      <c r="J85">
        <v>3</v>
      </c>
      <c r="K85">
        <v>6475.17</v>
      </c>
      <c r="L85">
        <v>0</v>
      </c>
      <c r="Q85" t="s">
        <v>20</v>
      </c>
      <c r="R85">
        <v>0</v>
      </c>
    </row>
    <row r="86" spans="1:18" x14ac:dyDescent="0.2">
      <c r="A86">
        <v>85</v>
      </c>
      <c r="B86">
        <v>25</v>
      </c>
      <c r="C86" t="s">
        <v>15</v>
      </c>
      <c r="D86">
        <v>51</v>
      </c>
      <c r="E86">
        <v>71.52</v>
      </c>
      <c r="F86" t="s">
        <v>19</v>
      </c>
      <c r="G86" t="s">
        <v>24</v>
      </c>
      <c r="H86">
        <v>1</v>
      </c>
      <c r="I86">
        <v>49.8</v>
      </c>
      <c r="J86">
        <v>9</v>
      </c>
      <c r="K86">
        <v>3503.32</v>
      </c>
      <c r="L86">
        <v>0</v>
      </c>
      <c r="Q86" t="s">
        <v>19</v>
      </c>
      <c r="R86">
        <v>0</v>
      </c>
    </row>
    <row r="87" spans="1:18" x14ac:dyDescent="0.2">
      <c r="A87">
        <v>86</v>
      </c>
      <c r="B87">
        <v>31</v>
      </c>
      <c r="C87" t="s">
        <v>15</v>
      </c>
      <c r="D87">
        <v>43</v>
      </c>
      <c r="E87">
        <v>117.31</v>
      </c>
      <c r="F87" t="s">
        <v>20</v>
      </c>
      <c r="G87" t="s">
        <v>23</v>
      </c>
      <c r="H87">
        <v>3</v>
      </c>
      <c r="I87">
        <v>6.3</v>
      </c>
      <c r="J87">
        <v>9</v>
      </c>
      <c r="K87">
        <v>4801.53</v>
      </c>
      <c r="L87">
        <v>0</v>
      </c>
      <c r="Q87" t="s">
        <v>20</v>
      </c>
      <c r="R87">
        <v>0</v>
      </c>
    </row>
    <row r="88" spans="1:18" x14ac:dyDescent="0.2">
      <c r="A88">
        <v>87</v>
      </c>
      <c r="B88">
        <v>40</v>
      </c>
      <c r="C88" t="s">
        <v>15</v>
      </c>
      <c r="D88">
        <v>12</v>
      </c>
      <c r="E88">
        <v>80.19</v>
      </c>
      <c r="F88" t="s">
        <v>20</v>
      </c>
      <c r="G88" t="s">
        <v>23</v>
      </c>
      <c r="H88">
        <v>2</v>
      </c>
      <c r="I88">
        <v>31.9</v>
      </c>
      <c r="J88">
        <v>4</v>
      </c>
      <c r="K88">
        <v>903.51</v>
      </c>
      <c r="L88">
        <v>1</v>
      </c>
      <c r="Q88" t="s">
        <v>20</v>
      </c>
      <c r="R88">
        <v>1</v>
      </c>
    </row>
    <row r="89" spans="1:18" x14ac:dyDescent="0.2">
      <c r="A89">
        <v>88</v>
      </c>
      <c r="B89">
        <v>57</v>
      </c>
      <c r="C89" t="s">
        <v>16</v>
      </c>
      <c r="D89">
        <v>67</v>
      </c>
      <c r="E89">
        <v>42.38</v>
      </c>
      <c r="F89" t="s">
        <v>20</v>
      </c>
      <c r="G89" t="s">
        <v>22</v>
      </c>
      <c r="H89">
        <v>0</v>
      </c>
      <c r="I89">
        <v>9.1999999999999993</v>
      </c>
      <c r="J89">
        <v>4</v>
      </c>
      <c r="K89">
        <v>2588.25</v>
      </c>
      <c r="L89">
        <v>0</v>
      </c>
      <c r="Q89" t="s">
        <v>20</v>
      </c>
      <c r="R89">
        <v>0</v>
      </c>
    </row>
    <row r="90" spans="1:18" x14ac:dyDescent="0.2">
      <c r="A90">
        <v>89</v>
      </c>
      <c r="B90">
        <v>38</v>
      </c>
      <c r="C90" t="s">
        <v>15</v>
      </c>
      <c r="D90">
        <v>65</v>
      </c>
      <c r="E90">
        <v>102.18</v>
      </c>
      <c r="F90" t="s">
        <v>20</v>
      </c>
      <c r="G90" t="s">
        <v>23</v>
      </c>
      <c r="H90">
        <v>0</v>
      </c>
      <c r="I90">
        <v>8.4</v>
      </c>
      <c r="J90">
        <v>8</v>
      </c>
      <c r="K90">
        <v>6432.42</v>
      </c>
      <c r="L90">
        <v>0</v>
      </c>
      <c r="Q90" t="s">
        <v>20</v>
      </c>
      <c r="R90">
        <v>0</v>
      </c>
    </row>
    <row r="91" spans="1:18" x14ac:dyDescent="0.2">
      <c r="A91">
        <v>90</v>
      </c>
      <c r="B91">
        <v>33</v>
      </c>
      <c r="C91" t="s">
        <v>15</v>
      </c>
      <c r="D91">
        <v>33</v>
      </c>
      <c r="E91">
        <v>54.51</v>
      </c>
      <c r="F91" t="s">
        <v>20</v>
      </c>
      <c r="G91" t="s">
        <v>24</v>
      </c>
      <c r="H91">
        <v>1</v>
      </c>
      <c r="I91">
        <v>31.2</v>
      </c>
      <c r="J91">
        <v>2</v>
      </c>
      <c r="K91">
        <v>1716.17</v>
      </c>
      <c r="L91">
        <v>1</v>
      </c>
      <c r="Q91" t="s">
        <v>20</v>
      </c>
      <c r="R91">
        <v>1</v>
      </c>
    </row>
    <row r="92" spans="1:18" x14ac:dyDescent="0.2">
      <c r="A92">
        <v>91</v>
      </c>
      <c r="B92">
        <v>62</v>
      </c>
      <c r="C92" t="s">
        <v>16</v>
      </c>
      <c r="D92">
        <v>40</v>
      </c>
      <c r="E92">
        <v>54.76</v>
      </c>
      <c r="F92" t="s">
        <v>20</v>
      </c>
      <c r="G92" t="s">
        <v>23</v>
      </c>
      <c r="H92">
        <v>1</v>
      </c>
      <c r="I92">
        <v>31.2</v>
      </c>
      <c r="J92">
        <v>9</v>
      </c>
      <c r="K92">
        <v>2394.73</v>
      </c>
      <c r="L92">
        <v>0</v>
      </c>
      <c r="Q92" t="s">
        <v>20</v>
      </c>
      <c r="R92">
        <v>0</v>
      </c>
    </row>
    <row r="93" spans="1:18" x14ac:dyDescent="0.2">
      <c r="A93">
        <v>92</v>
      </c>
      <c r="B93">
        <v>35</v>
      </c>
      <c r="C93" t="s">
        <v>16</v>
      </c>
      <c r="D93">
        <v>43</v>
      </c>
      <c r="E93">
        <v>23.18</v>
      </c>
      <c r="F93" t="s">
        <v>18</v>
      </c>
      <c r="G93" t="s">
        <v>22</v>
      </c>
      <c r="H93">
        <v>2</v>
      </c>
      <c r="I93">
        <v>79.8</v>
      </c>
      <c r="J93">
        <v>6</v>
      </c>
      <c r="K93">
        <v>1008.24</v>
      </c>
      <c r="L93">
        <v>1</v>
      </c>
      <c r="Q93" t="s">
        <v>18</v>
      </c>
      <c r="R93">
        <v>1</v>
      </c>
    </row>
    <row r="94" spans="1:18" x14ac:dyDescent="0.2">
      <c r="A94">
        <v>93</v>
      </c>
      <c r="B94">
        <v>64</v>
      </c>
      <c r="C94" t="s">
        <v>16</v>
      </c>
      <c r="D94">
        <v>44</v>
      </c>
      <c r="E94">
        <v>74.87</v>
      </c>
      <c r="F94" t="s">
        <v>20</v>
      </c>
      <c r="G94" t="s">
        <v>22</v>
      </c>
      <c r="H94">
        <v>2</v>
      </c>
      <c r="I94">
        <v>97.6</v>
      </c>
      <c r="J94">
        <v>9</v>
      </c>
      <c r="K94">
        <v>3193.66</v>
      </c>
      <c r="L94">
        <v>1</v>
      </c>
      <c r="Q94" t="s">
        <v>20</v>
      </c>
      <c r="R94">
        <v>1</v>
      </c>
    </row>
    <row r="95" spans="1:18" x14ac:dyDescent="0.2">
      <c r="A95">
        <v>94</v>
      </c>
      <c r="B95">
        <v>41</v>
      </c>
      <c r="C95" t="s">
        <v>16</v>
      </c>
      <c r="D95">
        <v>29</v>
      </c>
      <c r="E95">
        <v>73.44</v>
      </c>
      <c r="F95" t="s">
        <v>20</v>
      </c>
      <c r="G95" t="s">
        <v>22</v>
      </c>
      <c r="H95">
        <v>3</v>
      </c>
      <c r="I95">
        <v>40.299999999999997</v>
      </c>
      <c r="J95">
        <v>8</v>
      </c>
      <c r="K95">
        <v>2164.04</v>
      </c>
      <c r="L95">
        <v>0</v>
      </c>
      <c r="Q95" t="s">
        <v>20</v>
      </c>
      <c r="R95">
        <v>0</v>
      </c>
    </row>
    <row r="96" spans="1:18" x14ac:dyDescent="0.2">
      <c r="A96">
        <v>95</v>
      </c>
      <c r="B96">
        <v>43</v>
      </c>
      <c r="C96" t="s">
        <v>15</v>
      </c>
      <c r="D96">
        <v>13</v>
      </c>
      <c r="E96">
        <v>55.6</v>
      </c>
      <c r="F96" t="s">
        <v>18</v>
      </c>
      <c r="G96" t="s">
        <v>22</v>
      </c>
      <c r="H96">
        <v>3</v>
      </c>
      <c r="I96">
        <v>45.7</v>
      </c>
      <c r="J96">
        <v>7</v>
      </c>
      <c r="K96">
        <v>670.64</v>
      </c>
      <c r="L96">
        <v>0</v>
      </c>
      <c r="Q96" t="s">
        <v>18</v>
      </c>
      <c r="R96">
        <v>0</v>
      </c>
    </row>
    <row r="97" spans="1:18" x14ac:dyDescent="0.2">
      <c r="A97">
        <v>96</v>
      </c>
      <c r="B97">
        <v>42</v>
      </c>
      <c r="C97" t="s">
        <v>15</v>
      </c>
      <c r="D97">
        <v>12</v>
      </c>
      <c r="E97">
        <v>109.42</v>
      </c>
      <c r="F97" t="s">
        <v>20</v>
      </c>
      <c r="G97" t="s">
        <v>22</v>
      </c>
      <c r="H97">
        <v>0</v>
      </c>
      <c r="I97">
        <v>85.3</v>
      </c>
      <c r="J97">
        <v>1</v>
      </c>
      <c r="K97">
        <v>1298.3499999999999</v>
      </c>
      <c r="L97">
        <v>1</v>
      </c>
      <c r="Q97" t="s">
        <v>20</v>
      </c>
      <c r="R97">
        <v>1</v>
      </c>
    </row>
    <row r="98" spans="1:18" x14ac:dyDescent="0.2">
      <c r="A98">
        <v>97</v>
      </c>
      <c r="B98">
        <v>62</v>
      </c>
      <c r="C98" t="s">
        <v>15</v>
      </c>
      <c r="D98">
        <v>46</v>
      </c>
      <c r="E98">
        <v>32.869999999999997</v>
      </c>
      <c r="F98" t="s">
        <v>18</v>
      </c>
      <c r="G98" t="s">
        <v>23</v>
      </c>
      <c r="H98">
        <v>6</v>
      </c>
      <c r="I98">
        <v>30.5</v>
      </c>
      <c r="J98">
        <v>3</v>
      </c>
      <c r="K98">
        <v>1550.19</v>
      </c>
      <c r="L98">
        <v>1</v>
      </c>
      <c r="Q98" t="s">
        <v>18</v>
      </c>
      <c r="R98">
        <v>1</v>
      </c>
    </row>
    <row r="99" spans="1:18" x14ac:dyDescent="0.2">
      <c r="A99">
        <v>98</v>
      </c>
      <c r="B99">
        <v>58</v>
      </c>
      <c r="C99" t="s">
        <v>15</v>
      </c>
      <c r="D99">
        <v>2</v>
      </c>
      <c r="E99">
        <v>53.01</v>
      </c>
      <c r="F99" t="s">
        <v>20</v>
      </c>
      <c r="G99" t="s">
        <v>23</v>
      </c>
      <c r="H99">
        <v>1</v>
      </c>
      <c r="I99">
        <v>19.899999999999999</v>
      </c>
      <c r="J99">
        <v>2</v>
      </c>
      <c r="K99">
        <v>105.78</v>
      </c>
      <c r="L99">
        <v>1</v>
      </c>
      <c r="Q99" t="s">
        <v>20</v>
      </c>
      <c r="R99">
        <v>1</v>
      </c>
    </row>
    <row r="100" spans="1:18" x14ac:dyDescent="0.2">
      <c r="A100">
        <v>99</v>
      </c>
      <c r="B100">
        <v>46</v>
      </c>
      <c r="C100" t="s">
        <v>15</v>
      </c>
      <c r="D100">
        <v>35</v>
      </c>
      <c r="E100">
        <v>52.16</v>
      </c>
      <c r="F100" t="s">
        <v>20</v>
      </c>
      <c r="G100" t="s">
        <v>23</v>
      </c>
      <c r="H100">
        <v>4</v>
      </c>
      <c r="I100">
        <v>86</v>
      </c>
      <c r="J100">
        <v>5</v>
      </c>
      <c r="K100">
        <v>1789.74</v>
      </c>
      <c r="L100">
        <v>1</v>
      </c>
      <c r="Q100" t="s">
        <v>20</v>
      </c>
      <c r="R100">
        <v>1</v>
      </c>
    </row>
    <row r="101" spans="1:18" x14ac:dyDescent="0.2">
      <c r="A101">
        <v>100</v>
      </c>
      <c r="B101">
        <v>32</v>
      </c>
      <c r="C101" t="s">
        <v>15</v>
      </c>
      <c r="D101">
        <v>8</v>
      </c>
      <c r="E101">
        <v>29.23</v>
      </c>
      <c r="F101" t="s">
        <v>18</v>
      </c>
      <c r="G101" t="s">
        <v>23</v>
      </c>
      <c r="H101">
        <v>0</v>
      </c>
      <c r="I101">
        <v>9.4</v>
      </c>
      <c r="J101">
        <v>5</v>
      </c>
      <c r="K101">
        <v>256.94</v>
      </c>
      <c r="L101">
        <v>0</v>
      </c>
      <c r="Q101" t="s">
        <v>18</v>
      </c>
      <c r="R101">
        <v>0</v>
      </c>
    </row>
    <row r="102" spans="1:18" x14ac:dyDescent="0.2">
      <c r="A102">
        <v>101</v>
      </c>
      <c r="B102">
        <v>62</v>
      </c>
      <c r="C102" t="s">
        <v>16</v>
      </c>
      <c r="D102">
        <v>26</v>
      </c>
      <c r="E102">
        <v>68.11</v>
      </c>
      <c r="F102" t="s">
        <v>20</v>
      </c>
      <c r="G102" t="s">
        <v>22</v>
      </c>
      <c r="H102">
        <v>1</v>
      </c>
      <c r="I102">
        <v>63.9</v>
      </c>
      <c r="J102">
        <v>5</v>
      </c>
      <c r="K102">
        <v>1905.56</v>
      </c>
      <c r="L102">
        <v>0</v>
      </c>
      <c r="Q102" t="s">
        <v>20</v>
      </c>
      <c r="R102">
        <v>0</v>
      </c>
    </row>
    <row r="103" spans="1:18" x14ac:dyDescent="0.2">
      <c r="A103">
        <v>102</v>
      </c>
      <c r="B103">
        <v>18</v>
      </c>
      <c r="C103" t="s">
        <v>15</v>
      </c>
      <c r="D103">
        <v>34</v>
      </c>
      <c r="E103">
        <v>88.78</v>
      </c>
      <c r="F103" t="s">
        <v>20</v>
      </c>
      <c r="G103" t="s">
        <v>24</v>
      </c>
      <c r="H103">
        <v>6</v>
      </c>
      <c r="I103">
        <v>58.4</v>
      </c>
      <c r="J103">
        <v>4</v>
      </c>
      <c r="K103">
        <v>3093.02</v>
      </c>
      <c r="L103">
        <v>1</v>
      </c>
      <c r="Q103" t="s">
        <v>20</v>
      </c>
      <c r="R103">
        <v>1</v>
      </c>
    </row>
    <row r="104" spans="1:18" x14ac:dyDescent="0.2">
      <c r="A104">
        <v>103</v>
      </c>
      <c r="B104">
        <v>42</v>
      </c>
      <c r="C104" t="s">
        <v>16</v>
      </c>
      <c r="D104">
        <v>7</v>
      </c>
      <c r="E104">
        <v>71.17</v>
      </c>
      <c r="F104" t="s">
        <v>20</v>
      </c>
      <c r="G104" t="s">
        <v>23</v>
      </c>
      <c r="H104">
        <v>2</v>
      </c>
      <c r="I104">
        <v>37.9</v>
      </c>
      <c r="J104">
        <v>5</v>
      </c>
      <c r="K104">
        <v>505.1</v>
      </c>
      <c r="L104">
        <v>1</v>
      </c>
      <c r="Q104" t="s">
        <v>20</v>
      </c>
      <c r="R104">
        <v>1</v>
      </c>
    </row>
    <row r="105" spans="1:18" x14ac:dyDescent="0.2">
      <c r="A105">
        <v>104</v>
      </c>
      <c r="B105">
        <v>24</v>
      </c>
      <c r="C105" t="s">
        <v>16</v>
      </c>
      <c r="D105">
        <v>68</v>
      </c>
      <c r="E105">
        <v>35.700000000000003</v>
      </c>
      <c r="F105" t="s">
        <v>20</v>
      </c>
      <c r="G105" t="s">
        <v>24</v>
      </c>
      <c r="H105">
        <v>2</v>
      </c>
      <c r="I105">
        <v>34.9</v>
      </c>
      <c r="J105">
        <v>3</v>
      </c>
      <c r="K105">
        <v>2486.1799999999998</v>
      </c>
      <c r="L105">
        <v>1</v>
      </c>
      <c r="Q105" t="s">
        <v>20</v>
      </c>
      <c r="R105">
        <v>1</v>
      </c>
    </row>
    <row r="106" spans="1:18" x14ac:dyDescent="0.2">
      <c r="A106">
        <v>105</v>
      </c>
      <c r="B106">
        <v>26</v>
      </c>
      <c r="C106" t="s">
        <v>15</v>
      </c>
      <c r="D106">
        <v>58</v>
      </c>
      <c r="E106">
        <v>57.73</v>
      </c>
      <c r="F106" t="s">
        <v>18</v>
      </c>
      <c r="G106" t="s">
        <v>23</v>
      </c>
      <c r="H106">
        <v>2</v>
      </c>
      <c r="I106">
        <v>78.3</v>
      </c>
      <c r="J106">
        <v>1</v>
      </c>
      <c r="K106">
        <v>3148.32</v>
      </c>
      <c r="L106">
        <v>1</v>
      </c>
      <c r="Q106" t="s">
        <v>18</v>
      </c>
      <c r="R106">
        <v>1</v>
      </c>
    </row>
    <row r="107" spans="1:18" x14ac:dyDescent="0.2">
      <c r="A107">
        <v>106</v>
      </c>
      <c r="B107">
        <v>41</v>
      </c>
      <c r="C107" t="s">
        <v>16</v>
      </c>
      <c r="D107">
        <v>29</v>
      </c>
      <c r="E107">
        <v>20.260000000000002</v>
      </c>
      <c r="F107" t="s">
        <v>20</v>
      </c>
      <c r="G107" t="s">
        <v>23</v>
      </c>
      <c r="H107">
        <v>3</v>
      </c>
      <c r="I107">
        <v>13.2</v>
      </c>
      <c r="J107">
        <v>5</v>
      </c>
      <c r="K107">
        <v>575.22</v>
      </c>
      <c r="L107">
        <v>0</v>
      </c>
      <c r="Q107" t="s">
        <v>20</v>
      </c>
      <c r="R107">
        <v>0</v>
      </c>
    </row>
    <row r="108" spans="1:18" x14ac:dyDescent="0.2">
      <c r="A108">
        <v>107</v>
      </c>
      <c r="B108">
        <v>18</v>
      </c>
      <c r="C108" t="s">
        <v>15</v>
      </c>
      <c r="D108">
        <v>36</v>
      </c>
      <c r="E108">
        <v>106.83</v>
      </c>
      <c r="F108" t="s">
        <v>20</v>
      </c>
      <c r="G108" t="s">
        <v>24</v>
      </c>
      <c r="H108">
        <v>0</v>
      </c>
      <c r="I108">
        <v>27.5</v>
      </c>
      <c r="J108">
        <v>9</v>
      </c>
      <c r="K108">
        <v>3491.64</v>
      </c>
      <c r="L108">
        <v>0</v>
      </c>
      <c r="Q108" t="s">
        <v>20</v>
      </c>
      <c r="R108">
        <v>0</v>
      </c>
    </row>
    <row r="109" spans="1:18" x14ac:dyDescent="0.2">
      <c r="A109">
        <v>108</v>
      </c>
      <c r="B109">
        <v>61</v>
      </c>
      <c r="C109" t="s">
        <v>16</v>
      </c>
      <c r="D109">
        <v>21</v>
      </c>
      <c r="E109">
        <v>28.45</v>
      </c>
      <c r="F109" t="s">
        <v>20</v>
      </c>
      <c r="G109" t="s">
        <v>22</v>
      </c>
      <c r="H109">
        <v>1</v>
      </c>
      <c r="I109">
        <v>74.599999999999994</v>
      </c>
      <c r="J109">
        <v>9</v>
      </c>
      <c r="K109">
        <v>594.53</v>
      </c>
      <c r="L109">
        <v>0</v>
      </c>
      <c r="Q109" t="s">
        <v>20</v>
      </c>
      <c r="R109">
        <v>0</v>
      </c>
    </row>
    <row r="110" spans="1:18" x14ac:dyDescent="0.2">
      <c r="A110">
        <v>109</v>
      </c>
      <c r="B110">
        <v>25</v>
      </c>
      <c r="C110" t="s">
        <v>15</v>
      </c>
      <c r="D110">
        <v>36</v>
      </c>
      <c r="E110">
        <v>79.73</v>
      </c>
      <c r="F110" t="s">
        <v>18</v>
      </c>
      <c r="G110" t="s">
        <v>23</v>
      </c>
      <c r="H110">
        <v>3</v>
      </c>
      <c r="I110">
        <v>57.1</v>
      </c>
      <c r="J110">
        <v>4</v>
      </c>
      <c r="K110">
        <v>2894.98</v>
      </c>
      <c r="L110">
        <v>1</v>
      </c>
      <c r="Q110" t="s">
        <v>18</v>
      </c>
      <c r="R110">
        <v>1</v>
      </c>
    </row>
    <row r="111" spans="1:18" x14ac:dyDescent="0.2">
      <c r="A111">
        <v>110</v>
      </c>
      <c r="B111">
        <v>41</v>
      </c>
      <c r="C111" t="s">
        <v>16</v>
      </c>
      <c r="D111">
        <v>10</v>
      </c>
      <c r="E111">
        <v>118.63</v>
      </c>
      <c r="F111" t="s">
        <v>20</v>
      </c>
      <c r="G111" t="s">
        <v>23</v>
      </c>
      <c r="H111">
        <v>4</v>
      </c>
      <c r="I111">
        <v>17.2</v>
      </c>
      <c r="J111">
        <v>3</v>
      </c>
      <c r="K111">
        <v>1121.71</v>
      </c>
      <c r="L111">
        <v>0</v>
      </c>
      <c r="Q111" t="s">
        <v>20</v>
      </c>
      <c r="R111">
        <v>0</v>
      </c>
    </row>
    <row r="112" spans="1:18" x14ac:dyDescent="0.2">
      <c r="A112">
        <v>111</v>
      </c>
      <c r="B112">
        <v>28</v>
      </c>
      <c r="C112" t="s">
        <v>15</v>
      </c>
      <c r="D112">
        <v>24</v>
      </c>
      <c r="E112">
        <v>73.66</v>
      </c>
      <c r="F112" t="s">
        <v>19</v>
      </c>
      <c r="G112" t="s">
        <v>23</v>
      </c>
      <c r="H112">
        <v>1</v>
      </c>
      <c r="I112">
        <v>88.8</v>
      </c>
      <c r="J112">
        <v>1</v>
      </c>
      <c r="K112">
        <v>1931.91</v>
      </c>
      <c r="L112">
        <v>0</v>
      </c>
      <c r="Q112" t="s">
        <v>19</v>
      </c>
      <c r="R112">
        <v>0</v>
      </c>
    </row>
    <row r="113" spans="1:18" x14ac:dyDescent="0.2">
      <c r="A113">
        <v>112</v>
      </c>
      <c r="B113">
        <v>68</v>
      </c>
      <c r="C113" t="s">
        <v>15</v>
      </c>
      <c r="D113">
        <v>64</v>
      </c>
      <c r="E113">
        <v>112.4</v>
      </c>
      <c r="F113" t="s">
        <v>20</v>
      </c>
      <c r="G113" t="s">
        <v>24</v>
      </c>
      <c r="H113">
        <v>1</v>
      </c>
      <c r="I113">
        <v>42.4</v>
      </c>
      <c r="J113">
        <v>2</v>
      </c>
      <c r="K113">
        <v>7782.69</v>
      </c>
      <c r="L113">
        <v>0</v>
      </c>
      <c r="Q113" t="s">
        <v>20</v>
      </c>
      <c r="R113">
        <v>0</v>
      </c>
    </row>
    <row r="114" spans="1:18" x14ac:dyDescent="0.2">
      <c r="A114">
        <v>113</v>
      </c>
      <c r="B114">
        <v>34</v>
      </c>
      <c r="C114" t="s">
        <v>15</v>
      </c>
      <c r="D114">
        <v>49</v>
      </c>
      <c r="E114">
        <v>43.61</v>
      </c>
      <c r="F114" t="s">
        <v>18</v>
      </c>
      <c r="G114" t="s">
        <v>22</v>
      </c>
      <c r="H114">
        <v>3</v>
      </c>
      <c r="I114">
        <v>83.6</v>
      </c>
      <c r="J114">
        <v>8</v>
      </c>
      <c r="K114">
        <v>2231.83</v>
      </c>
      <c r="L114">
        <v>0</v>
      </c>
      <c r="Q114" t="s">
        <v>18</v>
      </c>
      <c r="R114">
        <v>0</v>
      </c>
    </row>
    <row r="115" spans="1:18" x14ac:dyDescent="0.2">
      <c r="A115">
        <v>114</v>
      </c>
      <c r="B115">
        <v>25</v>
      </c>
      <c r="C115" t="s">
        <v>15</v>
      </c>
      <c r="D115">
        <v>36</v>
      </c>
      <c r="E115">
        <v>96</v>
      </c>
      <c r="F115" t="s">
        <v>19</v>
      </c>
      <c r="G115" t="s">
        <v>24</v>
      </c>
      <c r="H115">
        <v>4</v>
      </c>
      <c r="I115">
        <v>79.8</v>
      </c>
      <c r="J115">
        <v>1</v>
      </c>
      <c r="K115">
        <v>3479.08</v>
      </c>
      <c r="L115">
        <v>1</v>
      </c>
      <c r="Q115" t="s">
        <v>19</v>
      </c>
      <c r="R115">
        <v>1</v>
      </c>
    </row>
    <row r="116" spans="1:18" x14ac:dyDescent="0.2">
      <c r="A116">
        <v>115</v>
      </c>
      <c r="B116">
        <v>52</v>
      </c>
      <c r="C116" t="s">
        <v>15</v>
      </c>
      <c r="D116">
        <v>24</v>
      </c>
      <c r="E116">
        <v>73.13</v>
      </c>
      <c r="F116" t="s">
        <v>18</v>
      </c>
      <c r="G116" t="s">
        <v>24</v>
      </c>
      <c r="H116">
        <v>3</v>
      </c>
      <c r="I116">
        <v>64.3</v>
      </c>
      <c r="J116">
        <v>8</v>
      </c>
      <c r="K116">
        <v>1884.99</v>
      </c>
      <c r="L116">
        <v>0</v>
      </c>
      <c r="Q116" t="s">
        <v>18</v>
      </c>
      <c r="R116">
        <v>0</v>
      </c>
    </row>
    <row r="117" spans="1:18" x14ac:dyDescent="0.2">
      <c r="A117">
        <v>116</v>
      </c>
      <c r="B117">
        <v>52</v>
      </c>
      <c r="C117" t="s">
        <v>16</v>
      </c>
      <c r="D117">
        <v>23</v>
      </c>
      <c r="E117">
        <v>92.05</v>
      </c>
      <c r="F117" t="s">
        <v>19</v>
      </c>
      <c r="G117" t="s">
        <v>22</v>
      </c>
      <c r="H117">
        <v>1</v>
      </c>
      <c r="I117">
        <v>52</v>
      </c>
      <c r="J117">
        <v>7</v>
      </c>
      <c r="K117">
        <v>1960.76</v>
      </c>
      <c r="L117">
        <v>1</v>
      </c>
      <c r="Q117" t="s">
        <v>19</v>
      </c>
      <c r="R117">
        <v>1</v>
      </c>
    </row>
    <row r="118" spans="1:18" x14ac:dyDescent="0.2">
      <c r="A118">
        <v>117</v>
      </c>
      <c r="B118">
        <v>50</v>
      </c>
      <c r="C118" t="s">
        <v>16</v>
      </c>
      <c r="D118">
        <v>62</v>
      </c>
      <c r="E118">
        <v>26.23</v>
      </c>
      <c r="F118" t="s">
        <v>20</v>
      </c>
      <c r="G118" t="s">
        <v>24</v>
      </c>
      <c r="H118">
        <v>1</v>
      </c>
      <c r="I118">
        <v>98.1</v>
      </c>
      <c r="J118">
        <v>8</v>
      </c>
      <c r="K118">
        <v>1720.75</v>
      </c>
      <c r="L118">
        <v>1</v>
      </c>
      <c r="Q118" t="s">
        <v>20</v>
      </c>
      <c r="R118">
        <v>1</v>
      </c>
    </row>
    <row r="119" spans="1:18" x14ac:dyDescent="0.2">
      <c r="A119">
        <v>118</v>
      </c>
      <c r="B119">
        <v>22</v>
      </c>
      <c r="C119" t="s">
        <v>16</v>
      </c>
      <c r="D119">
        <v>37</v>
      </c>
      <c r="E119">
        <v>34.770000000000003</v>
      </c>
      <c r="F119" t="s">
        <v>20</v>
      </c>
      <c r="G119" t="s">
        <v>22</v>
      </c>
      <c r="H119">
        <v>4</v>
      </c>
      <c r="I119">
        <v>18.8</v>
      </c>
      <c r="J119">
        <v>6</v>
      </c>
      <c r="K119">
        <v>1189.96</v>
      </c>
      <c r="L119">
        <v>1</v>
      </c>
      <c r="Q119" t="s">
        <v>20</v>
      </c>
      <c r="R119">
        <v>1</v>
      </c>
    </row>
    <row r="120" spans="1:18" x14ac:dyDescent="0.2">
      <c r="A120">
        <v>119</v>
      </c>
      <c r="B120">
        <v>59</v>
      </c>
      <c r="C120" t="s">
        <v>15</v>
      </c>
      <c r="D120">
        <v>12</v>
      </c>
      <c r="E120">
        <v>33.31</v>
      </c>
      <c r="F120" t="s">
        <v>20</v>
      </c>
      <c r="G120" t="s">
        <v>23</v>
      </c>
      <c r="H120">
        <v>0</v>
      </c>
      <c r="I120">
        <v>73.900000000000006</v>
      </c>
      <c r="J120">
        <v>9</v>
      </c>
      <c r="K120">
        <v>423.24</v>
      </c>
      <c r="L120">
        <v>0</v>
      </c>
      <c r="Q120" t="s">
        <v>20</v>
      </c>
      <c r="R120">
        <v>0</v>
      </c>
    </row>
    <row r="121" spans="1:18" x14ac:dyDescent="0.2">
      <c r="A121">
        <v>120</v>
      </c>
      <c r="B121">
        <v>56</v>
      </c>
      <c r="C121" t="s">
        <v>16</v>
      </c>
      <c r="D121">
        <v>55</v>
      </c>
      <c r="E121">
        <v>88.72</v>
      </c>
      <c r="F121" t="s">
        <v>20</v>
      </c>
      <c r="G121" t="s">
        <v>22</v>
      </c>
      <c r="H121">
        <v>4</v>
      </c>
      <c r="I121">
        <v>23.2</v>
      </c>
      <c r="J121">
        <v>3</v>
      </c>
      <c r="K121">
        <v>4660.7700000000004</v>
      </c>
      <c r="L121">
        <v>0</v>
      </c>
      <c r="Q121" t="s">
        <v>20</v>
      </c>
      <c r="R121">
        <v>0</v>
      </c>
    </row>
    <row r="122" spans="1:18" x14ac:dyDescent="0.2">
      <c r="A122">
        <v>121</v>
      </c>
      <c r="B122">
        <v>58</v>
      </c>
      <c r="C122" t="s">
        <v>15</v>
      </c>
      <c r="D122">
        <v>13</v>
      </c>
      <c r="E122">
        <v>104.44</v>
      </c>
      <c r="F122" t="s">
        <v>20</v>
      </c>
      <c r="G122" t="s">
        <v>23</v>
      </c>
      <c r="H122">
        <v>0</v>
      </c>
      <c r="I122">
        <v>37.1</v>
      </c>
      <c r="J122">
        <v>10</v>
      </c>
      <c r="K122">
        <v>1460.12</v>
      </c>
      <c r="L122">
        <v>0</v>
      </c>
      <c r="Q122" t="s">
        <v>20</v>
      </c>
      <c r="R122">
        <v>0</v>
      </c>
    </row>
    <row r="123" spans="1:18" x14ac:dyDescent="0.2">
      <c r="A123">
        <v>122</v>
      </c>
      <c r="B123">
        <v>45</v>
      </c>
      <c r="C123" t="s">
        <v>15</v>
      </c>
      <c r="D123">
        <v>23</v>
      </c>
      <c r="E123">
        <v>94.96</v>
      </c>
      <c r="F123" t="s">
        <v>20</v>
      </c>
      <c r="G123" t="s">
        <v>24</v>
      </c>
      <c r="H123">
        <v>2</v>
      </c>
      <c r="I123">
        <v>34.299999999999997</v>
      </c>
      <c r="J123">
        <v>4</v>
      </c>
      <c r="K123">
        <v>2378.04</v>
      </c>
      <c r="L123">
        <v>1</v>
      </c>
      <c r="Q123" t="s">
        <v>20</v>
      </c>
      <c r="R123">
        <v>1</v>
      </c>
    </row>
    <row r="124" spans="1:18" x14ac:dyDescent="0.2">
      <c r="A124">
        <v>123</v>
      </c>
      <c r="B124">
        <v>24</v>
      </c>
      <c r="C124" t="s">
        <v>16</v>
      </c>
      <c r="D124">
        <v>30</v>
      </c>
      <c r="E124">
        <v>23.05</v>
      </c>
      <c r="F124" t="s">
        <v>20</v>
      </c>
      <c r="G124" t="s">
        <v>24</v>
      </c>
      <c r="H124">
        <v>2</v>
      </c>
      <c r="I124">
        <v>95</v>
      </c>
      <c r="J124">
        <v>6</v>
      </c>
      <c r="K124">
        <v>642.92999999999995</v>
      </c>
      <c r="L124">
        <v>0</v>
      </c>
      <c r="Q124" t="s">
        <v>20</v>
      </c>
      <c r="R124">
        <v>0</v>
      </c>
    </row>
    <row r="125" spans="1:18" x14ac:dyDescent="0.2">
      <c r="A125">
        <v>124</v>
      </c>
      <c r="B125">
        <v>26</v>
      </c>
      <c r="C125" t="s">
        <v>16</v>
      </c>
      <c r="D125">
        <v>17</v>
      </c>
      <c r="E125">
        <v>106.72</v>
      </c>
      <c r="F125" t="s">
        <v>20</v>
      </c>
      <c r="G125" t="s">
        <v>23</v>
      </c>
      <c r="H125">
        <v>2</v>
      </c>
      <c r="I125">
        <v>96.9</v>
      </c>
      <c r="J125">
        <v>8</v>
      </c>
      <c r="K125">
        <v>1800.7</v>
      </c>
      <c r="L125">
        <v>0</v>
      </c>
      <c r="Q125" t="s">
        <v>20</v>
      </c>
      <c r="R125">
        <v>0</v>
      </c>
    </row>
    <row r="126" spans="1:18" x14ac:dyDescent="0.2">
      <c r="A126">
        <v>125</v>
      </c>
      <c r="B126">
        <v>25</v>
      </c>
      <c r="C126" t="s">
        <v>15</v>
      </c>
      <c r="D126">
        <v>62</v>
      </c>
      <c r="E126">
        <v>55.41</v>
      </c>
      <c r="F126" t="s">
        <v>19</v>
      </c>
      <c r="G126" t="s">
        <v>24</v>
      </c>
      <c r="H126">
        <v>3</v>
      </c>
      <c r="I126">
        <v>22.4</v>
      </c>
      <c r="J126">
        <v>5</v>
      </c>
      <c r="K126">
        <v>3765.9</v>
      </c>
      <c r="L126">
        <v>0</v>
      </c>
      <c r="Q126" t="s">
        <v>19</v>
      </c>
      <c r="R126">
        <v>0</v>
      </c>
    </row>
    <row r="127" spans="1:18" x14ac:dyDescent="0.2">
      <c r="A127">
        <v>126</v>
      </c>
      <c r="B127">
        <v>29</v>
      </c>
      <c r="C127" t="s">
        <v>16</v>
      </c>
      <c r="D127">
        <v>13</v>
      </c>
      <c r="E127">
        <v>59.72</v>
      </c>
      <c r="F127" t="s">
        <v>20</v>
      </c>
      <c r="G127" t="s">
        <v>22</v>
      </c>
      <c r="H127">
        <v>0</v>
      </c>
      <c r="I127">
        <v>7.1</v>
      </c>
      <c r="J127">
        <v>3</v>
      </c>
      <c r="K127">
        <v>773.78</v>
      </c>
      <c r="L127">
        <v>0</v>
      </c>
      <c r="Q127" t="s">
        <v>20</v>
      </c>
      <c r="R127">
        <v>0</v>
      </c>
    </row>
    <row r="128" spans="1:18" x14ac:dyDescent="0.2">
      <c r="A128">
        <v>127</v>
      </c>
      <c r="B128">
        <v>51</v>
      </c>
      <c r="C128" t="s">
        <v>15</v>
      </c>
      <c r="D128">
        <v>59</v>
      </c>
      <c r="E128">
        <v>30.49</v>
      </c>
      <c r="F128" t="s">
        <v>18</v>
      </c>
      <c r="G128" t="s">
        <v>23</v>
      </c>
      <c r="H128">
        <v>4</v>
      </c>
      <c r="I128">
        <v>73.400000000000006</v>
      </c>
      <c r="J128">
        <v>6</v>
      </c>
      <c r="K128">
        <v>1929.71</v>
      </c>
      <c r="L128">
        <v>0</v>
      </c>
      <c r="Q128" t="s">
        <v>18</v>
      </c>
      <c r="R128">
        <v>0</v>
      </c>
    </row>
    <row r="129" spans="1:18" x14ac:dyDescent="0.2">
      <c r="A129">
        <v>128</v>
      </c>
      <c r="B129">
        <v>50</v>
      </c>
      <c r="C129" t="s">
        <v>15</v>
      </c>
      <c r="D129">
        <v>19</v>
      </c>
      <c r="E129">
        <v>93.74</v>
      </c>
      <c r="F129" t="s">
        <v>18</v>
      </c>
      <c r="G129" t="s">
        <v>24</v>
      </c>
      <c r="H129">
        <v>1</v>
      </c>
      <c r="I129">
        <v>44.7</v>
      </c>
      <c r="J129">
        <v>4</v>
      </c>
      <c r="K129">
        <v>1812.67</v>
      </c>
      <c r="L129">
        <v>0</v>
      </c>
      <c r="Q129" t="s">
        <v>18</v>
      </c>
      <c r="R129">
        <v>0</v>
      </c>
    </row>
    <row r="130" spans="1:18" x14ac:dyDescent="0.2">
      <c r="A130">
        <v>129</v>
      </c>
      <c r="B130">
        <v>65</v>
      </c>
      <c r="C130" t="s">
        <v>15</v>
      </c>
      <c r="D130">
        <v>49</v>
      </c>
      <c r="E130">
        <v>38.229999999999997</v>
      </c>
      <c r="F130" t="s">
        <v>19</v>
      </c>
      <c r="G130" t="s">
        <v>23</v>
      </c>
      <c r="H130">
        <v>3</v>
      </c>
      <c r="I130">
        <v>13.4</v>
      </c>
      <c r="J130">
        <v>9</v>
      </c>
      <c r="K130">
        <v>1826.56</v>
      </c>
      <c r="L130">
        <v>1</v>
      </c>
      <c r="Q130" t="s">
        <v>19</v>
      </c>
      <c r="R130">
        <v>1</v>
      </c>
    </row>
    <row r="131" spans="1:18" x14ac:dyDescent="0.2">
      <c r="A131">
        <v>130</v>
      </c>
      <c r="B131">
        <v>40</v>
      </c>
      <c r="C131" t="s">
        <v>15</v>
      </c>
      <c r="D131">
        <v>12</v>
      </c>
      <c r="E131">
        <v>76.400000000000006</v>
      </c>
      <c r="F131" t="s">
        <v>18</v>
      </c>
      <c r="G131" t="s">
        <v>22</v>
      </c>
      <c r="H131">
        <v>3</v>
      </c>
      <c r="I131">
        <v>70</v>
      </c>
      <c r="J131">
        <v>3</v>
      </c>
      <c r="K131">
        <v>877.52</v>
      </c>
      <c r="L131">
        <v>1</v>
      </c>
      <c r="Q131" t="s">
        <v>18</v>
      </c>
      <c r="R131">
        <v>1</v>
      </c>
    </row>
    <row r="132" spans="1:18" x14ac:dyDescent="0.2">
      <c r="A132">
        <v>131</v>
      </c>
      <c r="B132">
        <v>41</v>
      </c>
      <c r="C132" t="s">
        <v>15</v>
      </c>
      <c r="D132">
        <v>61</v>
      </c>
      <c r="E132">
        <v>104.07</v>
      </c>
      <c r="F132" t="s">
        <v>18</v>
      </c>
      <c r="G132" t="s">
        <v>22</v>
      </c>
      <c r="H132">
        <v>2</v>
      </c>
      <c r="I132">
        <v>56.8</v>
      </c>
      <c r="J132">
        <v>4</v>
      </c>
      <c r="K132">
        <v>5971.47</v>
      </c>
      <c r="L132">
        <v>1</v>
      </c>
      <c r="Q132" t="s">
        <v>18</v>
      </c>
      <c r="R132">
        <v>1</v>
      </c>
    </row>
    <row r="133" spans="1:18" x14ac:dyDescent="0.2">
      <c r="A133">
        <v>132</v>
      </c>
      <c r="B133">
        <v>54</v>
      </c>
      <c r="C133" t="s">
        <v>16</v>
      </c>
      <c r="D133">
        <v>19</v>
      </c>
      <c r="E133">
        <v>28.92</v>
      </c>
      <c r="F133" t="s">
        <v>19</v>
      </c>
      <c r="G133" t="s">
        <v>24</v>
      </c>
      <c r="H133">
        <v>1</v>
      </c>
      <c r="I133">
        <v>98.1</v>
      </c>
      <c r="J133">
        <v>7</v>
      </c>
      <c r="K133">
        <v>578.25</v>
      </c>
      <c r="L133">
        <v>1</v>
      </c>
      <c r="Q133" t="s">
        <v>19</v>
      </c>
      <c r="R133">
        <v>1</v>
      </c>
    </row>
    <row r="134" spans="1:18" x14ac:dyDescent="0.2">
      <c r="A134">
        <v>133</v>
      </c>
      <c r="B134">
        <v>52</v>
      </c>
      <c r="C134" t="s">
        <v>16</v>
      </c>
      <c r="D134">
        <v>9</v>
      </c>
      <c r="E134">
        <v>73.53</v>
      </c>
      <c r="F134" t="s">
        <v>19</v>
      </c>
      <c r="G134" t="s">
        <v>22</v>
      </c>
      <c r="H134">
        <v>2</v>
      </c>
      <c r="I134">
        <v>26.6</v>
      </c>
      <c r="J134">
        <v>7</v>
      </c>
      <c r="K134">
        <v>646.75</v>
      </c>
      <c r="L134">
        <v>1</v>
      </c>
      <c r="Q134" t="s">
        <v>19</v>
      </c>
      <c r="R134">
        <v>1</v>
      </c>
    </row>
    <row r="135" spans="1:18" x14ac:dyDescent="0.2">
      <c r="A135">
        <v>134</v>
      </c>
      <c r="B135">
        <v>61</v>
      </c>
      <c r="C135" t="s">
        <v>15</v>
      </c>
      <c r="D135">
        <v>71</v>
      </c>
      <c r="E135">
        <v>43.32</v>
      </c>
      <c r="F135" t="s">
        <v>20</v>
      </c>
      <c r="G135" t="s">
        <v>23</v>
      </c>
      <c r="H135">
        <v>1</v>
      </c>
      <c r="I135">
        <v>43.4</v>
      </c>
      <c r="J135">
        <v>4</v>
      </c>
      <c r="K135">
        <v>3082.66</v>
      </c>
      <c r="L135">
        <v>1</v>
      </c>
      <c r="Q135" t="s">
        <v>20</v>
      </c>
      <c r="R135">
        <v>1</v>
      </c>
    </row>
    <row r="136" spans="1:18" x14ac:dyDescent="0.2">
      <c r="A136">
        <v>135</v>
      </c>
      <c r="B136">
        <v>57</v>
      </c>
      <c r="C136" t="s">
        <v>15</v>
      </c>
      <c r="D136">
        <v>28</v>
      </c>
      <c r="E136">
        <v>54.29</v>
      </c>
      <c r="F136" t="s">
        <v>20</v>
      </c>
      <c r="G136" t="s">
        <v>22</v>
      </c>
      <c r="H136">
        <v>1</v>
      </c>
      <c r="I136">
        <v>56.5</v>
      </c>
      <c r="J136">
        <v>6</v>
      </c>
      <c r="K136">
        <v>1517.79</v>
      </c>
      <c r="L136">
        <v>0</v>
      </c>
      <c r="Q136" t="s">
        <v>20</v>
      </c>
      <c r="R136">
        <v>0</v>
      </c>
    </row>
    <row r="137" spans="1:18" x14ac:dyDescent="0.2">
      <c r="A137">
        <v>136</v>
      </c>
      <c r="B137">
        <v>39</v>
      </c>
      <c r="C137" t="s">
        <v>16</v>
      </c>
      <c r="D137">
        <v>52</v>
      </c>
      <c r="E137">
        <v>67.400000000000006</v>
      </c>
      <c r="F137" t="s">
        <v>20</v>
      </c>
      <c r="G137" t="s">
        <v>23</v>
      </c>
      <c r="H137">
        <v>1</v>
      </c>
      <c r="I137">
        <v>80.2</v>
      </c>
      <c r="J137">
        <v>3</v>
      </c>
      <c r="K137">
        <v>3558.97</v>
      </c>
      <c r="L137">
        <v>1</v>
      </c>
      <c r="Q137" t="s">
        <v>20</v>
      </c>
      <c r="R137">
        <v>1</v>
      </c>
    </row>
    <row r="138" spans="1:18" x14ac:dyDescent="0.2">
      <c r="A138">
        <v>137</v>
      </c>
      <c r="B138">
        <v>44</v>
      </c>
      <c r="C138" t="s">
        <v>16</v>
      </c>
      <c r="D138">
        <v>16</v>
      </c>
      <c r="E138">
        <v>55.51</v>
      </c>
      <c r="F138" t="s">
        <v>20</v>
      </c>
      <c r="G138" t="s">
        <v>23</v>
      </c>
      <c r="H138">
        <v>2</v>
      </c>
      <c r="I138">
        <v>57.1</v>
      </c>
      <c r="J138">
        <v>6</v>
      </c>
      <c r="K138">
        <v>953.1</v>
      </c>
      <c r="L138">
        <v>1</v>
      </c>
      <c r="Q138" t="s">
        <v>20</v>
      </c>
      <c r="R138">
        <v>1</v>
      </c>
    </row>
    <row r="139" spans="1:18" x14ac:dyDescent="0.2">
      <c r="A139">
        <v>138</v>
      </c>
      <c r="B139">
        <v>52</v>
      </c>
      <c r="C139" t="s">
        <v>15</v>
      </c>
      <c r="D139">
        <v>69</v>
      </c>
      <c r="E139">
        <v>84.88</v>
      </c>
      <c r="F139" t="s">
        <v>18</v>
      </c>
      <c r="G139" t="s">
        <v>22</v>
      </c>
      <c r="H139">
        <v>1</v>
      </c>
      <c r="I139">
        <v>63.2</v>
      </c>
      <c r="J139">
        <v>2</v>
      </c>
      <c r="K139">
        <v>6419.83</v>
      </c>
      <c r="L139">
        <v>0</v>
      </c>
      <c r="Q139" t="s">
        <v>18</v>
      </c>
      <c r="R139">
        <v>0</v>
      </c>
    </row>
    <row r="140" spans="1:18" x14ac:dyDescent="0.2">
      <c r="A140">
        <v>139</v>
      </c>
      <c r="B140">
        <v>18</v>
      </c>
      <c r="C140" t="s">
        <v>16</v>
      </c>
      <c r="D140">
        <v>12</v>
      </c>
      <c r="E140">
        <v>67.959999999999994</v>
      </c>
      <c r="F140" t="s">
        <v>18</v>
      </c>
      <c r="G140" t="s">
        <v>24</v>
      </c>
      <c r="H140">
        <v>3</v>
      </c>
      <c r="I140">
        <v>26.5</v>
      </c>
      <c r="J140">
        <v>8</v>
      </c>
      <c r="K140">
        <v>800.45</v>
      </c>
      <c r="L140">
        <v>0</v>
      </c>
      <c r="Q140" t="s">
        <v>18</v>
      </c>
      <c r="R140">
        <v>0</v>
      </c>
    </row>
    <row r="141" spans="1:18" x14ac:dyDescent="0.2">
      <c r="A141">
        <v>140</v>
      </c>
      <c r="B141">
        <v>52</v>
      </c>
      <c r="C141" t="s">
        <v>15</v>
      </c>
      <c r="D141">
        <v>25</v>
      </c>
      <c r="E141">
        <v>78.42</v>
      </c>
      <c r="F141" t="s">
        <v>18</v>
      </c>
      <c r="G141" t="s">
        <v>22</v>
      </c>
      <c r="H141">
        <v>1</v>
      </c>
      <c r="I141">
        <v>85.5</v>
      </c>
      <c r="J141">
        <v>2</v>
      </c>
      <c r="K141">
        <v>2088.92</v>
      </c>
      <c r="L141">
        <v>1</v>
      </c>
      <c r="Q141" t="s">
        <v>18</v>
      </c>
      <c r="R141">
        <v>1</v>
      </c>
    </row>
    <row r="142" spans="1:18" x14ac:dyDescent="0.2">
      <c r="A142">
        <v>141</v>
      </c>
      <c r="B142">
        <v>54</v>
      </c>
      <c r="C142" t="s">
        <v>16</v>
      </c>
      <c r="D142">
        <v>52</v>
      </c>
      <c r="E142">
        <v>93.68</v>
      </c>
      <c r="F142" t="s">
        <v>20</v>
      </c>
      <c r="G142" t="s">
        <v>23</v>
      </c>
      <c r="H142">
        <v>3</v>
      </c>
      <c r="I142">
        <v>45.7</v>
      </c>
      <c r="J142">
        <v>7</v>
      </c>
      <c r="K142">
        <v>5129.08</v>
      </c>
      <c r="L142">
        <v>0</v>
      </c>
      <c r="Q142" t="s">
        <v>20</v>
      </c>
      <c r="R142">
        <v>0</v>
      </c>
    </row>
    <row r="143" spans="1:18" x14ac:dyDescent="0.2">
      <c r="A143">
        <v>142</v>
      </c>
      <c r="B143">
        <v>64</v>
      </c>
      <c r="C143" t="s">
        <v>15</v>
      </c>
      <c r="D143">
        <v>53</v>
      </c>
      <c r="E143">
        <v>75.77</v>
      </c>
      <c r="F143" t="s">
        <v>19</v>
      </c>
      <c r="G143" t="s">
        <v>23</v>
      </c>
      <c r="H143">
        <v>3</v>
      </c>
      <c r="I143">
        <v>18.399999999999999</v>
      </c>
      <c r="J143">
        <v>9</v>
      </c>
      <c r="K143">
        <v>4074.87</v>
      </c>
      <c r="L143">
        <v>0</v>
      </c>
      <c r="Q143" t="s">
        <v>19</v>
      </c>
      <c r="R143">
        <v>0</v>
      </c>
    </row>
    <row r="144" spans="1:18" x14ac:dyDescent="0.2">
      <c r="A144">
        <v>143</v>
      </c>
      <c r="B144">
        <v>31</v>
      </c>
      <c r="C144" t="s">
        <v>16</v>
      </c>
      <c r="D144">
        <v>23</v>
      </c>
      <c r="E144">
        <v>78.650000000000006</v>
      </c>
      <c r="F144" t="s">
        <v>18</v>
      </c>
      <c r="G144" t="s">
        <v>22</v>
      </c>
      <c r="H144">
        <v>2</v>
      </c>
      <c r="I144">
        <v>68.099999999999994</v>
      </c>
      <c r="J144">
        <v>1</v>
      </c>
      <c r="K144">
        <v>1973.94</v>
      </c>
      <c r="L144">
        <v>1</v>
      </c>
      <c r="Q144" t="s">
        <v>18</v>
      </c>
      <c r="R144">
        <v>1</v>
      </c>
    </row>
    <row r="145" spans="1:18" x14ac:dyDescent="0.2">
      <c r="A145">
        <v>144</v>
      </c>
      <c r="B145">
        <v>20</v>
      </c>
      <c r="C145" t="s">
        <v>15</v>
      </c>
      <c r="D145">
        <v>16</v>
      </c>
      <c r="E145">
        <v>76.45</v>
      </c>
      <c r="F145" t="s">
        <v>18</v>
      </c>
      <c r="G145" t="s">
        <v>24</v>
      </c>
      <c r="H145">
        <v>2</v>
      </c>
      <c r="I145">
        <v>25.5</v>
      </c>
      <c r="J145">
        <v>8</v>
      </c>
      <c r="K145">
        <v>1149.92</v>
      </c>
      <c r="L145">
        <v>0</v>
      </c>
      <c r="Q145" t="s">
        <v>18</v>
      </c>
      <c r="R145">
        <v>0</v>
      </c>
    </row>
    <row r="146" spans="1:18" x14ac:dyDescent="0.2">
      <c r="A146">
        <v>145</v>
      </c>
      <c r="B146">
        <v>18</v>
      </c>
      <c r="C146" t="s">
        <v>16</v>
      </c>
      <c r="D146">
        <v>57</v>
      </c>
      <c r="E146">
        <v>57.88</v>
      </c>
      <c r="F146" t="s">
        <v>19</v>
      </c>
      <c r="G146" t="s">
        <v>24</v>
      </c>
      <c r="H146">
        <v>2</v>
      </c>
      <c r="I146">
        <v>14.3</v>
      </c>
      <c r="J146">
        <v>7</v>
      </c>
      <c r="K146">
        <v>3041.34</v>
      </c>
      <c r="L146">
        <v>0</v>
      </c>
      <c r="Q146" t="s">
        <v>19</v>
      </c>
      <c r="R146">
        <v>0</v>
      </c>
    </row>
    <row r="147" spans="1:18" x14ac:dyDescent="0.2">
      <c r="A147">
        <v>146</v>
      </c>
      <c r="B147">
        <v>22</v>
      </c>
      <c r="C147" t="s">
        <v>16</v>
      </c>
      <c r="D147">
        <v>39</v>
      </c>
      <c r="E147">
        <v>53.74</v>
      </c>
      <c r="F147" t="s">
        <v>18</v>
      </c>
      <c r="G147" t="s">
        <v>23</v>
      </c>
      <c r="H147">
        <v>2</v>
      </c>
      <c r="I147">
        <v>86.9</v>
      </c>
      <c r="J147">
        <v>6</v>
      </c>
      <c r="K147">
        <v>2244.23</v>
      </c>
      <c r="L147">
        <v>0</v>
      </c>
      <c r="Q147" t="s">
        <v>18</v>
      </c>
      <c r="R147">
        <v>0</v>
      </c>
    </row>
    <row r="148" spans="1:18" x14ac:dyDescent="0.2">
      <c r="A148">
        <v>147</v>
      </c>
      <c r="B148">
        <v>43</v>
      </c>
      <c r="C148" t="s">
        <v>15</v>
      </c>
      <c r="D148">
        <v>53</v>
      </c>
      <c r="E148">
        <v>109.96</v>
      </c>
      <c r="F148" t="s">
        <v>20</v>
      </c>
      <c r="G148" t="s">
        <v>23</v>
      </c>
      <c r="H148">
        <v>2</v>
      </c>
      <c r="I148">
        <v>48.7</v>
      </c>
      <c r="J148">
        <v>6</v>
      </c>
      <c r="K148">
        <v>5756.95</v>
      </c>
      <c r="L148">
        <v>0</v>
      </c>
      <c r="Q148" t="s">
        <v>20</v>
      </c>
      <c r="R148">
        <v>0</v>
      </c>
    </row>
    <row r="149" spans="1:18" x14ac:dyDescent="0.2">
      <c r="A149">
        <v>148</v>
      </c>
      <c r="B149">
        <v>31</v>
      </c>
      <c r="C149" t="s">
        <v>16</v>
      </c>
      <c r="D149">
        <v>42</v>
      </c>
      <c r="E149">
        <v>80.760000000000005</v>
      </c>
      <c r="F149" t="s">
        <v>18</v>
      </c>
      <c r="G149" t="s">
        <v>24</v>
      </c>
      <c r="H149">
        <v>1</v>
      </c>
      <c r="I149">
        <v>76.2</v>
      </c>
      <c r="J149">
        <v>6</v>
      </c>
      <c r="K149">
        <v>3627.3</v>
      </c>
      <c r="L149">
        <v>0</v>
      </c>
      <c r="Q149" t="s">
        <v>18</v>
      </c>
      <c r="R149">
        <v>0</v>
      </c>
    </row>
    <row r="150" spans="1:18" x14ac:dyDescent="0.2">
      <c r="A150">
        <v>149</v>
      </c>
      <c r="B150">
        <v>56</v>
      </c>
      <c r="C150" t="s">
        <v>15</v>
      </c>
      <c r="D150">
        <v>58</v>
      </c>
      <c r="E150">
        <v>44.44</v>
      </c>
      <c r="F150" t="s">
        <v>20</v>
      </c>
      <c r="G150" t="s">
        <v>22</v>
      </c>
      <c r="H150">
        <v>3</v>
      </c>
      <c r="I150">
        <v>32.6</v>
      </c>
      <c r="J150">
        <v>9</v>
      </c>
      <c r="K150">
        <v>2780.16</v>
      </c>
      <c r="L150">
        <v>1</v>
      </c>
      <c r="Q150" t="s">
        <v>20</v>
      </c>
      <c r="R150">
        <v>1</v>
      </c>
    </row>
    <row r="151" spans="1:18" x14ac:dyDescent="0.2">
      <c r="A151">
        <v>150</v>
      </c>
      <c r="B151">
        <v>44</v>
      </c>
      <c r="C151" t="s">
        <v>16</v>
      </c>
      <c r="D151">
        <v>39</v>
      </c>
      <c r="E151">
        <v>69.819999999999993</v>
      </c>
      <c r="F151" t="s">
        <v>20</v>
      </c>
      <c r="G151" t="s">
        <v>23</v>
      </c>
      <c r="H151">
        <v>2</v>
      </c>
      <c r="I151">
        <v>79.8</v>
      </c>
      <c r="J151">
        <v>2</v>
      </c>
      <c r="K151">
        <v>2484.6999999999998</v>
      </c>
      <c r="L151">
        <v>1</v>
      </c>
      <c r="Q151" t="s">
        <v>20</v>
      </c>
      <c r="R151">
        <v>1</v>
      </c>
    </row>
    <row r="152" spans="1:18" x14ac:dyDescent="0.2">
      <c r="A152">
        <v>151</v>
      </c>
      <c r="B152">
        <v>26</v>
      </c>
      <c r="C152" t="s">
        <v>15</v>
      </c>
      <c r="D152">
        <v>14</v>
      </c>
      <c r="E152">
        <v>53.03</v>
      </c>
      <c r="F152" t="s">
        <v>18</v>
      </c>
      <c r="G152" t="s">
        <v>23</v>
      </c>
      <c r="H152">
        <v>3</v>
      </c>
      <c r="I152">
        <v>15.6</v>
      </c>
      <c r="J152">
        <v>1</v>
      </c>
      <c r="K152">
        <v>799.36</v>
      </c>
      <c r="L152">
        <v>1</v>
      </c>
      <c r="Q152" t="s">
        <v>18</v>
      </c>
      <c r="R152">
        <v>1</v>
      </c>
    </row>
    <row r="153" spans="1:18" x14ac:dyDescent="0.2">
      <c r="A153">
        <v>152</v>
      </c>
      <c r="B153">
        <v>32</v>
      </c>
      <c r="C153" t="s">
        <v>16</v>
      </c>
      <c r="D153">
        <v>5</v>
      </c>
      <c r="E153">
        <v>113.37</v>
      </c>
      <c r="F153" t="s">
        <v>20</v>
      </c>
      <c r="G153" t="s">
        <v>24</v>
      </c>
      <c r="H153">
        <v>3</v>
      </c>
      <c r="I153">
        <v>38.799999999999997</v>
      </c>
      <c r="J153">
        <v>6</v>
      </c>
      <c r="K153">
        <v>560.99</v>
      </c>
      <c r="L153">
        <v>0</v>
      </c>
      <c r="Q153" t="s">
        <v>20</v>
      </c>
      <c r="R153">
        <v>0</v>
      </c>
    </row>
    <row r="154" spans="1:18" x14ac:dyDescent="0.2">
      <c r="A154">
        <v>153</v>
      </c>
      <c r="B154">
        <v>32</v>
      </c>
      <c r="C154" t="s">
        <v>15</v>
      </c>
      <c r="D154">
        <v>35</v>
      </c>
      <c r="E154">
        <v>20.75</v>
      </c>
      <c r="F154" t="s">
        <v>18</v>
      </c>
      <c r="G154" t="s">
        <v>22</v>
      </c>
      <c r="H154">
        <v>3</v>
      </c>
      <c r="I154">
        <v>97.9</v>
      </c>
      <c r="J154">
        <v>10</v>
      </c>
      <c r="K154">
        <v>727.77</v>
      </c>
      <c r="L154">
        <v>0</v>
      </c>
      <c r="Q154" t="s">
        <v>18</v>
      </c>
      <c r="R154">
        <v>0</v>
      </c>
    </row>
    <row r="155" spans="1:18" x14ac:dyDescent="0.2">
      <c r="A155">
        <v>154</v>
      </c>
      <c r="B155">
        <v>43</v>
      </c>
      <c r="C155" t="s">
        <v>16</v>
      </c>
      <c r="D155">
        <v>18</v>
      </c>
      <c r="E155">
        <v>42.53</v>
      </c>
      <c r="F155" t="s">
        <v>20</v>
      </c>
      <c r="G155" t="s">
        <v>24</v>
      </c>
      <c r="H155">
        <v>0</v>
      </c>
      <c r="I155">
        <v>80.400000000000006</v>
      </c>
      <c r="J155">
        <v>8</v>
      </c>
      <c r="K155">
        <v>784.92</v>
      </c>
      <c r="L155">
        <v>1</v>
      </c>
      <c r="Q155" t="s">
        <v>20</v>
      </c>
      <c r="R155">
        <v>1</v>
      </c>
    </row>
    <row r="156" spans="1:18" x14ac:dyDescent="0.2">
      <c r="A156">
        <v>155</v>
      </c>
      <c r="B156">
        <v>59</v>
      </c>
      <c r="C156" t="s">
        <v>15</v>
      </c>
      <c r="D156">
        <v>9</v>
      </c>
      <c r="E156">
        <v>56.54</v>
      </c>
      <c r="F156" t="s">
        <v>19</v>
      </c>
      <c r="G156" t="s">
        <v>22</v>
      </c>
      <c r="H156">
        <v>1</v>
      </c>
      <c r="I156">
        <v>52.2</v>
      </c>
      <c r="J156">
        <v>3</v>
      </c>
      <c r="K156">
        <v>552.25</v>
      </c>
      <c r="L156">
        <v>0</v>
      </c>
      <c r="Q156" t="s">
        <v>19</v>
      </c>
      <c r="R156">
        <v>0</v>
      </c>
    </row>
    <row r="157" spans="1:18" x14ac:dyDescent="0.2">
      <c r="A157">
        <v>156</v>
      </c>
      <c r="B157">
        <v>30</v>
      </c>
      <c r="C157" t="s">
        <v>16</v>
      </c>
      <c r="D157">
        <v>58</v>
      </c>
      <c r="E157">
        <v>68.78</v>
      </c>
      <c r="F157" t="s">
        <v>20</v>
      </c>
      <c r="G157" t="s">
        <v>22</v>
      </c>
      <c r="H157">
        <v>3</v>
      </c>
      <c r="I157">
        <v>37.299999999999997</v>
      </c>
      <c r="J157">
        <v>10</v>
      </c>
      <c r="K157">
        <v>3605.57</v>
      </c>
      <c r="L157">
        <v>0</v>
      </c>
      <c r="Q157" t="s">
        <v>20</v>
      </c>
      <c r="R157">
        <v>0</v>
      </c>
    </row>
    <row r="158" spans="1:18" x14ac:dyDescent="0.2">
      <c r="A158">
        <v>157</v>
      </c>
      <c r="B158">
        <v>68</v>
      </c>
      <c r="C158" t="s">
        <v>15</v>
      </c>
      <c r="D158">
        <v>17</v>
      </c>
      <c r="E158">
        <v>105.08</v>
      </c>
      <c r="F158" t="s">
        <v>19</v>
      </c>
      <c r="G158" t="s">
        <v>22</v>
      </c>
      <c r="H158">
        <v>0</v>
      </c>
      <c r="I158">
        <v>87.9</v>
      </c>
      <c r="J158">
        <v>1</v>
      </c>
      <c r="K158">
        <v>1778.09</v>
      </c>
      <c r="L158">
        <v>1</v>
      </c>
      <c r="Q158" t="s">
        <v>19</v>
      </c>
      <c r="R158">
        <v>1</v>
      </c>
    </row>
    <row r="159" spans="1:18" x14ac:dyDescent="0.2">
      <c r="A159">
        <v>158</v>
      </c>
      <c r="B159">
        <v>49</v>
      </c>
      <c r="C159" t="s">
        <v>15</v>
      </c>
      <c r="D159">
        <v>7</v>
      </c>
      <c r="E159">
        <v>28.79</v>
      </c>
      <c r="F159" t="s">
        <v>18</v>
      </c>
      <c r="G159" t="s">
        <v>23</v>
      </c>
      <c r="H159">
        <v>3</v>
      </c>
      <c r="I159">
        <v>56.8</v>
      </c>
      <c r="J159">
        <v>9</v>
      </c>
      <c r="K159">
        <v>209.1</v>
      </c>
      <c r="L159">
        <v>0</v>
      </c>
      <c r="Q159" t="s">
        <v>18</v>
      </c>
      <c r="R159">
        <v>0</v>
      </c>
    </row>
    <row r="160" spans="1:18" x14ac:dyDescent="0.2">
      <c r="A160">
        <v>159</v>
      </c>
      <c r="B160">
        <v>56</v>
      </c>
      <c r="C160" t="s">
        <v>15</v>
      </c>
      <c r="D160">
        <v>46</v>
      </c>
      <c r="E160">
        <v>100.59</v>
      </c>
      <c r="F160" t="s">
        <v>20</v>
      </c>
      <c r="G160" t="s">
        <v>24</v>
      </c>
      <c r="H160">
        <v>1</v>
      </c>
      <c r="I160">
        <v>77.099999999999994</v>
      </c>
      <c r="J160">
        <v>1</v>
      </c>
      <c r="K160">
        <v>4833.24</v>
      </c>
      <c r="L160">
        <v>0</v>
      </c>
      <c r="Q160" t="s">
        <v>20</v>
      </c>
      <c r="R160">
        <v>0</v>
      </c>
    </row>
    <row r="161" spans="1:18" x14ac:dyDescent="0.2">
      <c r="A161">
        <v>160</v>
      </c>
      <c r="B161">
        <v>66</v>
      </c>
      <c r="C161" t="s">
        <v>16</v>
      </c>
      <c r="D161">
        <v>13</v>
      </c>
      <c r="E161">
        <v>25.57</v>
      </c>
      <c r="F161" t="s">
        <v>20</v>
      </c>
      <c r="G161" t="s">
        <v>24</v>
      </c>
      <c r="H161">
        <v>0</v>
      </c>
      <c r="I161">
        <v>76.599999999999994</v>
      </c>
      <c r="J161">
        <v>3</v>
      </c>
      <c r="K161">
        <v>345.21</v>
      </c>
      <c r="L161">
        <v>1</v>
      </c>
      <c r="Q161" t="s">
        <v>20</v>
      </c>
      <c r="R161">
        <v>1</v>
      </c>
    </row>
    <row r="162" spans="1:18" x14ac:dyDescent="0.2">
      <c r="A162">
        <v>161</v>
      </c>
      <c r="B162">
        <v>69</v>
      </c>
      <c r="C162" t="s">
        <v>15</v>
      </c>
      <c r="D162">
        <v>40</v>
      </c>
      <c r="E162">
        <v>104.23</v>
      </c>
      <c r="F162" t="s">
        <v>19</v>
      </c>
      <c r="G162" t="s">
        <v>22</v>
      </c>
      <c r="H162">
        <v>0</v>
      </c>
      <c r="I162">
        <v>6.7</v>
      </c>
      <c r="J162">
        <v>8</v>
      </c>
      <c r="K162">
        <v>3864.38</v>
      </c>
      <c r="L162">
        <v>0</v>
      </c>
      <c r="Q162" t="s">
        <v>19</v>
      </c>
      <c r="R162">
        <v>0</v>
      </c>
    </row>
    <row r="163" spans="1:18" x14ac:dyDescent="0.2">
      <c r="A163">
        <v>162</v>
      </c>
      <c r="B163">
        <v>49</v>
      </c>
      <c r="C163" t="s">
        <v>16</v>
      </c>
      <c r="D163">
        <v>42</v>
      </c>
      <c r="E163">
        <v>25.16</v>
      </c>
      <c r="F163" t="s">
        <v>20</v>
      </c>
      <c r="G163" t="s">
        <v>23</v>
      </c>
      <c r="H163">
        <v>1</v>
      </c>
      <c r="I163">
        <v>17</v>
      </c>
      <c r="J163">
        <v>3</v>
      </c>
      <c r="K163">
        <v>1014.32</v>
      </c>
      <c r="L163">
        <v>0</v>
      </c>
      <c r="Q163" t="s">
        <v>20</v>
      </c>
      <c r="R163">
        <v>0</v>
      </c>
    </row>
    <row r="164" spans="1:18" x14ac:dyDescent="0.2">
      <c r="A164">
        <v>163</v>
      </c>
      <c r="B164">
        <v>21</v>
      </c>
      <c r="C164" t="s">
        <v>15</v>
      </c>
      <c r="D164">
        <v>9</v>
      </c>
      <c r="E164">
        <v>21.82</v>
      </c>
      <c r="F164" t="s">
        <v>20</v>
      </c>
      <c r="G164" t="s">
        <v>23</v>
      </c>
      <c r="H164">
        <v>1</v>
      </c>
      <c r="I164">
        <v>67.7</v>
      </c>
      <c r="J164">
        <v>4</v>
      </c>
      <c r="K164">
        <v>190.83</v>
      </c>
      <c r="L164">
        <v>1</v>
      </c>
      <c r="Q164" t="s">
        <v>20</v>
      </c>
      <c r="R164">
        <v>1</v>
      </c>
    </row>
    <row r="165" spans="1:18" x14ac:dyDescent="0.2">
      <c r="A165">
        <v>164</v>
      </c>
      <c r="B165">
        <v>47</v>
      </c>
      <c r="C165" t="s">
        <v>16</v>
      </c>
      <c r="D165">
        <v>50</v>
      </c>
      <c r="E165">
        <v>89.7</v>
      </c>
      <c r="F165" t="s">
        <v>20</v>
      </c>
      <c r="G165" t="s">
        <v>24</v>
      </c>
      <c r="H165">
        <v>1</v>
      </c>
      <c r="I165">
        <v>20.399999999999999</v>
      </c>
      <c r="J165">
        <v>8</v>
      </c>
      <c r="K165">
        <v>4758.08</v>
      </c>
      <c r="L165">
        <v>0</v>
      </c>
      <c r="Q165" t="s">
        <v>20</v>
      </c>
      <c r="R165">
        <v>0</v>
      </c>
    </row>
    <row r="166" spans="1:18" x14ac:dyDescent="0.2">
      <c r="A166">
        <v>165</v>
      </c>
      <c r="B166">
        <v>54</v>
      </c>
      <c r="C166" t="s">
        <v>15</v>
      </c>
      <c r="D166">
        <v>27</v>
      </c>
      <c r="E166">
        <v>119.73</v>
      </c>
      <c r="F166" t="s">
        <v>20</v>
      </c>
      <c r="G166" t="s">
        <v>23</v>
      </c>
      <c r="H166">
        <v>4</v>
      </c>
      <c r="I166">
        <v>29.3</v>
      </c>
      <c r="J166">
        <v>1</v>
      </c>
      <c r="K166">
        <v>3089.67</v>
      </c>
      <c r="L166">
        <v>1</v>
      </c>
      <c r="Q166" t="s">
        <v>20</v>
      </c>
      <c r="R166">
        <v>1</v>
      </c>
    </row>
    <row r="167" spans="1:18" x14ac:dyDescent="0.2">
      <c r="A167">
        <v>166</v>
      </c>
      <c r="B167">
        <v>40</v>
      </c>
      <c r="C167" t="s">
        <v>16</v>
      </c>
      <c r="D167">
        <v>66</v>
      </c>
      <c r="E167">
        <v>109.66</v>
      </c>
      <c r="F167" t="s">
        <v>18</v>
      </c>
      <c r="G167" t="s">
        <v>23</v>
      </c>
      <c r="H167">
        <v>3</v>
      </c>
      <c r="I167">
        <v>94.9</v>
      </c>
      <c r="J167">
        <v>6</v>
      </c>
      <c r="K167">
        <v>6818.8</v>
      </c>
      <c r="L167">
        <v>1</v>
      </c>
      <c r="Q167" t="s">
        <v>18</v>
      </c>
      <c r="R167">
        <v>1</v>
      </c>
    </row>
    <row r="168" spans="1:18" x14ac:dyDescent="0.2">
      <c r="A168">
        <v>167</v>
      </c>
      <c r="B168">
        <v>56</v>
      </c>
      <c r="C168" t="s">
        <v>16</v>
      </c>
      <c r="D168">
        <v>5</v>
      </c>
      <c r="E168">
        <v>77.599999999999994</v>
      </c>
      <c r="F168" t="s">
        <v>18</v>
      </c>
      <c r="G168" t="s">
        <v>22</v>
      </c>
      <c r="H168">
        <v>2</v>
      </c>
      <c r="I168">
        <v>58.2</v>
      </c>
      <c r="J168">
        <v>1</v>
      </c>
      <c r="K168">
        <v>423.5</v>
      </c>
      <c r="L168">
        <v>1</v>
      </c>
      <c r="Q168" t="s">
        <v>18</v>
      </c>
      <c r="R168">
        <v>1</v>
      </c>
    </row>
    <row r="169" spans="1:18" x14ac:dyDescent="0.2">
      <c r="A169">
        <v>168</v>
      </c>
      <c r="B169">
        <v>62</v>
      </c>
      <c r="C169" t="s">
        <v>15</v>
      </c>
      <c r="D169">
        <v>29</v>
      </c>
      <c r="E169">
        <v>111.74</v>
      </c>
      <c r="F169" t="s">
        <v>20</v>
      </c>
      <c r="G169" t="s">
        <v>23</v>
      </c>
      <c r="H169">
        <v>4</v>
      </c>
      <c r="I169">
        <v>76.3</v>
      </c>
      <c r="J169">
        <v>1</v>
      </c>
      <c r="K169">
        <v>2922.16</v>
      </c>
      <c r="L169">
        <v>1</v>
      </c>
      <c r="Q169" t="s">
        <v>20</v>
      </c>
      <c r="R169">
        <v>1</v>
      </c>
    </row>
    <row r="170" spans="1:18" x14ac:dyDescent="0.2">
      <c r="A170">
        <v>169</v>
      </c>
      <c r="B170">
        <v>32</v>
      </c>
      <c r="C170" t="s">
        <v>16</v>
      </c>
      <c r="D170">
        <v>37</v>
      </c>
      <c r="E170">
        <v>20.53</v>
      </c>
      <c r="F170" t="s">
        <v>20</v>
      </c>
      <c r="G170" t="s">
        <v>22</v>
      </c>
      <c r="H170">
        <v>2</v>
      </c>
      <c r="I170">
        <v>58</v>
      </c>
      <c r="J170">
        <v>8</v>
      </c>
      <c r="K170">
        <v>835.24</v>
      </c>
      <c r="L170">
        <v>1</v>
      </c>
      <c r="Q170" t="s">
        <v>20</v>
      </c>
      <c r="R170">
        <v>1</v>
      </c>
    </row>
    <row r="171" spans="1:18" x14ac:dyDescent="0.2">
      <c r="A171">
        <v>170</v>
      </c>
      <c r="B171">
        <v>60</v>
      </c>
      <c r="C171" t="s">
        <v>16</v>
      </c>
      <c r="D171">
        <v>38</v>
      </c>
      <c r="E171">
        <v>117.51</v>
      </c>
      <c r="F171" t="s">
        <v>18</v>
      </c>
      <c r="G171" t="s">
        <v>24</v>
      </c>
      <c r="H171">
        <v>0</v>
      </c>
      <c r="I171">
        <v>57.5</v>
      </c>
      <c r="J171">
        <v>4</v>
      </c>
      <c r="K171">
        <v>4623.29</v>
      </c>
      <c r="L171">
        <v>1</v>
      </c>
      <c r="Q171" t="s">
        <v>18</v>
      </c>
      <c r="R171">
        <v>1</v>
      </c>
    </row>
    <row r="172" spans="1:18" x14ac:dyDescent="0.2">
      <c r="A172">
        <v>171</v>
      </c>
      <c r="B172">
        <v>46</v>
      </c>
      <c r="C172" t="s">
        <v>15</v>
      </c>
      <c r="D172">
        <v>8</v>
      </c>
      <c r="E172">
        <v>69.069999999999993</v>
      </c>
      <c r="F172" t="s">
        <v>20</v>
      </c>
      <c r="G172" t="s">
        <v>23</v>
      </c>
      <c r="H172">
        <v>1</v>
      </c>
      <c r="I172">
        <v>13.9</v>
      </c>
      <c r="J172">
        <v>1</v>
      </c>
      <c r="K172">
        <v>588.86</v>
      </c>
      <c r="L172">
        <v>0</v>
      </c>
      <c r="Q172" t="s">
        <v>20</v>
      </c>
      <c r="R172">
        <v>0</v>
      </c>
    </row>
    <row r="173" spans="1:18" x14ac:dyDescent="0.2">
      <c r="A173">
        <v>172</v>
      </c>
      <c r="B173">
        <v>53</v>
      </c>
      <c r="C173" t="s">
        <v>16</v>
      </c>
      <c r="D173">
        <v>65</v>
      </c>
      <c r="E173">
        <v>92.29</v>
      </c>
      <c r="F173" t="s">
        <v>20</v>
      </c>
      <c r="G173" t="s">
        <v>24</v>
      </c>
      <c r="H173">
        <v>5</v>
      </c>
      <c r="I173">
        <v>37.6</v>
      </c>
      <c r="J173">
        <v>10</v>
      </c>
      <c r="K173">
        <v>5752.44</v>
      </c>
      <c r="L173">
        <v>0</v>
      </c>
      <c r="Q173" t="s">
        <v>20</v>
      </c>
      <c r="R173">
        <v>0</v>
      </c>
    </row>
    <row r="174" spans="1:18" x14ac:dyDescent="0.2">
      <c r="A174">
        <v>173</v>
      </c>
      <c r="B174">
        <v>30</v>
      </c>
      <c r="C174" t="s">
        <v>16</v>
      </c>
      <c r="D174">
        <v>17</v>
      </c>
      <c r="E174">
        <v>102.09</v>
      </c>
      <c r="F174" t="s">
        <v>19</v>
      </c>
      <c r="G174" t="s">
        <v>24</v>
      </c>
      <c r="H174">
        <v>1</v>
      </c>
      <c r="I174">
        <v>31.8</v>
      </c>
      <c r="J174">
        <v>7</v>
      </c>
      <c r="K174">
        <v>1566.95</v>
      </c>
      <c r="L174">
        <v>0</v>
      </c>
      <c r="Q174" t="s">
        <v>19</v>
      </c>
      <c r="R174">
        <v>0</v>
      </c>
    </row>
    <row r="175" spans="1:18" x14ac:dyDescent="0.2">
      <c r="A175">
        <v>174</v>
      </c>
      <c r="B175">
        <v>49</v>
      </c>
      <c r="C175" t="s">
        <v>16</v>
      </c>
      <c r="D175">
        <v>71</v>
      </c>
      <c r="E175">
        <v>91.85</v>
      </c>
      <c r="F175" t="s">
        <v>18</v>
      </c>
      <c r="G175" t="s">
        <v>23</v>
      </c>
      <c r="H175">
        <v>5</v>
      </c>
      <c r="I175">
        <v>42.1</v>
      </c>
      <c r="J175">
        <v>5</v>
      </c>
      <c r="K175">
        <v>6831.6</v>
      </c>
      <c r="L175">
        <v>0</v>
      </c>
      <c r="Q175" t="s">
        <v>18</v>
      </c>
      <c r="R175">
        <v>0</v>
      </c>
    </row>
    <row r="176" spans="1:18" x14ac:dyDescent="0.2">
      <c r="A176">
        <v>175</v>
      </c>
      <c r="B176">
        <v>24</v>
      </c>
      <c r="C176" t="s">
        <v>15</v>
      </c>
      <c r="D176">
        <v>45</v>
      </c>
      <c r="E176">
        <v>73.5</v>
      </c>
      <c r="F176" t="s">
        <v>18</v>
      </c>
      <c r="G176" t="s">
        <v>23</v>
      </c>
      <c r="H176">
        <v>0</v>
      </c>
      <c r="I176">
        <v>80.8</v>
      </c>
      <c r="J176">
        <v>5</v>
      </c>
      <c r="K176">
        <v>3528.54</v>
      </c>
      <c r="L176">
        <v>0</v>
      </c>
      <c r="Q176" t="s">
        <v>18</v>
      </c>
      <c r="R176">
        <v>0</v>
      </c>
    </row>
    <row r="177" spans="1:18" x14ac:dyDescent="0.2">
      <c r="A177">
        <v>176</v>
      </c>
      <c r="B177">
        <v>68</v>
      </c>
      <c r="C177" t="s">
        <v>16</v>
      </c>
      <c r="D177">
        <v>4</v>
      </c>
      <c r="E177">
        <v>67.66</v>
      </c>
      <c r="F177" t="s">
        <v>18</v>
      </c>
      <c r="G177" t="s">
        <v>24</v>
      </c>
      <c r="H177">
        <v>2</v>
      </c>
      <c r="I177">
        <v>40.299999999999997</v>
      </c>
      <c r="J177">
        <v>1</v>
      </c>
      <c r="K177">
        <v>283.66000000000003</v>
      </c>
      <c r="L177">
        <v>0</v>
      </c>
      <c r="Q177" t="s">
        <v>18</v>
      </c>
      <c r="R177">
        <v>0</v>
      </c>
    </row>
    <row r="178" spans="1:18" x14ac:dyDescent="0.2">
      <c r="A178">
        <v>177</v>
      </c>
      <c r="B178">
        <v>39</v>
      </c>
      <c r="C178" t="s">
        <v>15</v>
      </c>
      <c r="D178">
        <v>36</v>
      </c>
      <c r="E178">
        <v>103.86</v>
      </c>
      <c r="F178" t="s">
        <v>20</v>
      </c>
      <c r="G178" t="s">
        <v>23</v>
      </c>
      <c r="H178">
        <v>0</v>
      </c>
      <c r="I178">
        <v>47.9</v>
      </c>
      <c r="J178">
        <v>10</v>
      </c>
      <c r="K178">
        <v>3471.89</v>
      </c>
      <c r="L178">
        <v>1</v>
      </c>
      <c r="Q178" t="s">
        <v>20</v>
      </c>
      <c r="R178">
        <v>1</v>
      </c>
    </row>
    <row r="179" spans="1:18" x14ac:dyDescent="0.2">
      <c r="A179">
        <v>178</v>
      </c>
      <c r="B179">
        <v>45</v>
      </c>
      <c r="C179" t="s">
        <v>16</v>
      </c>
      <c r="D179">
        <v>70</v>
      </c>
      <c r="E179">
        <v>40.51</v>
      </c>
      <c r="F179" t="s">
        <v>18</v>
      </c>
      <c r="G179" t="s">
        <v>22</v>
      </c>
      <c r="H179">
        <v>1</v>
      </c>
      <c r="I179">
        <v>42.8</v>
      </c>
      <c r="J179">
        <v>6</v>
      </c>
      <c r="K179">
        <v>2979.43</v>
      </c>
      <c r="L179">
        <v>0</v>
      </c>
      <c r="Q179" t="s">
        <v>18</v>
      </c>
      <c r="R179">
        <v>0</v>
      </c>
    </row>
    <row r="180" spans="1:18" x14ac:dyDescent="0.2">
      <c r="A180">
        <v>179</v>
      </c>
      <c r="B180">
        <v>19</v>
      </c>
      <c r="C180" t="s">
        <v>16</v>
      </c>
      <c r="D180">
        <v>31</v>
      </c>
      <c r="E180">
        <v>116.8</v>
      </c>
      <c r="F180" t="s">
        <v>20</v>
      </c>
      <c r="G180" t="s">
        <v>22</v>
      </c>
      <c r="H180">
        <v>4</v>
      </c>
      <c r="I180">
        <v>13.9</v>
      </c>
      <c r="J180">
        <v>9</v>
      </c>
      <c r="K180">
        <v>3815.54</v>
      </c>
      <c r="L180">
        <v>0</v>
      </c>
      <c r="Q180" t="s">
        <v>20</v>
      </c>
      <c r="R180">
        <v>0</v>
      </c>
    </row>
    <row r="181" spans="1:18" x14ac:dyDescent="0.2">
      <c r="A181">
        <v>180</v>
      </c>
      <c r="B181">
        <v>59</v>
      </c>
      <c r="C181" t="s">
        <v>16</v>
      </c>
      <c r="D181">
        <v>19</v>
      </c>
      <c r="E181">
        <v>91.1</v>
      </c>
      <c r="F181" t="s">
        <v>20</v>
      </c>
      <c r="G181" t="s">
        <v>23</v>
      </c>
      <c r="H181">
        <v>0</v>
      </c>
      <c r="I181">
        <v>46.9</v>
      </c>
      <c r="J181">
        <v>9</v>
      </c>
      <c r="K181">
        <v>1785.78</v>
      </c>
      <c r="L181">
        <v>0</v>
      </c>
      <c r="Q181" t="s">
        <v>20</v>
      </c>
      <c r="R181">
        <v>0</v>
      </c>
    </row>
    <row r="182" spans="1:18" x14ac:dyDescent="0.2">
      <c r="A182">
        <v>181</v>
      </c>
      <c r="B182">
        <v>62</v>
      </c>
      <c r="C182" t="s">
        <v>15</v>
      </c>
      <c r="D182">
        <v>61</v>
      </c>
      <c r="E182">
        <v>39.950000000000003</v>
      </c>
      <c r="F182" t="s">
        <v>20</v>
      </c>
      <c r="G182" t="s">
        <v>24</v>
      </c>
      <c r="H182">
        <v>0</v>
      </c>
      <c r="I182">
        <v>23.6</v>
      </c>
      <c r="J182">
        <v>8</v>
      </c>
      <c r="K182">
        <v>2566.65</v>
      </c>
      <c r="L182">
        <v>0</v>
      </c>
      <c r="Q182" t="s">
        <v>20</v>
      </c>
      <c r="R182">
        <v>0</v>
      </c>
    </row>
    <row r="183" spans="1:18" x14ac:dyDescent="0.2">
      <c r="A183">
        <v>182</v>
      </c>
      <c r="B183">
        <v>23</v>
      </c>
      <c r="C183" t="s">
        <v>16</v>
      </c>
      <c r="D183">
        <v>54</v>
      </c>
      <c r="E183">
        <v>93.62</v>
      </c>
      <c r="F183" t="s">
        <v>20</v>
      </c>
      <c r="G183" t="s">
        <v>23</v>
      </c>
      <c r="H183">
        <v>2</v>
      </c>
      <c r="I183">
        <v>22.7</v>
      </c>
      <c r="J183">
        <v>5</v>
      </c>
      <c r="K183">
        <v>5405.24</v>
      </c>
      <c r="L183">
        <v>0</v>
      </c>
      <c r="Q183" t="s">
        <v>20</v>
      </c>
      <c r="R183">
        <v>0</v>
      </c>
    </row>
    <row r="184" spans="1:18" x14ac:dyDescent="0.2">
      <c r="A184">
        <v>183</v>
      </c>
      <c r="B184">
        <v>45</v>
      </c>
      <c r="C184" t="s">
        <v>16</v>
      </c>
      <c r="D184">
        <v>39</v>
      </c>
      <c r="E184">
        <v>72.98</v>
      </c>
      <c r="F184" t="s">
        <v>18</v>
      </c>
      <c r="G184" t="s">
        <v>23</v>
      </c>
      <c r="H184">
        <v>1</v>
      </c>
      <c r="I184">
        <v>13.9</v>
      </c>
      <c r="J184">
        <v>1</v>
      </c>
      <c r="K184">
        <v>2910.89</v>
      </c>
      <c r="L184">
        <v>1</v>
      </c>
      <c r="Q184" t="s">
        <v>18</v>
      </c>
      <c r="R184">
        <v>1</v>
      </c>
    </row>
    <row r="185" spans="1:18" x14ac:dyDescent="0.2">
      <c r="A185">
        <v>184</v>
      </c>
      <c r="B185">
        <v>45</v>
      </c>
      <c r="C185" t="s">
        <v>15</v>
      </c>
      <c r="D185">
        <v>19</v>
      </c>
      <c r="E185">
        <v>90.72</v>
      </c>
      <c r="F185" t="s">
        <v>20</v>
      </c>
      <c r="G185" t="s">
        <v>24</v>
      </c>
      <c r="H185">
        <v>1</v>
      </c>
      <c r="I185">
        <v>38.9</v>
      </c>
      <c r="J185">
        <v>9</v>
      </c>
      <c r="K185">
        <v>1581.86</v>
      </c>
      <c r="L185">
        <v>1</v>
      </c>
      <c r="Q185" t="s">
        <v>20</v>
      </c>
      <c r="R185">
        <v>1</v>
      </c>
    </row>
    <row r="186" spans="1:18" x14ac:dyDescent="0.2">
      <c r="A186">
        <v>185</v>
      </c>
      <c r="B186">
        <v>61</v>
      </c>
      <c r="C186" t="s">
        <v>16</v>
      </c>
      <c r="D186">
        <v>39</v>
      </c>
      <c r="E186">
        <v>96.78</v>
      </c>
      <c r="F186" t="s">
        <v>20</v>
      </c>
      <c r="G186" t="s">
        <v>24</v>
      </c>
      <c r="H186">
        <v>3</v>
      </c>
      <c r="I186">
        <v>77</v>
      </c>
      <c r="J186">
        <v>1</v>
      </c>
      <c r="K186">
        <v>3765.08</v>
      </c>
      <c r="L186">
        <v>1</v>
      </c>
      <c r="Q186" t="s">
        <v>20</v>
      </c>
      <c r="R186">
        <v>1</v>
      </c>
    </row>
    <row r="187" spans="1:18" x14ac:dyDescent="0.2">
      <c r="A187">
        <v>186</v>
      </c>
      <c r="B187">
        <v>61</v>
      </c>
      <c r="C187" t="s">
        <v>15</v>
      </c>
      <c r="D187">
        <v>67</v>
      </c>
      <c r="E187">
        <v>28.73</v>
      </c>
      <c r="F187" t="s">
        <v>20</v>
      </c>
      <c r="G187" t="s">
        <v>22</v>
      </c>
      <c r="H187">
        <v>1</v>
      </c>
      <c r="I187">
        <v>31.3</v>
      </c>
      <c r="J187">
        <v>8</v>
      </c>
      <c r="K187">
        <v>1762.31</v>
      </c>
      <c r="L187">
        <v>1</v>
      </c>
      <c r="Q187" t="s">
        <v>20</v>
      </c>
      <c r="R187">
        <v>1</v>
      </c>
    </row>
    <row r="188" spans="1:18" x14ac:dyDescent="0.2">
      <c r="A188">
        <v>187</v>
      </c>
      <c r="B188">
        <v>37</v>
      </c>
      <c r="C188" t="s">
        <v>15</v>
      </c>
      <c r="D188">
        <v>45</v>
      </c>
      <c r="E188">
        <v>70.61</v>
      </c>
      <c r="F188" t="s">
        <v>20</v>
      </c>
      <c r="G188" t="s">
        <v>24</v>
      </c>
      <c r="H188">
        <v>2</v>
      </c>
      <c r="I188">
        <v>34.700000000000003</v>
      </c>
      <c r="J188">
        <v>5</v>
      </c>
      <c r="K188">
        <v>3118.69</v>
      </c>
      <c r="L188">
        <v>0</v>
      </c>
      <c r="Q188" t="s">
        <v>20</v>
      </c>
      <c r="R188">
        <v>0</v>
      </c>
    </row>
    <row r="189" spans="1:18" x14ac:dyDescent="0.2">
      <c r="A189">
        <v>188</v>
      </c>
      <c r="B189">
        <v>47</v>
      </c>
      <c r="C189" t="s">
        <v>16</v>
      </c>
      <c r="D189">
        <v>13</v>
      </c>
      <c r="E189">
        <v>113.2</v>
      </c>
      <c r="F189" t="s">
        <v>18</v>
      </c>
      <c r="G189" t="s">
        <v>22</v>
      </c>
      <c r="H189">
        <v>3</v>
      </c>
      <c r="I189">
        <v>66.099999999999994</v>
      </c>
      <c r="J189">
        <v>3</v>
      </c>
      <c r="K189">
        <v>1444.26</v>
      </c>
      <c r="L189">
        <v>0</v>
      </c>
      <c r="Q189" t="s">
        <v>18</v>
      </c>
      <c r="R189">
        <v>0</v>
      </c>
    </row>
    <row r="190" spans="1:18" x14ac:dyDescent="0.2">
      <c r="A190">
        <v>189</v>
      </c>
      <c r="B190">
        <v>28</v>
      </c>
      <c r="C190" t="s">
        <v>15</v>
      </c>
      <c r="D190">
        <v>58</v>
      </c>
      <c r="E190">
        <v>52.06</v>
      </c>
      <c r="F190" t="s">
        <v>20</v>
      </c>
      <c r="G190" t="s">
        <v>24</v>
      </c>
      <c r="H190">
        <v>1</v>
      </c>
      <c r="I190">
        <v>23.6</v>
      </c>
      <c r="J190">
        <v>7</v>
      </c>
      <c r="K190">
        <v>2757.4</v>
      </c>
      <c r="L190">
        <v>1</v>
      </c>
      <c r="Q190" t="s">
        <v>20</v>
      </c>
      <c r="R190">
        <v>1</v>
      </c>
    </row>
    <row r="191" spans="1:18" x14ac:dyDescent="0.2">
      <c r="A191">
        <v>190</v>
      </c>
      <c r="B191">
        <v>45</v>
      </c>
      <c r="C191" t="s">
        <v>16</v>
      </c>
      <c r="D191">
        <v>20</v>
      </c>
      <c r="E191">
        <v>79.39</v>
      </c>
      <c r="F191" t="s">
        <v>18</v>
      </c>
      <c r="G191" t="s">
        <v>23</v>
      </c>
      <c r="H191">
        <v>1</v>
      </c>
      <c r="I191">
        <v>90.2</v>
      </c>
      <c r="J191">
        <v>7</v>
      </c>
      <c r="K191">
        <v>1539.79</v>
      </c>
      <c r="L191">
        <v>0</v>
      </c>
      <c r="Q191" t="s">
        <v>18</v>
      </c>
      <c r="R191">
        <v>0</v>
      </c>
    </row>
    <row r="192" spans="1:18" x14ac:dyDescent="0.2">
      <c r="A192">
        <v>191</v>
      </c>
      <c r="B192">
        <v>42</v>
      </c>
      <c r="C192" t="s">
        <v>15</v>
      </c>
      <c r="D192">
        <v>61</v>
      </c>
      <c r="E192">
        <v>56.92</v>
      </c>
      <c r="F192" t="s">
        <v>20</v>
      </c>
      <c r="G192" t="s">
        <v>22</v>
      </c>
      <c r="H192">
        <v>4</v>
      </c>
      <c r="I192">
        <v>54.4</v>
      </c>
      <c r="J192">
        <v>9</v>
      </c>
      <c r="K192">
        <v>3201.99</v>
      </c>
      <c r="L192">
        <v>0</v>
      </c>
      <c r="Q192" t="s">
        <v>20</v>
      </c>
      <c r="R192">
        <v>0</v>
      </c>
    </row>
    <row r="193" spans="1:18" x14ac:dyDescent="0.2">
      <c r="A193">
        <v>192</v>
      </c>
      <c r="B193">
        <v>56</v>
      </c>
      <c r="C193" t="s">
        <v>15</v>
      </c>
      <c r="D193">
        <v>39</v>
      </c>
      <c r="E193">
        <v>65.430000000000007</v>
      </c>
      <c r="F193" t="s">
        <v>20</v>
      </c>
      <c r="G193" t="s">
        <v>22</v>
      </c>
      <c r="H193">
        <v>2</v>
      </c>
      <c r="I193">
        <v>47.5</v>
      </c>
      <c r="J193">
        <v>7</v>
      </c>
      <c r="K193">
        <v>2709.08</v>
      </c>
      <c r="L193">
        <v>0</v>
      </c>
      <c r="Q193" t="s">
        <v>20</v>
      </c>
      <c r="R193">
        <v>0</v>
      </c>
    </row>
    <row r="194" spans="1:18" x14ac:dyDescent="0.2">
      <c r="A194">
        <v>193</v>
      </c>
      <c r="B194">
        <v>50</v>
      </c>
      <c r="C194" t="s">
        <v>16</v>
      </c>
      <c r="D194">
        <v>1</v>
      </c>
      <c r="E194">
        <v>74.86</v>
      </c>
      <c r="F194" t="s">
        <v>18</v>
      </c>
      <c r="G194" t="s">
        <v>22</v>
      </c>
      <c r="H194">
        <v>1</v>
      </c>
      <c r="I194">
        <v>58</v>
      </c>
      <c r="J194">
        <v>3</v>
      </c>
      <c r="K194">
        <v>81.56</v>
      </c>
      <c r="L194">
        <v>0</v>
      </c>
      <c r="Q194" t="s">
        <v>18</v>
      </c>
      <c r="R194">
        <v>0</v>
      </c>
    </row>
    <row r="195" spans="1:18" x14ac:dyDescent="0.2">
      <c r="A195">
        <v>194</v>
      </c>
      <c r="B195">
        <v>18</v>
      </c>
      <c r="C195" t="s">
        <v>15</v>
      </c>
      <c r="D195">
        <v>3</v>
      </c>
      <c r="E195">
        <v>74.89</v>
      </c>
      <c r="F195" t="s">
        <v>20</v>
      </c>
      <c r="G195" t="s">
        <v>23</v>
      </c>
      <c r="H195">
        <v>2</v>
      </c>
      <c r="I195">
        <v>20.8</v>
      </c>
      <c r="J195">
        <v>1</v>
      </c>
      <c r="K195">
        <v>205.45</v>
      </c>
      <c r="L195">
        <v>1</v>
      </c>
      <c r="Q195" t="s">
        <v>20</v>
      </c>
      <c r="R195">
        <v>1</v>
      </c>
    </row>
    <row r="196" spans="1:18" x14ac:dyDescent="0.2">
      <c r="A196">
        <v>195</v>
      </c>
      <c r="B196">
        <v>44</v>
      </c>
      <c r="C196" t="s">
        <v>15</v>
      </c>
      <c r="D196">
        <v>62</v>
      </c>
      <c r="E196">
        <v>40.17</v>
      </c>
      <c r="F196" t="s">
        <v>18</v>
      </c>
      <c r="G196" t="s">
        <v>23</v>
      </c>
      <c r="H196">
        <v>3</v>
      </c>
      <c r="I196">
        <v>63.3</v>
      </c>
      <c r="J196">
        <v>8</v>
      </c>
      <c r="K196">
        <v>2717.24</v>
      </c>
      <c r="L196">
        <v>0</v>
      </c>
      <c r="Q196" t="s">
        <v>18</v>
      </c>
      <c r="R196">
        <v>0</v>
      </c>
    </row>
    <row r="197" spans="1:18" x14ac:dyDescent="0.2">
      <c r="A197">
        <v>196</v>
      </c>
      <c r="B197">
        <v>69</v>
      </c>
      <c r="C197" t="s">
        <v>15</v>
      </c>
      <c r="D197">
        <v>63</v>
      </c>
      <c r="E197">
        <v>88.46</v>
      </c>
      <c r="F197" t="s">
        <v>20</v>
      </c>
      <c r="G197" t="s">
        <v>23</v>
      </c>
      <c r="H197">
        <v>1</v>
      </c>
      <c r="I197">
        <v>39.5</v>
      </c>
      <c r="J197">
        <v>3</v>
      </c>
      <c r="K197">
        <v>5598.14</v>
      </c>
      <c r="L197">
        <v>0</v>
      </c>
      <c r="Q197" t="s">
        <v>20</v>
      </c>
      <c r="R197">
        <v>0</v>
      </c>
    </row>
    <row r="198" spans="1:18" x14ac:dyDescent="0.2">
      <c r="A198">
        <v>197</v>
      </c>
      <c r="B198">
        <v>30</v>
      </c>
      <c r="C198" t="s">
        <v>15</v>
      </c>
      <c r="D198">
        <v>25</v>
      </c>
      <c r="E198">
        <v>28.79</v>
      </c>
      <c r="F198" t="s">
        <v>20</v>
      </c>
      <c r="G198" t="s">
        <v>23</v>
      </c>
      <c r="H198">
        <v>3</v>
      </c>
      <c r="I198">
        <v>90.2</v>
      </c>
      <c r="J198">
        <v>8</v>
      </c>
      <c r="K198">
        <v>690.9</v>
      </c>
      <c r="L198">
        <v>1</v>
      </c>
      <c r="Q198" t="s">
        <v>20</v>
      </c>
      <c r="R198">
        <v>1</v>
      </c>
    </row>
    <row r="199" spans="1:18" x14ac:dyDescent="0.2">
      <c r="A199">
        <v>198</v>
      </c>
      <c r="B199">
        <v>58</v>
      </c>
      <c r="C199" t="s">
        <v>15</v>
      </c>
      <c r="D199">
        <v>56</v>
      </c>
      <c r="E199">
        <v>33.880000000000003</v>
      </c>
      <c r="F199" t="s">
        <v>19</v>
      </c>
      <c r="G199" t="s">
        <v>23</v>
      </c>
      <c r="H199">
        <v>0</v>
      </c>
      <c r="I199">
        <v>21</v>
      </c>
      <c r="J199">
        <v>8</v>
      </c>
      <c r="K199">
        <v>1736.72</v>
      </c>
      <c r="L199">
        <v>0</v>
      </c>
      <c r="Q199" t="s">
        <v>19</v>
      </c>
      <c r="R199">
        <v>0</v>
      </c>
    </row>
    <row r="200" spans="1:18" x14ac:dyDescent="0.2">
      <c r="A200">
        <v>199</v>
      </c>
      <c r="B200">
        <v>20</v>
      </c>
      <c r="C200" t="s">
        <v>16</v>
      </c>
      <c r="D200">
        <v>33</v>
      </c>
      <c r="E200">
        <v>20.27</v>
      </c>
      <c r="F200" t="s">
        <v>20</v>
      </c>
      <c r="G200" t="s">
        <v>22</v>
      </c>
      <c r="H200">
        <v>0</v>
      </c>
      <c r="I200">
        <v>53.2</v>
      </c>
      <c r="J200">
        <v>5</v>
      </c>
      <c r="K200">
        <v>668.99</v>
      </c>
      <c r="L200">
        <v>0</v>
      </c>
      <c r="Q200" t="s">
        <v>20</v>
      </c>
      <c r="R200">
        <v>0</v>
      </c>
    </row>
    <row r="201" spans="1:18" x14ac:dyDescent="0.2">
      <c r="A201">
        <v>200</v>
      </c>
      <c r="B201">
        <v>56</v>
      </c>
      <c r="C201" t="s">
        <v>15</v>
      </c>
      <c r="D201">
        <v>38</v>
      </c>
      <c r="E201">
        <v>31.67</v>
      </c>
      <c r="F201" t="s">
        <v>20</v>
      </c>
      <c r="G201" t="s">
        <v>23</v>
      </c>
      <c r="H201">
        <v>1</v>
      </c>
      <c r="I201">
        <v>61.8</v>
      </c>
      <c r="J201">
        <v>1</v>
      </c>
      <c r="K201">
        <v>1274.3499999999999</v>
      </c>
      <c r="L201">
        <v>1</v>
      </c>
      <c r="Q201" t="s">
        <v>20</v>
      </c>
      <c r="R201">
        <v>1</v>
      </c>
    </row>
    <row r="202" spans="1:18" x14ac:dyDescent="0.2">
      <c r="A202">
        <v>201</v>
      </c>
      <c r="B202">
        <v>23</v>
      </c>
      <c r="C202" t="s">
        <v>16</v>
      </c>
      <c r="D202">
        <v>6</v>
      </c>
      <c r="E202">
        <v>67.319999999999993</v>
      </c>
      <c r="F202" t="s">
        <v>18</v>
      </c>
      <c r="G202" t="s">
        <v>22</v>
      </c>
      <c r="H202">
        <v>2</v>
      </c>
      <c r="I202">
        <v>8.1999999999999993</v>
      </c>
      <c r="J202">
        <v>10</v>
      </c>
      <c r="K202">
        <v>420.65</v>
      </c>
      <c r="L202">
        <v>0</v>
      </c>
      <c r="Q202" t="s">
        <v>18</v>
      </c>
      <c r="R202">
        <v>0</v>
      </c>
    </row>
    <row r="203" spans="1:18" x14ac:dyDescent="0.2">
      <c r="A203">
        <v>202</v>
      </c>
      <c r="B203">
        <v>25</v>
      </c>
      <c r="C203" t="s">
        <v>15</v>
      </c>
      <c r="D203">
        <v>58</v>
      </c>
      <c r="E203">
        <v>80.61</v>
      </c>
      <c r="F203" t="s">
        <v>20</v>
      </c>
      <c r="G203" t="s">
        <v>23</v>
      </c>
      <c r="H203">
        <v>1</v>
      </c>
      <c r="I203">
        <v>39.6</v>
      </c>
      <c r="J203">
        <v>7</v>
      </c>
      <c r="K203">
        <v>4254.8100000000004</v>
      </c>
      <c r="L203">
        <v>0</v>
      </c>
      <c r="Q203" t="s">
        <v>20</v>
      </c>
      <c r="R203">
        <v>0</v>
      </c>
    </row>
    <row r="204" spans="1:18" x14ac:dyDescent="0.2">
      <c r="A204">
        <v>203</v>
      </c>
      <c r="B204">
        <v>44</v>
      </c>
      <c r="C204" t="s">
        <v>16</v>
      </c>
      <c r="D204">
        <v>44</v>
      </c>
      <c r="E204">
        <v>99.43</v>
      </c>
      <c r="F204" t="s">
        <v>18</v>
      </c>
      <c r="G204" t="s">
        <v>24</v>
      </c>
      <c r="H204">
        <v>3</v>
      </c>
      <c r="I204">
        <v>74.599999999999994</v>
      </c>
      <c r="J204">
        <v>10</v>
      </c>
      <c r="K204">
        <v>4001.22</v>
      </c>
      <c r="L204">
        <v>1</v>
      </c>
      <c r="Q204" t="s">
        <v>18</v>
      </c>
      <c r="R204">
        <v>1</v>
      </c>
    </row>
    <row r="205" spans="1:18" x14ac:dyDescent="0.2">
      <c r="A205">
        <v>204</v>
      </c>
      <c r="B205">
        <v>26</v>
      </c>
      <c r="C205" t="s">
        <v>16</v>
      </c>
      <c r="D205">
        <v>45</v>
      </c>
      <c r="E205">
        <v>30.67</v>
      </c>
      <c r="F205" t="s">
        <v>20</v>
      </c>
      <c r="G205" t="s">
        <v>22</v>
      </c>
      <c r="H205">
        <v>4</v>
      </c>
      <c r="I205">
        <v>82.9</v>
      </c>
      <c r="J205">
        <v>5</v>
      </c>
      <c r="K205">
        <v>1353.34</v>
      </c>
      <c r="L205">
        <v>0</v>
      </c>
      <c r="Q205" t="s">
        <v>20</v>
      </c>
      <c r="R205">
        <v>0</v>
      </c>
    </row>
    <row r="206" spans="1:18" x14ac:dyDescent="0.2">
      <c r="A206">
        <v>205</v>
      </c>
      <c r="B206">
        <v>54</v>
      </c>
      <c r="C206" t="s">
        <v>15</v>
      </c>
      <c r="D206">
        <v>32</v>
      </c>
      <c r="E206">
        <v>105.07</v>
      </c>
      <c r="F206" t="s">
        <v>19</v>
      </c>
      <c r="G206" t="s">
        <v>24</v>
      </c>
      <c r="H206">
        <v>0</v>
      </c>
      <c r="I206">
        <v>34.799999999999997</v>
      </c>
      <c r="J206">
        <v>8</v>
      </c>
      <c r="K206">
        <v>3224.58</v>
      </c>
      <c r="L206">
        <v>0</v>
      </c>
      <c r="Q206" t="s">
        <v>19</v>
      </c>
      <c r="R206">
        <v>0</v>
      </c>
    </row>
    <row r="207" spans="1:18" x14ac:dyDescent="0.2">
      <c r="A207">
        <v>206</v>
      </c>
      <c r="B207">
        <v>50</v>
      </c>
      <c r="C207" t="s">
        <v>15</v>
      </c>
      <c r="D207">
        <v>45</v>
      </c>
      <c r="E207">
        <v>94.6</v>
      </c>
      <c r="F207" t="s">
        <v>18</v>
      </c>
      <c r="G207" t="s">
        <v>22</v>
      </c>
      <c r="H207">
        <v>3</v>
      </c>
      <c r="I207">
        <v>80.900000000000006</v>
      </c>
      <c r="J207">
        <v>9</v>
      </c>
      <c r="K207">
        <v>4029.15</v>
      </c>
      <c r="L207">
        <v>0</v>
      </c>
      <c r="Q207" t="s">
        <v>18</v>
      </c>
      <c r="R207">
        <v>0</v>
      </c>
    </row>
    <row r="208" spans="1:18" x14ac:dyDescent="0.2">
      <c r="A208">
        <v>207</v>
      </c>
      <c r="B208">
        <v>68</v>
      </c>
      <c r="C208" t="s">
        <v>15</v>
      </c>
      <c r="D208">
        <v>61</v>
      </c>
      <c r="E208">
        <v>60.85</v>
      </c>
      <c r="F208" t="s">
        <v>18</v>
      </c>
      <c r="G208" t="s">
        <v>24</v>
      </c>
      <c r="H208">
        <v>2</v>
      </c>
      <c r="I208">
        <v>96.9</v>
      </c>
      <c r="J208">
        <v>7</v>
      </c>
      <c r="K208">
        <v>3549.27</v>
      </c>
      <c r="L208">
        <v>1</v>
      </c>
      <c r="Q208" t="s">
        <v>18</v>
      </c>
      <c r="R208">
        <v>1</v>
      </c>
    </row>
    <row r="209" spans="1:18" x14ac:dyDescent="0.2">
      <c r="A209">
        <v>208</v>
      </c>
      <c r="B209">
        <v>59</v>
      </c>
      <c r="C209" t="s">
        <v>16</v>
      </c>
      <c r="D209">
        <v>47</v>
      </c>
      <c r="E209">
        <v>113.29</v>
      </c>
      <c r="F209" t="s">
        <v>19</v>
      </c>
      <c r="G209" t="s">
        <v>23</v>
      </c>
      <c r="H209">
        <v>3</v>
      </c>
      <c r="I209">
        <v>86.4</v>
      </c>
      <c r="J209">
        <v>7</v>
      </c>
      <c r="K209">
        <v>5647.82</v>
      </c>
      <c r="L209">
        <v>1</v>
      </c>
      <c r="Q209" t="s">
        <v>19</v>
      </c>
      <c r="R209">
        <v>1</v>
      </c>
    </row>
    <row r="210" spans="1:18" x14ac:dyDescent="0.2">
      <c r="A210">
        <v>209</v>
      </c>
      <c r="B210">
        <v>61</v>
      </c>
      <c r="C210" t="s">
        <v>15</v>
      </c>
      <c r="D210">
        <v>21</v>
      </c>
      <c r="E210">
        <v>119.09</v>
      </c>
      <c r="F210" t="s">
        <v>20</v>
      </c>
      <c r="G210" t="s">
        <v>23</v>
      </c>
      <c r="H210">
        <v>1</v>
      </c>
      <c r="I210">
        <v>16.2</v>
      </c>
      <c r="J210">
        <v>1</v>
      </c>
      <c r="K210">
        <v>2715.58</v>
      </c>
      <c r="L210">
        <v>1</v>
      </c>
      <c r="Q210" t="s">
        <v>20</v>
      </c>
      <c r="R210">
        <v>1</v>
      </c>
    </row>
    <row r="211" spans="1:18" x14ac:dyDescent="0.2">
      <c r="A211">
        <v>210</v>
      </c>
      <c r="B211">
        <v>41</v>
      </c>
      <c r="C211" t="s">
        <v>16</v>
      </c>
      <c r="D211">
        <v>36</v>
      </c>
      <c r="E211">
        <v>40.5</v>
      </c>
      <c r="F211" t="s">
        <v>19</v>
      </c>
      <c r="G211" t="s">
        <v>23</v>
      </c>
      <c r="H211">
        <v>3</v>
      </c>
      <c r="I211">
        <v>75.3</v>
      </c>
      <c r="J211">
        <v>4</v>
      </c>
      <c r="K211">
        <v>1430.33</v>
      </c>
      <c r="L211">
        <v>0</v>
      </c>
      <c r="Q211" t="s">
        <v>19</v>
      </c>
      <c r="R211">
        <v>0</v>
      </c>
    </row>
    <row r="212" spans="1:18" x14ac:dyDescent="0.2">
      <c r="A212">
        <v>211</v>
      </c>
      <c r="B212">
        <v>32</v>
      </c>
      <c r="C212" t="s">
        <v>16</v>
      </c>
      <c r="D212">
        <v>19</v>
      </c>
      <c r="E212">
        <v>57.92</v>
      </c>
      <c r="F212" t="s">
        <v>20</v>
      </c>
      <c r="G212" t="s">
        <v>22</v>
      </c>
      <c r="H212">
        <v>2</v>
      </c>
      <c r="I212">
        <v>35.4</v>
      </c>
      <c r="J212">
        <v>2</v>
      </c>
      <c r="K212">
        <v>1189.8599999999999</v>
      </c>
      <c r="L212">
        <v>1</v>
      </c>
      <c r="Q212" t="s">
        <v>20</v>
      </c>
      <c r="R212">
        <v>1</v>
      </c>
    </row>
    <row r="213" spans="1:18" x14ac:dyDescent="0.2">
      <c r="A213">
        <v>212</v>
      </c>
      <c r="B213">
        <v>49</v>
      </c>
      <c r="C213" t="s">
        <v>16</v>
      </c>
      <c r="D213">
        <v>20</v>
      </c>
      <c r="E213">
        <v>112.64</v>
      </c>
      <c r="F213" t="s">
        <v>20</v>
      </c>
      <c r="G213" t="s">
        <v>24</v>
      </c>
      <c r="H213">
        <v>0</v>
      </c>
      <c r="I213">
        <v>98.9</v>
      </c>
      <c r="J213">
        <v>2</v>
      </c>
      <c r="K213">
        <v>2172.37</v>
      </c>
      <c r="L213">
        <v>1</v>
      </c>
      <c r="Q213" t="s">
        <v>20</v>
      </c>
      <c r="R213">
        <v>1</v>
      </c>
    </row>
    <row r="214" spans="1:18" x14ac:dyDescent="0.2">
      <c r="A214">
        <v>213</v>
      </c>
      <c r="B214">
        <v>49</v>
      </c>
      <c r="C214" t="s">
        <v>15</v>
      </c>
      <c r="D214">
        <v>57</v>
      </c>
      <c r="E214">
        <v>92.16</v>
      </c>
      <c r="F214" t="s">
        <v>20</v>
      </c>
      <c r="G214" t="s">
        <v>23</v>
      </c>
      <c r="H214">
        <v>3</v>
      </c>
      <c r="I214">
        <v>51.1</v>
      </c>
      <c r="J214">
        <v>2</v>
      </c>
      <c r="K214">
        <v>5228.3599999999997</v>
      </c>
      <c r="L214">
        <v>1</v>
      </c>
      <c r="Q214" t="s">
        <v>20</v>
      </c>
      <c r="R214">
        <v>1</v>
      </c>
    </row>
    <row r="215" spans="1:18" x14ac:dyDescent="0.2">
      <c r="A215">
        <v>214</v>
      </c>
      <c r="B215">
        <v>41</v>
      </c>
      <c r="C215" t="s">
        <v>15</v>
      </c>
      <c r="D215">
        <v>18</v>
      </c>
      <c r="E215">
        <v>24.81</v>
      </c>
      <c r="F215" t="s">
        <v>20</v>
      </c>
      <c r="G215" t="s">
        <v>24</v>
      </c>
      <c r="H215">
        <v>0</v>
      </c>
      <c r="I215">
        <v>16.600000000000001</v>
      </c>
      <c r="J215">
        <v>4</v>
      </c>
      <c r="K215">
        <v>422.11</v>
      </c>
      <c r="L215">
        <v>1</v>
      </c>
      <c r="Q215" t="s">
        <v>20</v>
      </c>
      <c r="R215">
        <v>1</v>
      </c>
    </row>
    <row r="216" spans="1:18" x14ac:dyDescent="0.2">
      <c r="A216">
        <v>215</v>
      </c>
      <c r="B216">
        <v>58</v>
      </c>
      <c r="C216" t="s">
        <v>16</v>
      </c>
      <c r="D216">
        <v>47</v>
      </c>
      <c r="E216">
        <v>98.15</v>
      </c>
      <c r="F216" t="s">
        <v>20</v>
      </c>
      <c r="G216" t="s">
        <v>24</v>
      </c>
      <c r="H216">
        <v>2</v>
      </c>
      <c r="I216">
        <v>73.900000000000006</v>
      </c>
      <c r="J216">
        <v>1</v>
      </c>
      <c r="K216">
        <v>4742.6499999999996</v>
      </c>
      <c r="L216">
        <v>0</v>
      </c>
      <c r="Q216" t="s">
        <v>20</v>
      </c>
      <c r="R216">
        <v>0</v>
      </c>
    </row>
    <row r="217" spans="1:18" x14ac:dyDescent="0.2">
      <c r="A217">
        <v>216</v>
      </c>
      <c r="B217">
        <v>69</v>
      </c>
      <c r="C217" t="s">
        <v>16</v>
      </c>
      <c r="D217">
        <v>49</v>
      </c>
      <c r="E217">
        <v>102.79</v>
      </c>
      <c r="F217" t="s">
        <v>18</v>
      </c>
      <c r="G217" t="s">
        <v>23</v>
      </c>
      <c r="H217">
        <v>5</v>
      </c>
      <c r="I217">
        <v>35.700000000000003</v>
      </c>
      <c r="J217">
        <v>4</v>
      </c>
      <c r="K217">
        <v>5519.21</v>
      </c>
      <c r="L217">
        <v>0</v>
      </c>
      <c r="Q217" t="s">
        <v>18</v>
      </c>
      <c r="R217">
        <v>0</v>
      </c>
    </row>
    <row r="218" spans="1:18" x14ac:dyDescent="0.2">
      <c r="A218">
        <v>217</v>
      </c>
      <c r="B218">
        <v>66</v>
      </c>
      <c r="C218" t="s">
        <v>15</v>
      </c>
      <c r="D218">
        <v>14</v>
      </c>
      <c r="E218">
        <v>95.05</v>
      </c>
      <c r="F218" t="s">
        <v>18</v>
      </c>
      <c r="G218" t="s">
        <v>23</v>
      </c>
      <c r="H218">
        <v>2</v>
      </c>
      <c r="I218">
        <v>99.7</v>
      </c>
      <c r="J218">
        <v>2</v>
      </c>
      <c r="K218">
        <v>1358.24</v>
      </c>
      <c r="L218">
        <v>1</v>
      </c>
      <c r="Q218" t="s">
        <v>18</v>
      </c>
      <c r="R218">
        <v>1</v>
      </c>
    </row>
    <row r="219" spans="1:18" x14ac:dyDescent="0.2">
      <c r="A219">
        <v>218</v>
      </c>
      <c r="B219">
        <v>66</v>
      </c>
      <c r="C219" t="s">
        <v>16</v>
      </c>
      <c r="D219">
        <v>15</v>
      </c>
      <c r="E219">
        <v>99.95</v>
      </c>
      <c r="F219" t="s">
        <v>19</v>
      </c>
      <c r="G219" t="s">
        <v>24</v>
      </c>
      <c r="H219">
        <v>1</v>
      </c>
      <c r="I219">
        <v>98.1</v>
      </c>
      <c r="J219">
        <v>5</v>
      </c>
      <c r="K219">
        <v>1456.62</v>
      </c>
      <c r="L219">
        <v>0</v>
      </c>
      <c r="Q219" t="s">
        <v>19</v>
      </c>
      <c r="R219">
        <v>0</v>
      </c>
    </row>
    <row r="220" spans="1:18" x14ac:dyDescent="0.2">
      <c r="A220">
        <v>219</v>
      </c>
      <c r="B220">
        <v>69</v>
      </c>
      <c r="C220" t="s">
        <v>15</v>
      </c>
      <c r="D220">
        <v>31</v>
      </c>
      <c r="E220">
        <v>102.51</v>
      </c>
      <c r="F220" t="s">
        <v>20</v>
      </c>
      <c r="G220" t="s">
        <v>23</v>
      </c>
      <c r="H220">
        <v>3</v>
      </c>
      <c r="I220">
        <v>67.3</v>
      </c>
      <c r="J220">
        <v>3</v>
      </c>
      <c r="K220">
        <v>3271.76</v>
      </c>
      <c r="L220">
        <v>1</v>
      </c>
      <c r="Q220" t="s">
        <v>20</v>
      </c>
      <c r="R220">
        <v>1</v>
      </c>
    </row>
    <row r="221" spans="1:18" x14ac:dyDescent="0.2">
      <c r="A221">
        <v>220</v>
      </c>
      <c r="B221">
        <v>29</v>
      </c>
      <c r="C221" t="s">
        <v>16</v>
      </c>
      <c r="D221">
        <v>1</v>
      </c>
      <c r="E221">
        <v>38.64</v>
      </c>
      <c r="F221" t="s">
        <v>18</v>
      </c>
      <c r="G221" t="s">
        <v>23</v>
      </c>
      <c r="H221">
        <v>2</v>
      </c>
      <c r="I221">
        <v>17.3</v>
      </c>
      <c r="J221">
        <v>8</v>
      </c>
      <c r="K221">
        <v>35.729999999999997</v>
      </c>
      <c r="L221">
        <v>0</v>
      </c>
      <c r="Q221" t="s">
        <v>18</v>
      </c>
      <c r="R221">
        <v>0</v>
      </c>
    </row>
    <row r="222" spans="1:18" x14ac:dyDescent="0.2">
      <c r="A222">
        <v>221</v>
      </c>
      <c r="B222">
        <v>56</v>
      </c>
      <c r="C222" t="s">
        <v>15</v>
      </c>
      <c r="D222">
        <v>54</v>
      </c>
      <c r="E222">
        <v>43.57</v>
      </c>
      <c r="F222" t="s">
        <v>20</v>
      </c>
      <c r="G222" t="s">
        <v>23</v>
      </c>
      <c r="H222">
        <v>1</v>
      </c>
      <c r="I222">
        <v>70.3</v>
      </c>
      <c r="J222">
        <v>4</v>
      </c>
      <c r="K222">
        <v>2535.67</v>
      </c>
      <c r="L222">
        <v>0</v>
      </c>
      <c r="Q222" t="s">
        <v>20</v>
      </c>
      <c r="R222">
        <v>0</v>
      </c>
    </row>
    <row r="223" spans="1:18" x14ac:dyDescent="0.2">
      <c r="A223">
        <v>222</v>
      </c>
      <c r="B223">
        <v>19</v>
      </c>
      <c r="C223" t="s">
        <v>16</v>
      </c>
      <c r="D223">
        <v>3</v>
      </c>
      <c r="E223">
        <v>83.38</v>
      </c>
      <c r="F223" t="s">
        <v>20</v>
      </c>
      <c r="G223" t="s">
        <v>22</v>
      </c>
      <c r="H223">
        <v>0</v>
      </c>
      <c r="I223">
        <v>13.8</v>
      </c>
      <c r="J223">
        <v>1</v>
      </c>
      <c r="K223">
        <v>250.29</v>
      </c>
      <c r="L223">
        <v>1</v>
      </c>
      <c r="Q223" t="s">
        <v>20</v>
      </c>
      <c r="R223">
        <v>1</v>
      </c>
    </row>
    <row r="224" spans="1:18" x14ac:dyDescent="0.2">
      <c r="A224">
        <v>223</v>
      </c>
      <c r="B224">
        <v>20</v>
      </c>
      <c r="C224" t="s">
        <v>15</v>
      </c>
      <c r="D224">
        <v>16</v>
      </c>
      <c r="E224">
        <v>110.79</v>
      </c>
      <c r="F224" t="s">
        <v>20</v>
      </c>
      <c r="G224" t="s">
        <v>24</v>
      </c>
      <c r="H224">
        <v>3</v>
      </c>
      <c r="I224">
        <v>7.8</v>
      </c>
      <c r="J224">
        <v>1</v>
      </c>
      <c r="K224">
        <v>1754.68</v>
      </c>
      <c r="L224">
        <v>1</v>
      </c>
      <c r="Q224" t="s">
        <v>20</v>
      </c>
      <c r="R224">
        <v>1</v>
      </c>
    </row>
    <row r="225" spans="1:18" x14ac:dyDescent="0.2">
      <c r="A225">
        <v>224</v>
      </c>
      <c r="B225">
        <v>66</v>
      </c>
      <c r="C225" t="s">
        <v>16</v>
      </c>
      <c r="D225">
        <v>57</v>
      </c>
      <c r="E225">
        <v>51.62</v>
      </c>
      <c r="F225" t="s">
        <v>20</v>
      </c>
      <c r="G225" t="s">
        <v>24</v>
      </c>
      <c r="H225">
        <v>0</v>
      </c>
      <c r="I225">
        <v>83.2</v>
      </c>
      <c r="J225">
        <v>10</v>
      </c>
      <c r="K225">
        <v>2992.87</v>
      </c>
      <c r="L225">
        <v>1</v>
      </c>
      <c r="Q225" t="s">
        <v>20</v>
      </c>
      <c r="R225">
        <v>1</v>
      </c>
    </row>
    <row r="226" spans="1:18" x14ac:dyDescent="0.2">
      <c r="A226">
        <v>225</v>
      </c>
      <c r="B226">
        <v>54</v>
      </c>
      <c r="C226" t="s">
        <v>15</v>
      </c>
      <c r="D226">
        <v>12</v>
      </c>
      <c r="E226">
        <v>78.83</v>
      </c>
      <c r="F226" t="s">
        <v>18</v>
      </c>
      <c r="G226" t="s">
        <v>22</v>
      </c>
      <c r="H226">
        <v>1</v>
      </c>
      <c r="I226">
        <v>24.9</v>
      </c>
      <c r="J226">
        <v>3</v>
      </c>
      <c r="K226">
        <v>969.57</v>
      </c>
      <c r="L226">
        <v>0</v>
      </c>
      <c r="Q226" t="s">
        <v>18</v>
      </c>
      <c r="R226">
        <v>0</v>
      </c>
    </row>
    <row r="227" spans="1:18" x14ac:dyDescent="0.2">
      <c r="A227">
        <v>226</v>
      </c>
      <c r="B227">
        <v>66</v>
      </c>
      <c r="C227" t="s">
        <v>15</v>
      </c>
      <c r="D227">
        <v>16</v>
      </c>
      <c r="E227">
        <v>88.3</v>
      </c>
      <c r="F227" t="s">
        <v>20</v>
      </c>
      <c r="G227" t="s">
        <v>24</v>
      </c>
      <c r="H227">
        <v>4</v>
      </c>
      <c r="I227">
        <v>41</v>
      </c>
      <c r="J227">
        <v>9</v>
      </c>
      <c r="K227">
        <v>1291.8</v>
      </c>
      <c r="L227">
        <v>0</v>
      </c>
      <c r="Q227" t="s">
        <v>20</v>
      </c>
      <c r="R227">
        <v>0</v>
      </c>
    </row>
    <row r="228" spans="1:18" x14ac:dyDescent="0.2">
      <c r="A228">
        <v>227</v>
      </c>
      <c r="B228">
        <v>34</v>
      </c>
      <c r="C228" t="s">
        <v>16</v>
      </c>
      <c r="D228">
        <v>24</v>
      </c>
      <c r="E228">
        <v>65.19</v>
      </c>
      <c r="F228" t="s">
        <v>20</v>
      </c>
      <c r="G228" t="s">
        <v>23</v>
      </c>
      <c r="H228">
        <v>0</v>
      </c>
      <c r="I228">
        <v>97.5</v>
      </c>
      <c r="J228">
        <v>7</v>
      </c>
      <c r="K228">
        <v>1621.7</v>
      </c>
      <c r="L228">
        <v>1</v>
      </c>
      <c r="Q228" t="s">
        <v>20</v>
      </c>
      <c r="R228">
        <v>1</v>
      </c>
    </row>
    <row r="229" spans="1:18" x14ac:dyDescent="0.2">
      <c r="A229">
        <v>228</v>
      </c>
      <c r="B229">
        <v>66</v>
      </c>
      <c r="C229" t="s">
        <v>16</v>
      </c>
      <c r="D229">
        <v>28</v>
      </c>
      <c r="E229">
        <v>91.38</v>
      </c>
      <c r="F229" t="s">
        <v>20</v>
      </c>
      <c r="G229" t="s">
        <v>24</v>
      </c>
      <c r="H229">
        <v>0</v>
      </c>
      <c r="I229">
        <v>37</v>
      </c>
      <c r="J229">
        <v>2</v>
      </c>
      <c r="K229">
        <v>2426.58</v>
      </c>
      <c r="L229">
        <v>0</v>
      </c>
      <c r="Q229" t="s">
        <v>20</v>
      </c>
      <c r="R229">
        <v>0</v>
      </c>
    </row>
    <row r="230" spans="1:18" x14ac:dyDescent="0.2">
      <c r="A230">
        <v>229</v>
      </c>
      <c r="B230">
        <v>19</v>
      </c>
      <c r="C230" t="s">
        <v>15</v>
      </c>
      <c r="D230">
        <v>8</v>
      </c>
      <c r="E230">
        <v>109.97</v>
      </c>
      <c r="F230" t="s">
        <v>20</v>
      </c>
      <c r="G230" t="s">
        <v>23</v>
      </c>
      <c r="H230">
        <v>1</v>
      </c>
      <c r="I230">
        <v>33.200000000000003</v>
      </c>
      <c r="J230">
        <v>9</v>
      </c>
      <c r="K230">
        <v>917.41</v>
      </c>
      <c r="L230">
        <v>1</v>
      </c>
      <c r="Q230" t="s">
        <v>20</v>
      </c>
      <c r="R230">
        <v>1</v>
      </c>
    </row>
    <row r="231" spans="1:18" x14ac:dyDescent="0.2">
      <c r="A231">
        <v>230</v>
      </c>
      <c r="B231">
        <v>19</v>
      </c>
      <c r="C231" t="s">
        <v>16</v>
      </c>
      <c r="D231">
        <v>36</v>
      </c>
      <c r="E231">
        <v>82.41</v>
      </c>
      <c r="F231" t="s">
        <v>20</v>
      </c>
      <c r="G231" t="s">
        <v>22</v>
      </c>
      <c r="H231">
        <v>2</v>
      </c>
      <c r="I231">
        <v>92.2</v>
      </c>
      <c r="J231">
        <v>10</v>
      </c>
      <c r="K231">
        <v>3158.14</v>
      </c>
      <c r="L231">
        <v>1</v>
      </c>
      <c r="Q231" t="s">
        <v>20</v>
      </c>
      <c r="R231">
        <v>1</v>
      </c>
    </row>
    <row r="232" spans="1:18" x14ac:dyDescent="0.2">
      <c r="A232">
        <v>231</v>
      </c>
      <c r="B232">
        <v>45</v>
      </c>
      <c r="C232" t="s">
        <v>15</v>
      </c>
      <c r="D232">
        <v>8</v>
      </c>
      <c r="E232">
        <v>73.98</v>
      </c>
      <c r="F232" t="s">
        <v>19</v>
      </c>
      <c r="G232" t="s">
        <v>23</v>
      </c>
      <c r="H232">
        <v>1</v>
      </c>
      <c r="I232">
        <v>15.5</v>
      </c>
      <c r="J232">
        <v>2</v>
      </c>
      <c r="K232">
        <v>627.82000000000005</v>
      </c>
      <c r="L232">
        <v>0</v>
      </c>
      <c r="Q232" t="s">
        <v>19</v>
      </c>
      <c r="R232">
        <v>0</v>
      </c>
    </row>
    <row r="233" spans="1:18" x14ac:dyDescent="0.2">
      <c r="A233">
        <v>232</v>
      </c>
      <c r="B233">
        <v>40</v>
      </c>
      <c r="C233" t="s">
        <v>16</v>
      </c>
      <c r="D233">
        <v>58</v>
      </c>
      <c r="E233">
        <v>63.87</v>
      </c>
      <c r="F233" t="s">
        <v>20</v>
      </c>
      <c r="G233" t="s">
        <v>24</v>
      </c>
      <c r="H233">
        <v>3</v>
      </c>
      <c r="I233">
        <v>77.2</v>
      </c>
      <c r="J233">
        <v>3</v>
      </c>
      <c r="K233">
        <v>3743.36</v>
      </c>
      <c r="L233">
        <v>0</v>
      </c>
      <c r="Q233" t="s">
        <v>20</v>
      </c>
      <c r="R233">
        <v>0</v>
      </c>
    </row>
    <row r="234" spans="1:18" x14ac:dyDescent="0.2">
      <c r="A234">
        <v>233</v>
      </c>
      <c r="B234">
        <v>54</v>
      </c>
      <c r="C234" t="s">
        <v>15</v>
      </c>
      <c r="D234">
        <v>60</v>
      </c>
      <c r="E234">
        <v>77.75</v>
      </c>
      <c r="F234" t="s">
        <v>20</v>
      </c>
      <c r="G234" t="s">
        <v>24</v>
      </c>
      <c r="H234">
        <v>4</v>
      </c>
      <c r="I234">
        <v>98.9</v>
      </c>
      <c r="J234">
        <v>10</v>
      </c>
      <c r="K234">
        <v>4683.82</v>
      </c>
      <c r="L234">
        <v>0</v>
      </c>
      <c r="Q234" t="s">
        <v>20</v>
      </c>
      <c r="R234">
        <v>0</v>
      </c>
    </row>
    <row r="235" spans="1:18" x14ac:dyDescent="0.2">
      <c r="A235">
        <v>234</v>
      </c>
      <c r="B235">
        <v>49</v>
      </c>
      <c r="C235" t="s">
        <v>15</v>
      </c>
      <c r="D235">
        <v>50</v>
      </c>
      <c r="E235">
        <v>55.54</v>
      </c>
      <c r="F235" t="s">
        <v>20</v>
      </c>
      <c r="G235" t="s">
        <v>24</v>
      </c>
      <c r="H235">
        <v>2</v>
      </c>
      <c r="I235">
        <v>90.6</v>
      </c>
      <c r="J235">
        <v>2</v>
      </c>
      <c r="K235">
        <v>2578.65</v>
      </c>
      <c r="L235">
        <v>1</v>
      </c>
      <c r="Q235" t="s">
        <v>20</v>
      </c>
      <c r="R235">
        <v>1</v>
      </c>
    </row>
    <row r="236" spans="1:18" x14ac:dyDescent="0.2">
      <c r="A236">
        <v>235</v>
      </c>
      <c r="B236">
        <v>50</v>
      </c>
      <c r="C236" t="s">
        <v>15</v>
      </c>
      <c r="D236">
        <v>28</v>
      </c>
      <c r="E236">
        <v>59.15</v>
      </c>
      <c r="F236" t="s">
        <v>18</v>
      </c>
      <c r="G236" t="s">
        <v>22</v>
      </c>
      <c r="H236">
        <v>3</v>
      </c>
      <c r="I236">
        <v>66.900000000000006</v>
      </c>
      <c r="J236">
        <v>3</v>
      </c>
      <c r="K236">
        <v>1747.41</v>
      </c>
      <c r="L236">
        <v>1</v>
      </c>
      <c r="Q236" t="s">
        <v>18</v>
      </c>
      <c r="R236">
        <v>1</v>
      </c>
    </row>
    <row r="237" spans="1:18" x14ac:dyDescent="0.2">
      <c r="A237">
        <v>236</v>
      </c>
      <c r="B237">
        <v>18</v>
      </c>
      <c r="C237" t="s">
        <v>15</v>
      </c>
      <c r="D237">
        <v>41</v>
      </c>
      <c r="E237">
        <v>73.19</v>
      </c>
      <c r="F237" t="s">
        <v>19</v>
      </c>
      <c r="G237" t="s">
        <v>22</v>
      </c>
      <c r="H237">
        <v>0</v>
      </c>
      <c r="I237">
        <v>34.799999999999997</v>
      </c>
      <c r="J237">
        <v>6</v>
      </c>
      <c r="K237">
        <v>2863.6</v>
      </c>
      <c r="L237">
        <v>0</v>
      </c>
      <c r="Q237" t="s">
        <v>19</v>
      </c>
      <c r="R237">
        <v>0</v>
      </c>
    </row>
    <row r="238" spans="1:18" x14ac:dyDescent="0.2">
      <c r="A238">
        <v>237</v>
      </c>
      <c r="B238">
        <v>36</v>
      </c>
      <c r="C238" t="s">
        <v>15</v>
      </c>
      <c r="D238">
        <v>64</v>
      </c>
      <c r="E238">
        <v>26.66</v>
      </c>
      <c r="F238" t="s">
        <v>18</v>
      </c>
      <c r="G238" t="s">
        <v>24</v>
      </c>
      <c r="H238">
        <v>2</v>
      </c>
      <c r="I238">
        <v>29.2</v>
      </c>
      <c r="J238">
        <v>9</v>
      </c>
      <c r="K238">
        <v>1705.11</v>
      </c>
      <c r="L238">
        <v>0</v>
      </c>
      <c r="Q238" t="s">
        <v>18</v>
      </c>
      <c r="R238">
        <v>0</v>
      </c>
    </row>
    <row r="239" spans="1:18" x14ac:dyDescent="0.2">
      <c r="A239">
        <v>238</v>
      </c>
      <c r="B239">
        <v>19</v>
      </c>
      <c r="C239" t="s">
        <v>15</v>
      </c>
      <c r="D239">
        <v>27</v>
      </c>
      <c r="E239">
        <v>42.9</v>
      </c>
      <c r="F239" t="s">
        <v>18</v>
      </c>
      <c r="G239" t="s">
        <v>23</v>
      </c>
      <c r="H239">
        <v>2</v>
      </c>
      <c r="I239">
        <v>82.8</v>
      </c>
      <c r="J239">
        <v>9</v>
      </c>
      <c r="K239">
        <v>1108.32</v>
      </c>
      <c r="L239">
        <v>0</v>
      </c>
      <c r="Q239" t="s">
        <v>18</v>
      </c>
      <c r="R239">
        <v>0</v>
      </c>
    </row>
    <row r="240" spans="1:18" x14ac:dyDescent="0.2">
      <c r="A240">
        <v>239</v>
      </c>
      <c r="B240">
        <v>61</v>
      </c>
      <c r="C240" t="s">
        <v>16</v>
      </c>
      <c r="D240">
        <v>63</v>
      </c>
      <c r="E240">
        <v>74.28</v>
      </c>
      <c r="F240" t="s">
        <v>20</v>
      </c>
      <c r="G240" t="s">
        <v>22</v>
      </c>
      <c r="H240">
        <v>1</v>
      </c>
      <c r="I240">
        <v>88.6</v>
      </c>
      <c r="J240">
        <v>7</v>
      </c>
      <c r="K240">
        <v>4336.93</v>
      </c>
      <c r="L240">
        <v>1</v>
      </c>
      <c r="Q240" t="s">
        <v>20</v>
      </c>
      <c r="R240">
        <v>1</v>
      </c>
    </row>
    <row r="241" spans="1:18" x14ac:dyDescent="0.2">
      <c r="A241">
        <v>240</v>
      </c>
      <c r="B241">
        <v>43</v>
      </c>
      <c r="C241" t="s">
        <v>16</v>
      </c>
      <c r="D241">
        <v>17</v>
      </c>
      <c r="E241">
        <v>63.15</v>
      </c>
      <c r="F241" t="s">
        <v>20</v>
      </c>
      <c r="G241" t="s">
        <v>24</v>
      </c>
      <c r="H241">
        <v>2</v>
      </c>
      <c r="I241">
        <v>54.9</v>
      </c>
      <c r="J241">
        <v>3</v>
      </c>
      <c r="K241">
        <v>1101.3699999999999</v>
      </c>
      <c r="L241">
        <v>0</v>
      </c>
      <c r="Q241" t="s">
        <v>20</v>
      </c>
      <c r="R241">
        <v>0</v>
      </c>
    </row>
    <row r="242" spans="1:18" x14ac:dyDescent="0.2">
      <c r="A242">
        <v>241</v>
      </c>
      <c r="B242">
        <v>49</v>
      </c>
      <c r="C242" t="s">
        <v>16</v>
      </c>
      <c r="D242">
        <v>33</v>
      </c>
      <c r="E242">
        <v>53.28</v>
      </c>
      <c r="F242" t="s">
        <v>19</v>
      </c>
      <c r="G242" t="s">
        <v>24</v>
      </c>
      <c r="H242">
        <v>2</v>
      </c>
      <c r="I242">
        <v>28.2</v>
      </c>
      <c r="J242">
        <v>4</v>
      </c>
      <c r="K242">
        <v>1601.52</v>
      </c>
      <c r="L242">
        <v>1</v>
      </c>
      <c r="Q242" t="s">
        <v>19</v>
      </c>
      <c r="R242">
        <v>1</v>
      </c>
    </row>
    <row r="243" spans="1:18" x14ac:dyDescent="0.2">
      <c r="A243">
        <v>242</v>
      </c>
      <c r="B243">
        <v>23</v>
      </c>
      <c r="C243" t="s">
        <v>15</v>
      </c>
      <c r="D243">
        <v>29</v>
      </c>
      <c r="E243">
        <v>93.05</v>
      </c>
      <c r="F243" t="s">
        <v>18</v>
      </c>
      <c r="G243" t="s">
        <v>22</v>
      </c>
      <c r="H243">
        <v>2</v>
      </c>
      <c r="I243">
        <v>15.7</v>
      </c>
      <c r="J243">
        <v>6</v>
      </c>
      <c r="K243">
        <v>2832.64</v>
      </c>
      <c r="L243">
        <v>1</v>
      </c>
      <c r="Q243" t="s">
        <v>18</v>
      </c>
      <c r="R243">
        <v>1</v>
      </c>
    </row>
    <row r="244" spans="1:18" x14ac:dyDescent="0.2">
      <c r="A244">
        <v>243</v>
      </c>
      <c r="B244">
        <v>49</v>
      </c>
      <c r="C244" t="s">
        <v>15</v>
      </c>
      <c r="D244">
        <v>13</v>
      </c>
      <c r="E244">
        <v>89.37</v>
      </c>
      <c r="F244" t="s">
        <v>18</v>
      </c>
      <c r="G244" t="s">
        <v>22</v>
      </c>
      <c r="H244">
        <v>1</v>
      </c>
      <c r="I244">
        <v>13.3</v>
      </c>
      <c r="J244">
        <v>5</v>
      </c>
      <c r="K244">
        <v>1119.42</v>
      </c>
      <c r="L244">
        <v>0</v>
      </c>
      <c r="Q244" t="s">
        <v>18</v>
      </c>
      <c r="R244">
        <v>0</v>
      </c>
    </row>
    <row r="245" spans="1:18" x14ac:dyDescent="0.2">
      <c r="A245">
        <v>244</v>
      </c>
      <c r="B245">
        <v>21</v>
      </c>
      <c r="C245" t="s">
        <v>15</v>
      </c>
      <c r="D245">
        <v>46</v>
      </c>
      <c r="E245">
        <v>36.67</v>
      </c>
      <c r="F245" t="s">
        <v>18</v>
      </c>
      <c r="G245" t="s">
        <v>22</v>
      </c>
      <c r="H245">
        <v>3</v>
      </c>
      <c r="I245">
        <v>73.3</v>
      </c>
      <c r="J245">
        <v>2</v>
      </c>
      <c r="K245">
        <v>1518.18</v>
      </c>
      <c r="L245">
        <v>1</v>
      </c>
      <c r="Q245" t="s">
        <v>18</v>
      </c>
      <c r="R245">
        <v>1</v>
      </c>
    </row>
    <row r="246" spans="1:18" x14ac:dyDescent="0.2">
      <c r="A246">
        <v>245</v>
      </c>
      <c r="B246">
        <v>28</v>
      </c>
      <c r="C246" t="s">
        <v>15</v>
      </c>
      <c r="D246">
        <v>35</v>
      </c>
      <c r="E246">
        <v>107.86</v>
      </c>
      <c r="F246" t="s">
        <v>18</v>
      </c>
      <c r="G246" t="s">
        <v>23</v>
      </c>
      <c r="H246">
        <v>4</v>
      </c>
      <c r="I246">
        <v>44.9</v>
      </c>
      <c r="J246">
        <v>6</v>
      </c>
      <c r="K246">
        <v>3783.5</v>
      </c>
      <c r="L246">
        <v>0</v>
      </c>
      <c r="Q246" t="s">
        <v>18</v>
      </c>
      <c r="R246">
        <v>0</v>
      </c>
    </row>
    <row r="247" spans="1:18" x14ac:dyDescent="0.2">
      <c r="A247">
        <v>246</v>
      </c>
      <c r="B247">
        <v>34</v>
      </c>
      <c r="C247" t="s">
        <v>16</v>
      </c>
      <c r="D247">
        <v>6</v>
      </c>
      <c r="E247">
        <v>69.540000000000006</v>
      </c>
      <c r="F247" t="s">
        <v>18</v>
      </c>
      <c r="G247" t="s">
        <v>23</v>
      </c>
      <c r="H247">
        <v>2</v>
      </c>
      <c r="I247">
        <v>91</v>
      </c>
      <c r="J247">
        <v>3</v>
      </c>
      <c r="K247">
        <v>379.43</v>
      </c>
      <c r="L247">
        <v>1</v>
      </c>
      <c r="Q247" t="s">
        <v>18</v>
      </c>
      <c r="R247">
        <v>1</v>
      </c>
    </row>
    <row r="248" spans="1:18" x14ac:dyDescent="0.2">
      <c r="A248">
        <v>247</v>
      </c>
      <c r="B248">
        <v>55</v>
      </c>
      <c r="C248" t="s">
        <v>16</v>
      </c>
      <c r="D248">
        <v>69</v>
      </c>
      <c r="E248">
        <v>94.15</v>
      </c>
      <c r="F248" t="s">
        <v>19</v>
      </c>
      <c r="G248" t="s">
        <v>24</v>
      </c>
      <c r="H248">
        <v>3</v>
      </c>
      <c r="I248">
        <v>75.3</v>
      </c>
      <c r="J248">
        <v>8</v>
      </c>
      <c r="K248">
        <v>6205.53</v>
      </c>
      <c r="L248">
        <v>1</v>
      </c>
      <c r="Q248" t="s">
        <v>19</v>
      </c>
      <c r="R248">
        <v>1</v>
      </c>
    </row>
    <row r="249" spans="1:18" x14ac:dyDescent="0.2">
      <c r="A249">
        <v>248</v>
      </c>
      <c r="B249">
        <v>41</v>
      </c>
      <c r="C249" t="s">
        <v>15</v>
      </c>
      <c r="D249">
        <v>47</v>
      </c>
      <c r="E249">
        <v>77.319999999999993</v>
      </c>
      <c r="F249" t="s">
        <v>19</v>
      </c>
      <c r="G249" t="s">
        <v>22</v>
      </c>
      <c r="H249">
        <v>3</v>
      </c>
      <c r="I249">
        <v>23.2</v>
      </c>
      <c r="J249">
        <v>2</v>
      </c>
      <c r="K249">
        <v>3784.47</v>
      </c>
      <c r="L249">
        <v>1</v>
      </c>
      <c r="Q249" t="s">
        <v>19</v>
      </c>
      <c r="R249">
        <v>1</v>
      </c>
    </row>
    <row r="250" spans="1:18" x14ac:dyDescent="0.2">
      <c r="A250">
        <v>249</v>
      </c>
      <c r="B250">
        <v>22</v>
      </c>
      <c r="C250" t="s">
        <v>16</v>
      </c>
      <c r="D250">
        <v>25</v>
      </c>
      <c r="E250">
        <v>119.77</v>
      </c>
      <c r="F250" t="s">
        <v>18</v>
      </c>
      <c r="G250" t="s">
        <v>23</v>
      </c>
      <c r="H250">
        <v>3</v>
      </c>
      <c r="I250">
        <v>63.3</v>
      </c>
      <c r="J250">
        <v>1</v>
      </c>
      <c r="K250">
        <v>2732.37</v>
      </c>
      <c r="L250">
        <v>1</v>
      </c>
      <c r="Q250" t="s">
        <v>18</v>
      </c>
      <c r="R250">
        <v>1</v>
      </c>
    </row>
    <row r="251" spans="1:18" x14ac:dyDescent="0.2">
      <c r="A251">
        <v>250</v>
      </c>
      <c r="B251">
        <v>69</v>
      </c>
      <c r="C251" t="s">
        <v>16</v>
      </c>
      <c r="D251">
        <v>66</v>
      </c>
      <c r="E251">
        <v>95.24</v>
      </c>
      <c r="F251" t="s">
        <v>18</v>
      </c>
      <c r="G251" t="s">
        <v>22</v>
      </c>
      <c r="H251">
        <v>5</v>
      </c>
      <c r="I251">
        <v>46.4</v>
      </c>
      <c r="J251">
        <v>9</v>
      </c>
      <c r="K251">
        <v>6712.45</v>
      </c>
      <c r="L251">
        <v>0</v>
      </c>
      <c r="Q251" t="s">
        <v>18</v>
      </c>
      <c r="R251">
        <v>0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37"/>
  <sheetViews>
    <sheetView zoomScale="87" workbookViewId="0">
      <selection activeCell="E42" sqref="E42"/>
    </sheetView>
  </sheetViews>
  <sheetFormatPr baseColWidth="10" defaultColWidth="8.83203125" defaultRowHeight="15" x14ac:dyDescent="0.2"/>
  <cols>
    <col min="1" max="1" width="18.1640625" customWidth="1"/>
    <col min="2" max="2" width="13.5" customWidth="1"/>
    <col min="3" max="3" width="13.83203125" customWidth="1"/>
    <col min="4" max="4" width="16.6640625" customWidth="1"/>
    <col min="5" max="5" width="15.1640625" customWidth="1"/>
    <col min="6" max="6" width="12.6640625" bestFit="1" customWidth="1"/>
    <col min="7" max="7" width="13.6640625" bestFit="1" customWidth="1"/>
    <col min="8" max="8" width="12.6640625" bestFit="1" customWidth="1"/>
    <col min="9" max="9" width="15.5" customWidth="1"/>
    <col min="10" max="10" width="11.33203125" customWidth="1"/>
  </cols>
  <sheetData>
    <row r="1" spans="1:1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25</v>
      </c>
      <c r="J1" s="3"/>
      <c r="K1" s="3"/>
    </row>
    <row r="2" spans="1:11" x14ac:dyDescent="0.2">
      <c r="A2" s="2" t="s">
        <v>6</v>
      </c>
      <c r="B2">
        <f>MIN('1. Raw Data'!B2:B251)</f>
        <v>18</v>
      </c>
      <c r="C2">
        <f>_xlfn.QUARTILE.INC('1. Raw Data'!B2:B251, 1)</f>
        <v>31</v>
      </c>
      <c r="D2">
        <f>MEDIAN('1. Raw Data'!B2:B251)</f>
        <v>44</v>
      </c>
      <c r="E2">
        <f>_xlfn.QUARTILE.INC('1. Raw Data'!B2:B251, 3)</f>
        <v>56</v>
      </c>
      <c r="F2">
        <f>MAX('1. Raw Data'!B2:B251)</f>
        <v>69</v>
      </c>
      <c r="G2">
        <f>(E2-C2)/2</f>
        <v>12.5</v>
      </c>
      <c r="J2" s="3"/>
      <c r="K2" s="3"/>
    </row>
    <row r="3" spans="1:11" x14ac:dyDescent="0.2">
      <c r="A3" s="2" t="s">
        <v>7</v>
      </c>
      <c r="B3">
        <f>MIN('1. Raw Data'!D2:D251)</f>
        <v>1</v>
      </c>
      <c r="C3">
        <f>_xlfn.QUARTILE.INC('1. Raw Data'!D2:D251, 1)</f>
        <v>17</v>
      </c>
      <c r="D3">
        <f>MEDIAN('1. Raw Data'!D2:D251)</f>
        <v>35.5</v>
      </c>
      <c r="E3">
        <f>_xlfn.QUARTILE.INC('1. Raw Data'!D2:D251, 3)</f>
        <v>55</v>
      </c>
      <c r="F3">
        <f>MAX('1. Raw Data'!D2:D251)</f>
        <v>71</v>
      </c>
      <c r="G3">
        <f>(E3-C3)/2</f>
        <v>19</v>
      </c>
      <c r="J3" s="3"/>
      <c r="K3" s="3"/>
    </row>
    <row r="4" spans="1:11" x14ac:dyDescent="0.2">
      <c r="A4" s="2" t="s">
        <v>8</v>
      </c>
      <c r="B4">
        <f>MIN('1. Raw Data'!E2:E251)</f>
        <v>20.260000000000002</v>
      </c>
      <c r="C4">
        <f>_xlfn.QUARTILE.INC('1. Raw Data'!E2:E251, 1)</f>
        <v>50.99</v>
      </c>
      <c r="D4">
        <f>MEDIAN('1. Raw Data'!E2:E251)</f>
        <v>73.594999999999999</v>
      </c>
      <c r="E4">
        <f>_xlfn.QUARTILE.INC('1. Raw Data'!E2:E251, 3)</f>
        <v>94.86999999999999</v>
      </c>
      <c r="F4">
        <f>MAX('1. Raw Data'!E2:E251)</f>
        <v>119.77</v>
      </c>
      <c r="G4">
        <f t="shared" ref="G4:G8" si="0">(E4-C4)/2</f>
        <v>21.939999999999994</v>
      </c>
      <c r="J4" s="3"/>
      <c r="K4" s="3"/>
    </row>
    <row r="5" spans="1:11" x14ac:dyDescent="0.2">
      <c r="A5" s="2" t="s">
        <v>9</v>
      </c>
      <c r="B5">
        <f>MIN('1. Raw Data'!H2:H251)</f>
        <v>0</v>
      </c>
      <c r="C5">
        <f>_xlfn.QUARTILE.INC('1. Raw Data'!H2:H251, 1)</f>
        <v>1</v>
      </c>
      <c r="D5">
        <f>MEDIAN('1. Raw Data'!H2:H251)</f>
        <v>2</v>
      </c>
      <c r="E5">
        <f>_xlfn.QUARTILE.INC('1. Raw Data'!H2:H251, 3)</f>
        <v>3</v>
      </c>
      <c r="F5">
        <f>MAX('1. Raw Data'!H2:H251)</f>
        <v>6</v>
      </c>
      <c r="G5">
        <f t="shared" si="0"/>
        <v>1</v>
      </c>
      <c r="J5" s="3"/>
      <c r="K5" s="3"/>
    </row>
    <row r="6" spans="1:11" x14ac:dyDescent="0.2">
      <c r="A6" s="2" t="s">
        <v>10</v>
      </c>
      <c r="B6">
        <f>MIN('1. Raw Data'!I2:I251)</f>
        <v>5.2</v>
      </c>
      <c r="C6">
        <f>_xlfn.QUARTILE.INC('1. Raw Data'!I2:I251, 1)</f>
        <v>26.4</v>
      </c>
      <c r="D6">
        <f>MEDIAN('1. Raw Data'!I2:I251)</f>
        <v>50.900000000000006</v>
      </c>
      <c r="E6">
        <f>_xlfn.QUARTILE.INC('1. Raw Data'!I2:I251, 3)</f>
        <v>75.75</v>
      </c>
      <c r="F6">
        <f>MAX('1. Raw Data'!I2:I251)</f>
        <v>99.7</v>
      </c>
      <c r="G6">
        <f t="shared" si="0"/>
        <v>24.675000000000001</v>
      </c>
      <c r="J6" s="3"/>
      <c r="K6" s="3"/>
    </row>
    <row r="7" spans="1:11" x14ac:dyDescent="0.2">
      <c r="A7" s="2" t="s">
        <v>11</v>
      </c>
      <c r="B7">
        <f>MIN('1. Raw Data'!J2:J251)</f>
        <v>1</v>
      </c>
      <c r="C7">
        <f>_xlfn.QUARTILE.INC('1. Raw Data'!J2:J251, 1)</f>
        <v>3</v>
      </c>
      <c r="D7">
        <f>MEDIAN('1. Raw Data'!J2:J251)</f>
        <v>5</v>
      </c>
      <c r="E7">
        <f>_xlfn.QUARTILE.INC('1. Raw Data'!J2:J251, 3)</f>
        <v>8</v>
      </c>
      <c r="F7">
        <f>MAX('1. Raw Data'!J2:J251)</f>
        <v>10</v>
      </c>
      <c r="G7">
        <f t="shared" si="0"/>
        <v>2.5</v>
      </c>
      <c r="J7" s="3"/>
      <c r="K7" s="3"/>
    </row>
    <row r="8" spans="1:11" x14ac:dyDescent="0.2">
      <c r="A8" s="2" t="s">
        <v>12</v>
      </c>
      <c r="B8">
        <f>MIN('1. Raw Data'!K2:K251)</f>
        <v>35.729999999999997</v>
      </c>
      <c r="C8">
        <f>_xlfn.QUARTILE.INC('1. Raw Data'!K2:K251, 1)</f>
        <v>1036.0825</v>
      </c>
      <c r="D8">
        <f>MEDIAN('1. Raw Data'!K2:K251)</f>
        <v>2057.21</v>
      </c>
      <c r="E8">
        <f>_xlfn.QUARTILE.INC('1. Raw Data'!K2:K251, 3)</f>
        <v>3759.65</v>
      </c>
      <c r="F8">
        <f>MAX('1. Raw Data'!K2:K251)</f>
        <v>7782.69</v>
      </c>
      <c r="G8">
        <f t="shared" si="0"/>
        <v>1361.7837500000001</v>
      </c>
      <c r="J8" s="3"/>
      <c r="K8" s="3"/>
    </row>
    <row r="9" spans="1:11" x14ac:dyDescent="0.2">
      <c r="J9" s="3"/>
      <c r="K9" s="3"/>
    </row>
    <row r="10" spans="1:11" x14ac:dyDescent="0.2">
      <c r="A10" s="2"/>
      <c r="J10" s="3"/>
      <c r="K10" s="3"/>
    </row>
    <row r="11" spans="1:11" x14ac:dyDescent="0.2">
      <c r="J11" s="3"/>
      <c r="K11" s="3"/>
    </row>
    <row r="12" spans="1:11" x14ac:dyDescent="0.2">
      <c r="A12" s="4"/>
      <c r="B12" s="2"/>
      <c r="C12" s="2"/>
      <c r="D12" s="2"/>
      <c r="E12" s="2"/>
      <c r="F12" s="2"/>
      <c r="G12" s="2"/>
      <c r="J12" s="3"/>
      <c r="K12" s="3"/>
    </row>
    <row r="13" spans="1:11" x14ac:dyDescent="0.2">
      <c r="J13" s="3"/>
      <c r="K13" s="3"/>
    </row>
    <row r="14" spans="1:11" x14ac:dyDescent="0.2">
      <c r="A14" s="15" t="s">
        <v>70</v>
      </c>
      <c r="B14" s="15"/>
      <c r="C14" s="15" t="s">
        <v>6</v>
      </c>
      <c r="D14" s="15" t="s">
        <v>7</v>
      </c>
      <c r="E14" s="15" t="s">
        <v>8</v>
      </c>
      <c r="F14" s="15" t="s">
        <v>9</v>
      </c>
      <c r="G14" s="15" t="s">
        <v>10</v>
      </c>
      <c r="H14" s="15" t="s">
        <v>72</v>
      </c>
      <c r="I14" s="15" t="s">
        <v>12</v>
      </c>
      <c r="J14" s="3"/>
      <c r="K14" s="3"/>
    </row>
    <row r="15" spans="1:11" x14ac:dyDescent="0.2">
      <c r="A15" s="55" t="s">
        <v>76</v>
      </c>
      <c r="B15" s="18" t="s">
        <v>71</v>
      </c>
      <c r="C15" s="16">
        <v>132</v>
      </c>
      <c r="D15" s="16">
        <v>132</v>
      </c>
      <c r="E15" s="16">
        <v>132</v>
      </c>
      <c r="F15" s="16">
        <v>132</v>
      </c>
      <c r="G15" s="16">
        <v>132</v>
      </c>
      <c r="H15" s="16">
        <v>132</v>
      </c>
      <c r="I15" s="16">
        <v>132</v>
      </c>
      <c r="J15" s="3"/>
      <c r="K15" s="3"/>
    </row>
    <row r="16" spans="1:11" x14ac:dyDescent="0.2">
      <c r="A16" s="55"/>
      <c r="B16" s="18" t="s">
        <v>13</v>
      </c>
      <c r="C16" s="16">
        <v>118</v>
      </c>
      <c r="D16" s="16">
        <v>118</v>
      </c>
      <c r="E16" s="16">
        <v>118</v>
      </c>
      <c r="F16" s="16">
        <v>118</v>
      </c>
      <c r="G16" s="16">
        <v>118</v>
      </c>
      <c r="H16" s="16">
        <v>118</v>
      </c>
      <c r="I16" s="16">
        <v>118</v>
      </c>
      <c r="J16" s="3"/>
      <c r="K16" s="3"/>
    </row>
    <row r="17" spans="1:11" x14ac:dyDescent="0.2">
      <c r="A17" s="55" t="s">
        <v>0</v>
      </c>
      <c r="B17" s="18" t="s">
        <v>71</v>
      </c>
      <c r="C17" s="16">
        <f>'2.28 FiveNumber_Churn0'!B2</f>
        <v>18</v>
      </c>
      <c r="D17" s="16">
        <f>'2.28 FiveNumber_Churn0'!B3</f>
        <v>1</v>
      </c>
      <c r="E17" s="16">
        <f>'2.28 FiveNumber_Churn0'!B4</f>
        <v>20.260000000000002</v>
      </c>
      <c r="F17" s="16">
        <f>'2.28 FiveNumber_Churn0'!B5</f>
        <v>0</v>
      </c>
      <c r="G17" s="16">
        <f>'2.28 FiveNumber_Churn0'!B6</f>
        <v>5.2</v>
      </c>
      <c r="H17" s="16">
        <f>'2.28 FiveNumber_Churn0'!B7</f>
        <v>1</v>
      </c>
      <c r="I17" s="16">
        <f>'2.28 FiveNumber_Churn0'!B8</f>
        <v>35.729999999999997</v>
      </c>
      <c r="J17" s="3"/>
      <c r="K17" s="3"/>
    </row>
    <row r="18" spans="1:11" x14ac:dyDescent="0.2">
      <c r="A18" s="55"/>
      <c r="B18" s="19" t="s">
        <v>13</v>
      </c>
      <c r="C18" s="17">
        <f>'2.29 FiveNumber_Churn1'!B2</f>
        <v>18</v>
      </c>
      <c r="D18" s="17">
        <f>'2.29 FiveNumber_Churn1'!B3</f>
        <v>1</v>
      </c>
      <c r="E18" s="17">
        <f>'2.29 FiveNumber_Churn1'!B4</f>
        <v>20.53</v>
      </c>
      <c r="F18" s="17">
        <f>'2.29 FiveNumber_Churn1'!B5</f>
        <v>0</v>
      </c>
      <c r="G18" s="17">
        <f>'2.29 FiveNumber_Churn1'!B6</f>
        <v>5.2</v>
      </c>
      <c r="H18" s="16">
        <f>'2.29 FiveNumber_Churn1'!B7</f>
        <v>1</v>
      </c>
      <c r="I18" s="16">
        <f>'2.29 FiveNumber_Churn1'!B8</f>
        <v>105.78</v>
      </c>
      <c r="J18" s="3"/>
      <c r="K18" s="3"/>
    </row>
    <row r="19" spans="1:11" x14ac:dyDescent="0.2">
      <c r="A19" s="55" t="s">
        <v>73</v>
      </c>
      <c r="B19" s="18" t="s">
        <v>71</v>
      </c>
      <c r="C19" s="16">
        <f>'2.28 FiveNumber_Churn0'!C2</f>
        <v>29.75</v>
      </c>
      <c r="D19" s="16">
        <f>'2.28 FiveNumber_Churn0'!C3</f>
        <v>17</v>
      </c>
      <c r="E19" s="16">
        <f>'2.28 FiveNumber_Churn0'!C4</f>
        <v>53</v>
      </c>
      <c r="F19" s="16">
        <f>'2.28 FiveNumber_Churn0'!C5</f>
        <v>1</v>
      </c>
      <c r="G19" s="16">
        <f>'2.28 FiveNumber_Churn0'!C6</f>
        <v>23.5</v>
      </c>
      <c r="H19" s="16">
        <f>'2.28 FiveNumber_Churn0'!C7</f>
        <v>4</v>
      </c>
      <c r="I19" s="16">
        <f>'2.28 FiveNumber_Churn0'!C8</f>
        <v>1121.1375</v>
      </c>
      <c r="J19" s="3"/>
      <c r="K19" s="3"/>
    </row>
    <row r="20" spans="1:11" x14ac:dyDescent="0.2">
      <c r="A20" s="55"/>
      <c r="B20" s="18" t="s">
        <v>13</v>
      </c>
      <c r="C20" s="16">
        <f>'2.29 FiveNumber_Churn1'!C2</f>
        <v>32</v>
      </c>
      <c r="D20" s="16">
        <f>'2.29 FiveNumber_Churn1'!C3</f>
        <v>17.25</v>
      </c>
      <c r="E20" s="16">
        <f>'2.29 FiveNumber_Churn1'!C4</f>
        <v>48.5075</v>
      </c>
      <c r="F20" s="16">
        <f>'2.29 FiveNumber_Churn1'!C5</f>
        <v>1</v>
      </c>
      <c r="G20" s="16">
        <f>'2.29 FiveNumber_Churn1'!C6</f>
        <v>27.599999999999998</v>
      </c>
      <c r="H20" s="16">
        <f>'2.29 FiveNumber_Churn1'!C7</f>
        <v>2</v>
      </c>
      <c r="I20" s="16">
        <f>'2.29 FiveNumber_Churn1'!C8</f>
        <v>921.27</v>
      </c>
      <c r="J20" s="3"/>
      <c r="K20" s="3"/>
    </row>
    <row r="21" spans="1:11" x14ac:dyDescent="0.2">
      <c r="A21" s="55" t="s">
        <v>74</v>
      </c>
      <c r="B21" s="18" t="s">
        <v>71</v>
      </c>
      <c r="C21" s="16">
        <f>'2.28 FiveNumber_Churn0'!D2</f>
        <v>45</v>
      </c>
      <c r="D21" s="16">
        <f>'2.28 FiveNumber_Churn0'!D3</f>
        <v>39.5</v>
      </c>
      <c r="E21" s="16">
        <f>'2.28 FiveNumber_Churn0'!D4</f>
        <v>73.58</v>
      </c>
      <c r="F21" s="16">
        <f>'2.28 FiveNumber_Churn0'!D5</f>
        <v>2</v>
      </c>
      <c r="G21" s="16">
        <f>'2.28 FiveNumber_Churn0'!D6</f>
        <v>44.8</v>
      </c>
      <c r="H21" s="16">
        <f>'2.28 FiveNumber_Churn0'!D7</f>
        <v>6</v>
      </c>
      <c r="I21" s="16">
        <f>'2.28 FiveNumber_Churn0'!D8</f>
        <v>2197.9349999999999</v>
      </c>
      <c r="J21" s="3"/>
      <c r="K21" s="3"/>
    </row>
    <row r="22" spans="1:11" x14ac:dyDescent="0.2">
      <c r="A22" s="55"/>
      <c r="B22" s="18" t="s">
        <v>13</v>
      </c>
      <c r="C22" s="16">
        <f>'2.29 FiveNumber_Churn1'!D2</f>
        <v>43</v>
      </c>
      <c r="D22" s="16">
        <f>'2.29 FiveNumber_Churn1'!D3</f>
        <v>33.5</v>
      </c>
      <c r="E22" s="16">
        <f>'2.29 FiveNumber_Churn1'!D4</f>
        <v>73.63</v>
      </c>
      <c r="F22" s="16">
        <f>'2.29 FiveNumber_Churn1'!D5</f>
        <v>2</v>
      </c>
      <c r="G22" s="16">
        <f>'2.29 FiveNumber_Churn1'!D6</f>
        <v>57.75</v>
      </c>
      <c r="H22" s="16">
        <f>'2.29 FiveNumber_Churn1'!D7</f>
        <v>4</v>
      </c>
      <c r="I22" s="16">
        <f>'2.29 FiveNumber_Churn1'!D8</f>
        <v>1943.2750000000001</v>
      </c>
      <c r="J22" s="3"/>
      <c r="K22" s="3"/>
    </row>
    <row r="23" spans="1:11" x14ac:dyDescent="0.2">
      <c r="A23" s="55" t="s">
        <v>78</v>
      </c>
      <c r="B23" s="18" t="s">
        <v>71</v>
      </c>
      <c r="C23" s="20">
        <f>AVERAGE('2.25 Churn0 '!B2:B133)</f>
        <v>43.916666666666664</v>
      </c>
      <c r="D23" s="20">
        <f>AVERAGE('2.25 Churn0 '!D2:D133)</f>
        <v>37.81818181818182</v>
      </c>
      <c r="E23" s="20">
        <f>AVERAGE('2.25 Churn0 '!E2:E133)</f>
        <v>71.769469696969708</v>
      </c>
      <c r="F23" s="20">
        <f>AVERAGE('2.25 Churn0 '!H2:H133)</f>
        <v>2.0151515151515151</v>
      </c>
      <c r="G23" s="20">
        <f>AVERAGE('2.25 Churn0 '!I2:I133)</f>
        <v>48.489393939393928</v>
      </c>
      <c r="H23" s="20">
        <f>AVERAGE('2.25 Churn0 '!J2:J133)</f>
        <v>6.0151515151515156</v>
      </c>
      <c r="I23" s="20">
        <f>AVERAGE('2.25 Churn0 '!K2:K133)</f>
        <v>2752.1335606060611</v>
      </c>
      <c r="J23" s="3"/>
      <c r="K23" s="3"/>
    </row>
    <row r="24" spans="1:11" x14ac:dyDescent="0.2">
      <c r="A24" s="55"/>
      <c r="B24" s="18" t="s">
        <v>13</v>
      </c>
      <c r="C24" s="20">
        <f>AVERAGE('2.26 Churn1'!B2:B119)</f>
        <v>43.152542372881356</v>
      </c>
      <c r="D24" s="20">
        <f>AVERAGE('2.26 Churn1'!D2:D119)</f>
        <v>33.694915254237287</v>
      </c>
      <c r="E24" s="20">
        <f>AVERAGE('2.26 Churn1'!E2:E119)</f>
        <v>70.934406779660989</v>
      </c>
      <c r="F24" s="20">
        <f>AVERAGE('2.26 Churn1'!H2:H119)</f>
        <v>1.9067796610169492</v>
      </c>
      <c r="G24" s="20">
        <f>AVERAGE('2.26 Churn1'!I2:I119)</f>
        <v>54.71016949152542</v>
      </c>
      <c r="H24" s="20">
        <f>AVERAGE('2.26 Churn1'!J2:J119)</f>
        <v>4.5677966101694913</v>
      </c>
      <c r="I24" s="20">
        <f>AVERAGE('2.26 Churn1'!K2:K119)</f>
        <v>2328.6220338983048</v>
      </c>
      <c r="J24" s="3"/>
      <c r="K24" s="3"/>
    </row>
    <row r="25" spans="1:11" x14ac:dyDescent="0.2">
      <c r="A25" s="55" t="s">
        <v>75</v>
      </c>
      <c r="B25" s="18" t="s">
        <v>71</v>
      </c>
      <c r="C25" s="16">
        <f>'2.28 FiveNumber_Churn0'!E2</f>
        <v>57</v>
      </c>
      <c r="D25" s="16">
        <f>'2.28 FiveNumber_Churn0'!E3</f>
        <v>57.25</v>
      </c>
      <c r="E25" s="16">
        <f>'2.28 FiveNumber_Churn0'!E4</f>
        <v>93.695000000000007</v>
      </c>
      <c r="F25" s="16">
        <f>'2.28 FiveNumber_Churn0'!E5</f>
        <v>3</v>
      </c>
      <c r="G25" s="16">
        <f>'2.28 FiveNumber_Churn0'!E6</f>
        <v>73.475000000000009</v>
      </c>
      <c r="H25" s="16">
        <f>'2.28 FiveNumber_Churn0'!E7</f>
        <v>8</v>
      </c>
      <c r="I25" s="16">
        <f>'2.28 FiveNumber_Churn0'!E8</f>
        <v>4159.16</v>
      </c>
      <c r="J25" s="3"/>
      <c r="K25" s="3"/>
    </row>
    <row r="26" spans="1:11" x14ac:dyDescent="0.2">
      <c r="A26" s="55"/>
      <c r="B26" s="18" t="s">
        <v>13</v>
      </c>
      <c r="C26" s="16">
        <f>'2.29 FiveNumber_Churn1'!E2</f>
        <v>55.75</v>
      </c>
      <c r="D26" s="16">
        <f>'2.29 FiveNumber_Churn1'!E3</f>
        <v>49</v>
      </c>
      <c r="E26" s="16">
        <f>'2.29 FiveNumber_Churn1'!E4</f>
        <v>95.762500000000003</v>
      </c>
      <c r="F26" s="16">
        <f>'2.29 FiveNumber_Churn1'!E5</f>
        <v>3</v>
      </c>
      <c r="G26" s="16">
        <f>'2.29 FiveNumber_Churn1'!E6</f>
        <v>79.8</v>
      </c>
      <c r="H26" s="16">
        <f>'2.29 FiveNumber_Churn1'!E7</f>
        <v>7</v>
      </c>
      <c r="I26" s="16">
        <f>'2.29 FiveNumber_Churn1'!E8</f>
        <v>3214.915</v>
      </c>
      <c r="J26" s="3"/>
      <c r="K26" s="3"/>
    </row>
    <row r="27" spans="1:11" x14ac:dyDescent="0.2">
      <c r="A27" s="55" t="s">
        <v>4</v>
      </c>
      <c r="B27" s="18" t="s">
        <v>71</v>
      </c>
      <c r="C27" s="16">
        <f>'2.28 FiveNumber_Churn0'!F2</f>
        <v>69</v>
      </c>
      <c r="D27" s="16">
        <f>'2.28 FiveNumber_Churn0'!F3</f>
        <v>71</v>
      </c>
      <c r="E27" s="16">
        <f>'2.28 FiveNumber_Churn0'!F4</f>
        <v>118.63</v>
      </c>
      <c r="F27" s="16">
        <f>'2.28 FiveNumber_Churn0'!F5</f>
        <v>5</v>
      </c>
      <c r="G27" s="16">
        <f>'2.28 FiveNumber_Churn0'!F6</f>
        <v>99.2</v>
      </c>
      <c r="H27" s="16">
        <f>'2.28 FiveNumber_Churn0'!F7</f>
        <v>10</v>
      </c>
      <c r="I27" s="16">
        <f>'2.28 FiveNumber_Churn0'!F8</f>
        <v>7782.69</v>
      </c>
      <c r="J27" s="3"/>
      <c r="K27" s="3"/>
    </row>
    <row r="28" spans="1:11" x14ac:dyDescent="0.2">
      <c r="A28" s="55"/>
      <c r="B28" s="15" t="s">
        <v>13</v>
      </c>
      <c r="C28" s="16">
        <f>'2.29 FiveNumber_Churn1'!F2</f>
        <v>69</v>
      </c>
      <c r="D28" s="16">
        <f>'2.29 FiveNumber_Churn1'!F3</f>
        <v>71</v>
      </c>
      <c r="E28" s="16">
        <f>'2.29 FiveNumber_Churn1'!F4</f>
        <v>119.77</v>
      </c>
      <c r="F28" s="16">
        <f>'2.29 FiveNumber_Churn1'!F5</f>
        <v>6</v>
      </c>
      <c r="G28" s="16">
        <f>'2.29 FiveNumber_Churn1'!F6</f>
        <v>99.7</v>
      </c>
      <c r="H28" s="16">
        <f>'2.29 FiveNumber_Churn1'!F7</f>
        <v>10</v>
      </c>
      <c r="I28" s="16">
        <f>'2.29 FiveNumber_Churn1'!F8</f>
        <v>7426.03</v>
      </c>
      <c r="J28" s="3"/>
      <c r="K28" s="3"/>
    </row>
    <row r="29" spans="1:11" x14ac:dyDescent="0.2">
      <c r="A29" s="55" t="s">
        <v>25</v>
      </c>
      <c r="B29" s="15" t="s">
        <v>71</v>
      </c>
      <c r="C29" s="16">
        <f>'2.28 FiveNumber_Churn0'!G2</f>
        <v>13.625</v>
      </c>
      <c r="D29" s="16">
        <f>'2.28 FiveNumber_Churn0'!G3</f>
        <v>20.125</v>
      </c>
      <c r="E29" s="16">
        <f>'2.28 FiveNumber_Churn0'!G4</f>
        <v>20.347500000000004</v>
      </c>
      <c r="F29" s="16">
        <f>'2.28 FiveNumber_Churn0'!G5</f>
        <v>1</v>
      </c>
      <c r="G29" s="16">
        <f>'2.28 FiveNumber_Churn0'!G6</f>
        <v>24.987500000000004</v>
      </c>
      <c r="H29" s="16">
        <f>'2.28 FiveNumber_Churn0'!G7</f>
        <v>2</v>
      </c>
      <c r="I29" s="16">
        <f>'2.28 FiveNumber_Churn0'!G8</f>
        <v>1519.01125</v>
      </c>
      <c r="J29" s="3"/>
      <c r="K29" s="3"/>
    </row>
    <row r="30" spans="1:11" x14ac:dyDescent="0.2">
      <c r="A30" s="55"/>
      <c r="B30" s="15" t="s">
        <v>13</v>
      </c>
      <c r="C30" s="16">
        <f>'2.29 FiveNumber_Churn1'!G2</f>
        <v>11.875</v>
      </c>
      <c r="D30" s="16">
        <f>'2.29 FiveNumber_Churn1'!G3</f>
        <v>15.875</v>
      </c>
      <c r="E30" s="16">
        <f>'2.29 FiveNumber_Churn1'!G4</f>
        <v>23.627500000000001</v>
      </c>
      <c r="F30" s="16">
        <f>'2.29 FiveNumber_Churn1'!G5</f>
        <v>1</v>
      </c>
      <c r="G30" s="16">
        <f>'2.29 FiveNumber_Churn1'!G6</f>
        <v>26.1</v>
      </c>
      <c r="H30" s="16">
        <f>'2.29 FiveNumber_Churn1'!G7</f>
        <v>2.5</v>
      </c>
      <c r="I30" s="16">
        <f>'2.29 FiveNumber_Churn1'!G8</f>
        <v>1146.8225</v>
      </c>
      <c r="J30" s="3"/>
      <c r="K30" s="3"/>
    </row>
    <row r="31" spans="1:11" x14ac:dyDescent="0.2">
      <c r="A31" s="55" t="s">
        <v>79</v>
      </c>
      <c r="B31" s="15" t="s">
        <v>71</v>
      </c>
      <c r="C31" s="20">
        <f>_xlfn.STDEV.S('2.25 Churn0 '!B2:B133)</f>
        <v>15.597534384652185</v>
      </c>
      <c r="D31" s="20">
        <f>_xlfn.STDEV.S('2.25 Churn0 '!D2:D133)</f>
        <v>21.048768592589916</v>
      </c>
      <c r="E31" s="20">
        <f>_xlfn.STDEV.S('2.25 Churn0 '!E2:E133)</f>
        <v>27.599024081495724</v>
      </c>
      <c r="F31" s="20">
        <f>_xlfn.STDEV.S('2.25 Churn0 '!H2:H133)</f>
        <v>1.3978437510825146</v>
      </c>
      <c r="G31" s="20">
        <f>_xlfn.STDEV.S('2.25 Churn0 '!I2:I133)</f>
        <v>26.954973078741698</v>
      </c>
      <c r="H31" s="20">
        <f>_xlfn.STDEV.S('2.25 Churn0 '!J2:J133)</f>
        <v>2.6471498384005865</v>
      </c>
      <c r="I31" s="20">
        <f>_xlfn.STDEV.S('2.25 Churn0 '!K2:K133)</f>
        <v>1965.820880897913</v>
      </c>
      <c r="J31" s="3"/>
      <c r="K31" s="3"/>
    </row>
    <row r="32" spans="1:11" x14ac:dyDescent="0.2">
      <c r="A32" s="55"/>
      <c r="B32" s="15" t="s">
        <v>13</v>
      </c>
      <c r="C32" s="20">
        <f>_xlfn.STDEV.S('2.26 Churn1'!B2:B119)</f>
        <v>15.03194724330616</v>
      </c>
      <c r="D32" s="20">
        <f>_xlfn.STDEV.S('2.26 Churn1'!D2:D119)</f>
        <v>19.931295871592543</v>
      </c>
      <c r="E32" s="20">
        <f>_xlfn.STDEV.S('2.26 Churn1'!E2:E119)</f>
        <v>28.628339869125806</v>
      </c>
      <c r="F32" s="20">
        <f>_xlfn.STDEV.S('2.26 Churn1'!H2:H119)</f>
        <v>1.3460120783775849</v>
      </c>
      <c r="G32" s="20">
        <f>_xlfn.STDEV.S('2.26 Churn1'!I2:I119)</f>
        <v>28.599705305488229</v>
      </c>
      <c r="H32" s="20">
        <f>_xlfn.STDEV.S('2.26 Churn1'!J2:J119)</f>
        <v>2.8569268455832142</v>
      </c>
      <c r="I32" s="20">
        <f>_xlfn.STDEV.S('2.26 Churn1'!K2:K119)</f>
        <v>1696.9012999343554</v>
      </c>
      <c r="J32" s="3"/>
      <c r="K32" s="3"/>
    </row>
    <row r="33" spans="10:11" x14ac:dyDescent="0.2">
      <c r="J33" s="3"/>
      <c r="K33" s="3"/>
    </row>
    <row r="34" spans="10:11" x14ac:dyDescent="0.2">
      <c r="J34" s="3"/>
      <c r="K34" s="3"/>
    </row>
    <row r="35" spans="10:11" x14ac:dyDescent="0.2">
      <c r="J35" s="3"/>
      <c r="K35" s="3"/>
    </row>
    <row r="36" spans="10:11" x14ac:dyDescent="0.2">
      <c r="J36" s="3"/>
      <c r="K36" s="3"/>
    </row>
    <row r="37" spans="10:11" x14ac:dyDescent="0.2">
      <c r="J37" s="3"/>
      <c r="K37" s="3"/>
    </row>
    <row r="38" spans="10:11" x14ac:dyDescent="0.2">
      <c r="J38" s="3"/>
      <c r="K38" s="3"/>
    </row>
    <row r="39" spans="10:11" x14ac:dyDescent="0.2">
      <c r="J39" s="3"/>
      <c r="K39" s="3"/>
    </row>
    <row r="40" spans="10:11" x14ac:dyDescent="0.2">
      <c r="J40" s="3"/>
      <c r="K40" s="3"/>
    </row>
    <row r="41" spans="10:11" x14ac:dyDescent="0.2">
      <c r="J41" s="3"/>
      <c r="K41" s="3"/>
    </row>
    <row r="42" spans="10:11" x14ac:dyDescent="0.2">
      <c r="J42" s="3"/>
      <c r="K42" s="3"/>
    </row>
    <row r="43" spans="10:11" x14ac:dyDescent="0.2">
      <c r="J43" s="3"/>
      <c r="K43" s="3"/>
    </row>
    <row r="44" spans="10:11" x14ac:dyDescent="0.2">
      <c r="J44" s="3"/>
      <c r="K44" s="3"/>
    </row>
    <row r="45" spans="10:11" x14ac:dyDescent="0.2">
      <c r="J45" s="3"/>
      <c r="K45" s="3"/>
    </row>
    <row r="46" spans="10:11" x14ac:dyDescent="0.2">
      <c r="J46" s="3"/>
      <c r="K46" s="3"/>
    </row>
    <row r="47" spans="10:11" x14ac:dyDescent="0.2">
      <c r="J47" s="3"/>
      <c r="K47" s="3"/>
    </row>
    <row r="48" spans="10:11" x14ac:dyDescent="0.2">
      <c r="J48" s="3"/>
      <c r="K48" s="3"/>
    </row>
    <row r="49" spans="10:11" x14ac:dyDescent="0.2">
      <c r="J49" s="3"/>
      <c r="K49" s="3"/>
    </row>
    <row r="50" spans="10:11" x14ac:dyDescent="0.2">
      <c r="J50" s="3"/>
      <c r="K50" s="3"/>
    </row>
    <row r="51" spans="10:11" x14ac:dyDescent="0.2">
      <c r="J51" s="3"/>
      <c r="K51" s="3"/>
    </row>
    <row r="52" spans="10:11" x14ac:dyDescent="0.2">
      <c r="J52" s="3"/>
      <c r="K52" s="3"/>
    </row>
    <row r="53" spans="10:11" x14ac:dyDescent="0.2">
      <c r="J53" s="3"/>
      <c r="K53" s="3"/>
    </row>
    <row r="54" spans="10:11" x14ac:dyDescent="0.2">
      <c r="J54" s="3"/>
      <c r="K54" s="3"/>
    </row>
    <row r="55" spans="10:11" x14ac:dyDescent="0.2">
      <c r="J55" s="3"/>
      <c r="K55" s="3"/>
    </row>
    <row r="56" spans="10:11" x14ac:dyDescent="0.2">
      <c r="J56" s="3"/>
      <c r="K56" s="3"/>
    </row>
    <row r="57" spans="10:11" x14ac:dyDescent="0.2">
      <c r="J57" s="3"/>
      <c r="K57" s="3"/>
    </row>
    <row r="58" spans="10:11" x14ac:dyDescent="0.2">
      <c r="J58" s="3"/>
      <c r="K58" s="3"/>
    </row>
    <row r="59" spans="10:11" x14ac:dyDescent="0.2">
      <c r="J59" s="3"/>
      <c r="K59" s="3"/>
    </row>
    <row r="60" spans="10:11" x14ac:dyDescent="0.2">
      <c r="J60" s="3"/>
      <c r="K60" s="3"/>
    </row>
    <row r="61" spans="10:11" x14ac:dyDescent="0.2">
      <c r="J61" s="3"/>
      <c r="K61" s="3"/>
    </row>
    <row r="62" spans="10:11" x14ac:dyDescent="0.2">
      <c r="J62" s="3"/>
      <c r="K62" s="3"/>
    </row>
    <row r="63" spans="10:11" x14ac:dyDescent="0.2">
      <c r="J63" s="3"/>
      <c r="K63" s="3"/>
    </row>
    <row r="64" spans="10:11" x14ac:dyDescent="0.2">
      <c r="J64" s="3"/>
      <c r="K64" s="3"/>
    </row>
    <row r="65" spans="10:11" x14ac:dyDescent="0.2">
      <c r="J65" s="3"/>
      <c r="K65" s="3"/>
    </row>
    <row r="66" spans="10:11" x14ac:dyDescent="0.2">
      <c r="J66" s="3"/>
      <c r="K66" s="3"/>
    </row>
    <row r="67" spans="10:11" x14ac:dyDescent="0.2">
      <c r="J67" s="3"/>
      <c r="K67" s="3"/>
    </row>
    <row r="68" spans="10:11" x14ac:dyDescent="0.2">
      <c r="J68" s="3"/>
      <c r="K68" s="3"/>
    </row>
    <row r="69" spans="10:11" x14ac:dyDescent="0.2">
      <c r="J69" s="3"/>
      <c r="K69" s="3"/>
    </row>
    <row r="70" spans="10:11" x14ac:dyDescent="0.2">
      <c r="J70" s="3"/>
      <c r="K70" s="3"/>
    </row>
    <row r="71" spans="10:11" x14ac:dyDescent="0.2">
      <c r="J71" s="3"/>
      <c r="K71" s="3"/>
    </row>
    <row r="72" spans="10:11" x14ac:dyDescent="0.2">
      <c r="J72" s="3"/>
      <c r="K72" s="3"/>
    </row>
    <row r="73" spans="10:11" x14ac:dyDescent="0.2">
      <c r="J73" s="3"/>
      <c r="K73" s="3"/>
    </row>
    <row r="74" spans="10:11" x14ac:dyDescent="0.2">
      <c r="J74" s="3"/>
      <c r="K74" s="3"/>
    </row>
    <row r="75" spans="10:11" x14ac:dyDescent="0.2">
      <c r="J75" s="3"/>
      <c r="K75" s="3"/>
    </row>
    <row r="76" spans="10:11" x14ac:dyDescent="0.2">
      <c r="J76" s="3"/>
      <c r="K76" s="3"/>
    </row>
    <row r="77" spans="10:11" x14ac:dyDescent="0.2">
      <c r="J77" s="3"/>
      <c r="K77" s="3"/>
    </row>
    <row r="78" spans="10:11" x14ac:dyDescent="0.2">
      <c r="J78" s="3"/>
      <c r="K78" s="3"/>
    </row>
    <row r="79" spans="10:11" x14ac:dyDescent="0.2">
      <c r="J79" s="3"/>
      <c r="K79" s="3"/>
    </row>
    <row r="80" spans="10:11" x14ac:dyDescent="0.2">
      <c r="J80" s="3"/>
      <c r="K80" s="3"/>
    </row>
    <row r="81" spans="10:11" x14ac:dyDescent="0.2">
      <c r="J81" s="3"/>
      <c r="K81" s="3"/>
    </row>
    <row r="82" spans="10:11" x14ac:dyDescent="0.2">
      <c r="J82" s="3"/>
      <c r="K82" s="3"/>
    </row>
    <row r="83" spans="10:11" x14ac:dyDescent="0.2">
      <c r="J83" s="3"/>
      <c r="K83" s="3"/>
    </row>
    <row r="84" spans="10:11" x14ac:dyDescent="0.2">
      <c r="J84" s="3"/>
      <c r="K84" s="3"/>
    </row>
    <row r="85" spans="10:11" x14ac:dyDescent="0.2">
      <c r="J85" s="3"/>
      <c r="K85" s="3"/>
    </row>
    <row r="86" spans="10:11" x14ac:dyDescent="0.2">
      <c r="J86" s="3"/>
      <c r="K86" s="3"/>
    </row>
    <row r="87" spans="10:11" x14ac:dyDescent="0.2">
      <c r="J87" s="3"/>
      <c r="K87" s="3"/>
    </row>
    <row r="88" spans="10:11" x14ac:dyDescent="0.2">
      <c r="J88" s="3"/>
      <c r="K88" s="3"/>
    </row>
    <row r="89" spans="10:11" x14ac:dyDescent="0.2">
      <c r="J89" s="3"/>
      <c r="K89" s="3"/>
    </row>
    <row r="90" spans="10:11" x14ac:dyDescent="0.2">
      <c r="J90" s="3"/>
      <c r="K90" s="3"/>
    </row>
    <row r="91" spans="10:11" x14ac:dyDescent="0.2">
      <c r="J91" s="3"/>
      <c r="K91" s="3"/>
    </row>
    <row r="92" spans="10:11" x14ac:dyDescent="0.2">
      <c r="J92" s="3"/>
      <c r="K92" s="3"/>
    </row>
    <row r="93" spans="10:11" x14ac:dyDescent="0.2">
      <c r="J93" s="3"/>
      <c r="K93" s="3"/>
    </row>
    <row r="94" spans="10:11" x14ac:dyDescent="0.2">
      <c r="J94" s="3"/>
      <c r="K94" s="3"/>
    </row>
    <row r="95" spans="10:11" x14ac:dyDescent="0.2">
      <c r="J95" s="3"/>
      <c r="K95" s="3"/>
    </row>
    <row r="96" spans="10:11" x14ac:dyDescent="0.2">
      <c r="J96" s="3"/>
      <c r="K96" s="3"/>
    </row>
    <row r="97" spans="10:11" x14ac:dyDescent="0.2">
      <c r="J97" s="3"/>
      <c r="K97" s="3"/>
    </row>
    <row r="98" spans="10:11" x14ac:dyDescent="0.2">
      <c r="J98" s="3"/>
      <c r="K98" s="3"/>
    </row>
    <row r="99" spans="10:11" x14ac:dyDescent="0.2">
      <c r="J99" s="3"/>
      <c r="K99" s="3"/>
    </row>
    <row r="100" spans="10:11" x14ac:dyDescent="0.2">
      <c r="J100" s="3"/>
      <c r="K100" s="3"/>
    </row>
    <row r="101" spans="10:11" x14ac:dyDescent="0.2">
      <c r="J101" s="3"/>
      <c r="K101" s="3"/>
    </row>
    <row r="102" spans="10:11" x14ac:dyDescent="0.2">
      <c r="J102" s="3"/>
      <c r="K102" s="3"/>
    </row>
    <row r="103" spans="10:11" x14ac:dyDescent="0.2">
      <c r="J103" s="3"/>
      <c r="K103" s="3"/>
    </row>
    <row r="104" spans="10:11" x14ac:dyDescent="0.2">
      <c r="J104" s="3"/>
      <c r="K104" s="3"/>
    </row>
    <row r="105" spans="10:11" x14ac:dyDescent="0.2">
      <c r="J105" s="3"/>
      <c r="K105" s="3"/>
    </row>
    <row r="106" spans="10:11" x14ac:dyDescent="0.2">
      <c r="J106" s="3"/>
      <c r="K106" s="3"/>
    </row>
    <row r="107" spans="10:11" x14ac:dyDescent="0.2">
      <c r="J107" s="3"/>
      <c r="K107" s="3"/>
    </row>
    <row r="108" spans="10:11" x14ac:dyDescent="0.2">
      <c r="J108" s="3"/>
      <c r="K108" s="3"/>
    </row>
    <row r="109" spans="10:11" x14ac:dyDescent="0.2">
      <c r="J109" s="3"/>
      <c r="K109" s="3"/>
    </row>
    <row r="110" spans="10:11" x14ac:dyDescent="0.2">
      <c r="J110" s="3"/>
      <c r="K110" s="3"/>
    </row>
    <row r="111" spans="10:11" x14ac:dyDescent="0.2">
      <c r="J111" s="3"/>
      <c r="K111" s="3"/>
    </row>
    <row r="112" spans="10:11" x14ac:dyDescent="0.2">
      <c r="J112" s="3"/>
      <c r="K112" s="3"/>
    </row>
    <row r="113" spans="10:11" x14ac:dyDescent="0.2">
      <c r="J113" s="3"/>
      <c r="K113" s="3"/>
    </row>
    <row r="114" spans="10:11" x14ac:dyDescent="0.2">
      <c r="J114" s="3"/>
      <c r="K114" s="3"/>
    </row>
    <row r="115" spans="10:11" x14ac:dyDescent="0.2">
      <c r="J115" s="3"/>
      <c r="K115" s="3"/>
    </row>
    <row r="116" spans="10:11" x14ac:dyDescent="0.2">
      <c r="J116" s="3"/>
      <c r="K116" s="3"/>
    </row>
    <row r="117" spans="10:11" x14ac:dyDescent="0.2">
      <c r="J117" s="3"/>
      <c r="K117" s="3"/>
    </row>
    <row r="118" spans="10:11" x14ac:dyDescent="0.2">
      <c r="J118" s="3"/>
      <c r="K118" s="3"/>
    </row>
    <row r="119" spans="10:11" x14ac:dyDescent="0.2">
      <c r="J119" s="3"/>
      <c r="K119" s="3"/>
    </row>
    <row r="120" spans="10:11" x14ac:dyDescent="0.2">
      <c r="J120" s="3"/>
      <c r="K120" s="3"/>
    </row>
    <row r="121" spans="10:11" x14ac:dyDescent="0.2">
      <c r="J121" s="3"/>
      <c r="K121" s="3"/>
    </row>
    <row r="122" spans="10:11" x14ac:dyDescent="0.2">
      <c r="J122" s="3"/>
      <c r="K122" s="3"/>
    </row>
    <row r="123" spans="10:11" x14ac:dyDescent="0.2">
      <c r="J123" s="3"/>
      <c r="K123" s="3"/>
    </row>
    <row r="124" spans="10:11" x14ac:dyDescent="0.2">
      <c r="J124" s="3"/>
    </row>
    <row r="125" spans="10:11" x14ac:dyDescent="0.2">
      <c r="J125" s="3"/>
    </row>
    <row r="126" spans="10:11" x14ac:dyDescent="0.2">
      <c r="J126" s="3"/>
    </row>
    <row r="127" spans="10:11" x14ac:dyDescent="0.2">
      <c r="J127" s="3"/>
    </row>
    <row r="128" spans="10:11" x14ac:dyDescent="0.2">
      <c r="J128" s="3"/>
    </row>
    <row r="129" spans="10:10" x14ac:dyDescent="0.2">
      <c r="J129" s="3"/>
    </row>
    <row r="130" spans="10:10" x14ac:dyDescent="0.2">
      <c r="J130" s="3"/>
    </row>
    <row r="131" spans="10:10" x14ac:dyDescent="0.2">
      <c r="J131" s="3"/>
    </row>
    <row r="132" spans="10:10" x14ac:dyDescent="0.2">
      <c r="J132" s="3"/>
    </row>
    <row r="133" spans="10:10" x14ac:dyDescent="0.2">
      <c r="J133" s="3"/>
    </row>
    <row r="134" spans="10:10" x14ac:dyDescent="0.2">
      <c r="J134" s="3"/>
    </row>
    <row r="135" spans="10:10" x14ac:dyDescent="0.2">
      <c r="J135" s="3"/>
    </row>
    <row r="136" spans="10:10" x14ac:dyDescent="0.2">
      <c r="J136" s="3"/>
    </row>
    <row r="137" spans="10:10" x14ac:dyDescent="0.2">
      <c r="J137" s="3"/>
    </row>
  </sheetData>
  <mergeCells count="9">
    <mergeCell ref="A15:A16"/>
    <mergeCell ref="A23:A24"/>
    <mergeCell ref="A31:A32"/>
    <mergeCell ref="A17:A18"/>
    <mergeCell ref="A19:A20"/>
    <mergeCell ref="A21:A22"/>
    <mergeCell ref="A25:A26"/>
    <mergeCell ref="A27:A28"/>
    <mergeCell ref="A29:A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818D-0AD7-A549-A35C-AEB79A38C2AC}">
  <sheetPr>
    <tabColor rgb="FF00B0F0"/>
  </sheetPr>
  <dimension ref="A1:AO749"/>
  <sheetViews>
    <sheetView workbookViewId="0">
      <selection activeCell="G27" sqref="G27"/>
    </sheetView>
  </sheetViews>
  <sheetFormatPr baseColWidth="10" defaultRowHeight="15" x14ac:dyDescent="0.2"/>
  <cols>
    <col min="18" max="18" width="18.6640625" customWidth="1"/>
    <col min="29" max="29" width="15" customWidth="1"/>
    <col min="30" max="30" width="16.5" customWidth="1"/>
    <col min="31" max="31" width="10.6640625" customWidth="1"/>
    <col min="32" max="38" width="16.5" customWidth="1"/>
    <col min="40" max="40" width="29" customWidth="1"/>
  </cols>
  <sheetData>
    <row r="1" spans="1:41" x14ac:dyDescent="0.2">
      <c r="A1" t="s">
        <v>5</v>
      </c>
      <c r="B1" t="s">
        <v>6</v>
      </c>
      <c r="C1" t="s">
        <v>14</v>
      </c>
      <c r="D1" t="s">
        <v>7</v>
      </c>
      <c r="E1" t="s">
        <v>8</v>
      </c>
      <c r="F1" t="s">
        <v>17</v>
      </c>
      <c r="G1" t="s">
        <v>21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128</v>
      </c>
      <c r="N1" t="s">
        <v>129</v>
      </c>
      <c r="O1" t="s">
        <v>130</v>
      </c>
      <c r="P1" t="s">
        <v>131</v>
      </c>
      <c r="Q1" t="s">
        <v>132</v>
      </c>
      <c r="R1" t="s">
        <v>150</v>
      </c>
      <c r="S1" t="s">
        <v>151</v>
      </c>
      <c r="T1" t="s">
        <v>152</v>
      </c>
      <c r="U1" t="s">
        <v>153</v>
      </c>
      <c r="V1" t="s">
        <v>154</v>
      </c>
      <c r="W1" t="s">
        <v>155</v>
      </c>
      <c r="X1" t="s">
        <v>161</v>
      </c>
      <c r="Y1" t="s">
        <v>162</v>
      </c>
      <c r="Z1" t="s">
        <v>163</v>
      </c>
      <c r="AA1" t="s">
        <v>164</v>
      </c>
      <c r="AB1" t="s">
        <v>165</v>
      </c>
      <c r="AC1" t="s">
        <v>166</v>
      </c>
      <c r="AD1" t="s">
        <v>167</v>
      </c>
      <c r="AE1" t="s">
        <v>168</v>
      </c>
      <c r="AF1" t="s">
        <v>190</v>
      </c>
      <c r="AG1" t="s">
        <v>167</v>
      </c>
      <c r="AH1" t="s">
        <v>201</v>
      </c>
      <c r="AI1" t="s">
        <v>211</v>
      </c>
      <c r="AJ1" t="s">
        <v>200</v>
      </c>
      <c r="AK1" t="s">
        <v>173</v>
      </c>
      <c r="AN1" t="s">
        <v>157</v>
      </c>
      <c r="AO1" t="s">
        <v>156</v>
      </c>
    </row>
    <row r="2" spans="1:41" x14ac:dyDescent="0.2">
      <c r="A2">
        <v>1</v>
      </c>
      <c r="B2">
        <v>56</v>
      </c>
      <c r="C2" t="s">
        <v>15</v>
      </c>
      <c r="D2">
        <v>58</v>
      </c>
      <c r="E2">
        <v>28.27</v>
      </c>
      <c r="F2" t="s">
        <v>18</v>
      </c>
      <c r="G2" t="s">
        <v>23</v>
      </c>
      <c r="H2">
        <v>2</v>
      </c>
      <c r="I2">
        <v>52.7</v>
      </c>
      <c r="J2">
        <v>6</v>
      </c>
      <c r="K2">
        <v>1614.09</v>
      </c>
      <c r="L2">
        <v>1</v>
      </c>
      <c r="M2" t="s">
        <v>133</v>
      </c>
      <c r="N2" t="str">
        <f>IF(D2&lt;6,"&lt;6",
 IF(D2&lt;12,"6-12",
 IF(D2&lt;24,"12-24","&gt;=24")))</f>
        <v>&gt;=24</v>
      </c>
      <c r="O2" t="str">
        <f>IF(E2&lt;30,"&lt;30",
 IF(E2&lt;60,"30-60",
 IF(E2&lt;90,"60-90","&gt;=90")))</f>
        <v>&lt;30</v>
      </c>
      <c r="P2" t="str">
        <f>IF(J2&lt;4,"1-3",
 IF(J2&lt;7,"4-6","7-10"))</f>
        <v>4-6</v>
      </c>
      <c r="Q2" t="str">
        <f>IF(I2&lt;20,"&lt;20",
 IF(I2&lt;40,"20-40",
 IF(I2&lt;80,"40-80","&gt;=80")))</f>
        <v>40-80</v>
      </c>
      <c r="R2" t="str">
        <f>"ContractType|"&amp;F2</f>
        <v>ContractType|1-Year</v>
      </c>
      <c r="S2" t="str">
        <f>"Tenure_Bin|"&amp;N2</f>
        <v>Tenure_Bin|&gt;=24</v>
      </c>
      <c r="T2" t="str">
        <f>"Satis_Bin|"&amp;P2</f>
        <v>Satis_Bin|4-6</v>
      </c>
      <c r="U2" t="str">
        <f>"Monthly_Bin|"&amp;O2</f>
        <v>Monthly_Bin|&lt;30</v>
      </c>
      <c r="V2" t="str">
        <f>"Usage_Bin|"&amp;Q2</f>
        <v>Usage_Bin|40-80</v>
      </c>
      <c r="W2">
        <f>_xlfn.XLOOKUP(R2,$AN$2:$AN$19,$AO$2:$AO$19,0)</f>
        <v>1</v>
      </c>
      <c r="X2">
        <f>_xlfn.XLOOKUP(N2,$AN$2:$AN$19,$AO$2:$AO$19,0)</f>
        <v>0</v>
      </c>
      <c r="Y2">
        <f>_xlfn.XLOOKUP(P2,$AN$2:$AN$19,$AO$2:$AO$19,0)</f>
        <v>2</v>
      </c>
      <c r="Z2">
        <f>_xlfn.XLOOKUP(O2,$AN$2:$AN$19,$AO$2:$AO$19,0)</f>
        <v>0</v>
      </c>
      <c r="AA2">
        <f>_xlfn.XLOOKUP(Q2,$AN$2:$AN$19,$AO$2:$AO$19,0)</f>
        <v>0</v>
      </c>
      <c r="AB2" s="51">
        <f>SUM(W2:AA2)</f>
        <v>3</v>
      </c>
      <c r="AC2" t="str">
        <f>IF(AB2&gt;=7,"High",
   IF(AB2&gt;=4,"Medium","Low"))</f>
        <v>Low</v>
      </c>
      <c r="AD2" t="str">
        <f>IF(AB2&gt;=$AK$2,"Yes","No")</f>
        <v>No</v>
      </c>
      <c r="AE2">
        <f>IF(AD2="Yes",1,0)</f>
        <v>0</v>
      </c>
      <c r="AF2">
        <f xml:space="preserve">
_xlfn.XLOOKUP(AB2, '3.3 Calibration'!$A$2:$A$14, '3.3 Calibration'!$F$2:$F$14,
        '3.3 Calibration'!$D$2, 1)</f>
        <v>0.42105263157894735</v>
      </c>
      <c r="AG2" t="str">
        <f>IF(AF2 &gt;= 0.5, "Yes", "No")</f>
        <v>No</v>
      </c>
      <c r="AH2" t="str">
        <f>IF(AF2&gt;=0.6,"High",
   IF(AF2&gt;=0.4,"Medium","Low"))</f>
        <v>Medium</v>
      </c>
      <c r="AI2" t="e">
        <f>IF(AH2="High",N2,NA())</f>
        <v>#N/A</v>
      </c>
      <c r="AJ2">
        <f xml:space="preserve"> _xlfn.RANK.EQ(AF2, AF:AF, 0)</f>
        <v>117</v>
      </c>
      <c r="AK2">
        <v>13</v>
      </c>
      <c r="AL2">
        <v>0.5</v>
      </c>
      <c r="AN2" t="s">
        <v>158</v>
      </c>
      <c r="AO2">
        <v>3</v>
      </c>
    </row>
    <row r="3" spans="1:41" x14ac:dyDescent="0.2">
      <c r="A3">
        <v>2</v>
      </c>
      <c r="B3">
        <v>69</v>
      </c>
      <c r="C3" t="s">
        <v>15</v>
      </c>
      <c r="D3">
        <v>63</v>
      </c>
      <c r="E3">
        <v>107.67</v>
      </c>
      <c r="F3" t="s">
        <v>18</v>
      </c>
      <c r="G3" t="s">
        <v>23</v>
      </c>
      <c r="H3">
        <v>1</v>
      </c>
      <c r="I3">
        <v>16.8</v>
      </c>
      <c r="J3">
        <v>1</v>
      </c>
      <c r="K3">
        <v>6505.15</v>
      </c>
      <c r="L3">
        <v>1</v>
      </c>
      <c r="M3" t="s">
        <v>134</v>
      </c>
      <c r="N3" t="str">
        <f>IF(D3&lt;6,"&lt;6",
 IF(D3&lt;12,"6-12",
 IF(D3&lt;24,"12-24","&gt;=24")))</f>
        <v>&gt;=24</v>
      </c>
      <c r="O3" t="str">
        <f t="shared" ref="O3:O66" si="0">IF(E3&lt;30,"&lt;30",
 IF(E3&lt;60,"30-60",
 IF(E3&lt;90,"60-90","&gt;=90")))</f>
        <v>&gt;=90</v>
      </c>
      <c r="P3" t="str">
        <f t="shared" ref="P3:P66" si="1">IF(J3&lt;4,"1-3",
 IF(J3&lt;7,"4-6","7-10"))</f>
        <v>1-3</v>
      </c>
      <c r="Q3" t="str">
        <f t="shared" ref="Q3:Q66" si="2">IF(I3&lt;20,"&lt;20",
 IF(I3&lt;40,"20-40",
 IF(I3&lt;80,"40-80","&gt;=80")))</f>
        <v>&lt;20</v>
      </c>
      <c r="R3" t="str">
        <f t="shared" ref="R3:R66" si="3">"ContractType|"&amp;F3</f>
        <v>ContractType|1-Year</v>
      </c>
      <c r="S3" t="str">
        <f t="shared" ref="S3:S66" si="4">"Tenure_Bin|"&amp;N3</f>
        <v>Tenure_Bin|&gt;=24</v>
      </c>
      <c r="T3" t="str">
        <f t="shared" ref="T3:T66" si="5">"Satis_Bin|"&amp;P3</f>
        <v>Satis_Bin|1-3</v>
      </c>
      <c r="U3" t="str">
        <f t="shared" ref="U3:U66" si="6">"Monthly_Bin|"&amp;O3</f>
        <v>Monthly_Bin|&gt;=90</v>
      </c>
      <c r="V3" t="str">
        <f t="shared" ref="V3:V66" si="7">"Usage_Bin|"&amp;Q3</f>
        <v>Usage_Bin|&lt;20</v>
      </c>
      <c r="W3">
        <f t="shared" ref="W3:W66" si="8">_xlfn.XLOOKUP(R3,$AN$2:$AN$19,$AO$2:$AO$19,0)</f>
        <v>1</v>
      </c>
      <c r="X3">
        <f t="shared" ref="X3:X66" si="9">_xlfn.XLOOKUP(N3,$AN$2:$AN$19,$AO$2:$AO$19,0)</f>
        <v>0</v>
      </c>
      <c r="Y3">
        <f t="shared" ref="Y3:Y66" si="10">_xlfn.XLOOKUP(P3,$AN$2:$AN$19,$AO$2:$AO$19,0)</f>
        <v>4</v>
      </c>
      <c r="Z3">
        <f t="shared" ref="Z3:Z66" si="11">_xlfn.XLOOKUP(O3,$AN$2:$AN$19,$AO$2:$AO$19,0)</f>
        <v>2</v>
      </c>
      <c r="AA3">
        <f t="shared" ref="AA3:AA66" si="12">_xlfn.XLOOKUP(Q3,$AN$2:$AN$19,$AO$2:$AO$19,0)</f>
        <v>2</v>
      </c>
      <c r="AB3" s="51">
        <f t="shared" ref="AB3:AB66" si="13">SUM(W3:AA3)</f>
        <v>9</v>
      </c>
      <c r="AC3" t="str">
        <f t="shared" ref="AC3:AC66" si="14">IF(AB3&gt;=7,"High",
   IF(AB3&gt;=4,"Medium","Low"))</f>
        <v>High</v>
      </c>
      <c r="AD3" t="str">
        <f t="shared" ref="AD3:AD66" si="15">IF(AB3&gt;=$AK$2,"Yes","No")</f>
        <v>No</v>
      </c>
      <c r="AE3">
        <f t="shared" ref="AE3:AE66" si="16">IF(AD3="Yes",1,0)</f>
        <v>0</v>
      </c>
      <c r="AF3">
        <f xml:space="preserve">
_xlfn.XLOOKUP(AB3, '3.3 Calibration'!$A$2:$A$14, '3.3 Calibration'!$F$2:$F$14,
        '3.3 Calibration'!$D$2, 1)</f>
        <v>0.54545454545454541</v>
      </c>
      <c r="AG3" t="str">
        <f>IF(AF3 &gt;= 0.5, "Yes", "No")</f>
        <v>Yes</v>
      </c>
      <c r="AH3" t="str">
        <f t="shared" ref="AH3:AH66" si="17">IF(AF3&gt;=0.6,"High",
   IF(AF3&gt;=0.4,"Medium","Low"))</f>
        <v>Medium</v>
      </c>
      <c r="AI3" t="e">
        <f t="shared" ref="AI3:AI66" si="18">IF(AH3="High",N3,NA())</f>
        <v>#N/A</v>
      </c>
      <c r="AN3" t="s">
        <v>159</v>
      </c>
      <c r="AO3">
        <v>1</v>
      </c>
    </row>
    <row r="4" spans="1:41" x14ac:dyDescent="0.2">
      <c r="A4">
        <v>3</v>
      </c>
      <c r="B4">
        <v>46</v>
      </c>
      <c r="C4" t="s">
        <v>15</v>
      </c>
      <c r="D4">
        <v>62</v>
      </c>
      <c r="E4">
        <v>75.16</v>
      </c>
      <c r="F4" t="s">
        <v>20</v>
      </c>
      <c r="G4" t="s">
        <v>22</v>
      </c>
      <c r="H4">
        <v>1</v>
      </c>
      <c r="I4">
        <v>41.6</v>
      </c>
      <c r="J4">
        <v>5</v>
      </c>
      <c r="K4">
        <v>4646.87</v>
      </c>
      <c r="L4">
        <v>0</v>
      </c>
      <c r="M4" t="s">
        <v>133</v>
      </c>
      <c r="N4" t="str">
        <f t="shared" ref="N4:N66" si="19">IF(D4&lt;6,"&lt;6",
 IF(D4&lt;12,"6-12",
 IF(D4&lt;24,"12-24","&gt;=24")))</f>
        <v>&gt;=24</v>
      </c>
      <c r="O4" t="str">
        <f t="shared" si="0"/>
        <v>60-90</v>
      </c>
      <c r="P4" t="str">
        <f t="shared" si="1"/>
        <v>4-6</v>
      </c>
      <c r="Q4" t="str">
        <f t="shared" si="2"/>
        <v>40-80</v>
      </c>
      <c r="R4" t="str">
        <f t="shared" si="3"/>
        <v>ContractType|Month-to-Month</v>
      </c>
      <c r="S4" t="str">
        <f t="shared" si="4"/>
        <v>Tenure_Bin|&gt;=24</v>
      </c>
      <c r="T4" t="str">
        <f t="shared" si="5"/>
        <v>Satis_Bin|4-6</v>
      </c>
      <c r="U4" t="str">
        <f t="shared" si="6"/>
        <v>Monthly_Bin|60-90</v>
      </c>
      <c r="V4" t="str">
        <f t="shared" si="7"/>
        <v>Usage_Bin|40-80</v>
      </c>
      <c r="W4">
        <f t="shared" si="8"/>
        <v>3</v>
      </c>
      <c r="X4">
        <f t="shared" si="9"/>
        <v>0</v>
      </c>
      <c r="Y4">
        <f t="shared" si="10"/>
        <v>2</v>
      </c>
      <c r="Z4">
        <f t="shared" si="11"/>
        <v>1</v>
      </c>
      <c r="AA4">
        <f t="shared" si="12"/>
        <v>0</v>
      </c>
      <c r="AB4" s="51">
        <f t="shared" si="13"/>
        <v>6</v>
      </c>
      <c r="AC4" t="str">
        <f t="shared" si="14"/>
        <v>Medium</v>
      </c>
      <c r="AD4" t="str">
        <f t="shared" si="15"/>
        <v>No</v>
      </c>
      <c r="AE4">
        <f t="shared" si="16"/>
        <v>0</v>
      </c>
      <c r="AF4">
        <f xml:space="preserve">
_xlfn.XLOOKUP(AB4, '3.3 Calibration'!$A$2:$A$14, '3.3 Calibration'!$F$2:$F$14,
        '3.3 Calibration'!$D$2, 1)</f>
        <v>0.33333333333333331</v>
      </c>
      <c r="AG4" t="str">
        <f t="shared" ref="AG4:AG66" si="20">IF(AF4 &gt;= 0.5, "Yes", "No")</f>
        <v>No</v>
      </c>
      <c r="AH4" t="str">
        <f t="shared" si="17"/>
        <v>Low</v>
      </c>
      <c r="AI4" t="e">
        <f t="shared" si="18"/>
        <v>#N/A</v>
      </c>
      <c r="AN4" t="s">
        <v>160</v>
      </c>
      <c r="AO4">
        <v>0</v>
      </c>
    </row>
    <row r="5" spans="1:41" x14ac:dyDescent="0.2">
      <c r="A5">
        <v>4</v>
      </c>
      <c r="B5">
        <v>32</v>
      </c>
      <c r="C5" t="s">
        <v>16</v>
      </c>
      <c r="D5">
        <v>22</v>
      </c>
      <c r="E5">
        <v>36.479999999999997</v>
      </c>
      <c r="F5" t="s">
        <v>20</v>
      </c>
      <c r="G5" t="s">
        <v>24</v>
      </c>
      <c r="H5">
        <v>1</v>
      </c>
      <c r="I5">
        <v>66.099999999999994</v>
      </c>
      <c r="J5">
        <v>3</v>
      </c>
      <c r="K5">
        <v>814.95</v>
      </c>
      <c r="L5">
        <v>1</v>
      </c>
      <c r="M5" t="s">
        <v>134</v>
      </c>
      <c r="N5" t="str">
        <f t="shared" si="19"/>
        <v>12-24</v>
      </c>
      <c r="O5" t="str">
        <f t="shared" si="0"/>
        <v>30-60</v>
      </c>
      <c r="P5" t="str">
        <f t="shared" si="1"/>
        <v>1-3</v>
      </c>
      <c r="Q5" t="str">
        <f t="shared" si="2"/>
        <v>40-80</v>
      </c>
      <c r="R5" t="str">
        <f t="shared" si="3"/>
        <v>ContractType|Month-to-Month</v>
      </c>
      <c r="S5" t="str">
        <f t="shared" si="4"/>
        <v>Tenure_Bin|12-24</v>
      </c>
      <c r="T5" t="str">
        <f t="shared" si="5"/>
        <v>Satis_Bin|1-3</v>
      </c>
      <c r="U5" t="str">
        <f t="shared" si="6"/>
        <v>Monthly_Bin|30-60</v>
      </c>
      <c r="V5" t="str">
        <f t="shared" si="7"/>
        <v>Usage_Bin|40-80</v>
      </c>
      <c r="W5">
        <f t="shared" si="8"/>
        <v>3</v>
      </c>
      <c r="X5">
        <f t="shared" si="9"/>
        <v>1</v>
      </c>
      <c r="Y5">
        <f t="shared" si="10"/>
        <v>4</v>
      </c>
      <c r="Z5">
        <f t="shared" si="11"/>
        <v>0</v>
      </c>
      <c r="AA5">
        <f t="shared" si="12"/>
        <v>0</v>
      </c>
      <c r="AB5" s="51">
        <f t="shared" si="13"/>
        <v>8</v>
      </c>
      <c r="AC5" t="str">
        <f t="shared" si="14"/>
        <v>High</v>
      </c>
      <c r="AD5" t="str">
        <f t="shared" si="15"/>
        <v>No</v>
      </c>
      <c r="AE5">
        <f t="shared" si="16"/>
        <v>0</v>
      </c>
      <c r="AF5">
        <f xml:space="preserve">
_xlfn.XLOOKUP(AB5, '3.3 Calibration'!$A$2:$A$14, '3.3 Calibration'!$F$2:$F$14,
        '3.3 Calibration'!$D$2, 1)</f>
        <v>0.73684210526315785</v>
      </c>
      <c r="AG5" t="str">
        <f t="shared" si="20"/>
        <v>Yes</v>
      </c>
      <c r="AH5" t="str">
        <f t="shared" si="17"/>
        <v>High</v>
      </c>
      <c r="AI5" t="str">
        <f t="shared" si="18"/>
        <v>12-24</v>
      </c>
      <c r="AN5" s="39" t="s">
        <v>135</v>
      </c>
      <c r="AO5">
        <v>3</v>
      </c>
    </row>
    <row r="6" spans="1:41" x14ac:dyDescent="0.2">
      <c r="A6">
        <v>5</v>
      </c>
      <c r="B6">
        <v>60</v>
      </c>
      <c r="C6" t="s">
        <v>16</v>
      </c>
      <c r="D6">
        <v>58</v>
      </c>
      <c r="E6">
        <v>61.13</v>
      </c>
      <c r="F6" t="s">
        <v>18</v>
      </c>
      <c r="G6" t="s">
        <v>22</v>
      </c>
      <c r="H6">
        <v>3</v>
      </c>
      <c r="I6">
        <v>79.099999999999994</v>
      </c>
      <c r="J6">
        <v>1</v>
      </c>
      <c r="K6">
        <v>3222</v>
      </c>
      <c r="L6">
        <v>1</v>
      </c>
      <c r="M6" t="s">
        <v>134</v>
      </c>
      <c r="N6" t="str">
        <f t="shared" si="19"/>
        <v>&gt;=24</v>
      </c>
      <c r="O6" t="str">
        <f t="shared" si="0"/>
        <v>60-90</v>
      </c>
      <c r="P6" t="str">
        <f t="shared" si="1"/>
        <v>1-3</v>
      </c>
      <c r="Q6" t="str">
        <f t="shared" si="2"/>
        <v>40-80</v>
      </c>
      <c r="R6" t="str">
        <f t="shared" si="3"/>
        <v>ContractType|1-Year</v>
      </c>
      <c r="S6" t="str">
        <f t="shared" si="4"/>
        <v>Tenure_Bin|&gt;=24</v>
      </c>
      <c r="T6" t="str">
        <f t="shared" si="5"/>
        <v>Satis_Bin|1-3</v>
      </c>
      <c r="U6" t="str">
        <f t="shared" si="6"/>
        <v>Monthly_Bin|60-90</v>
      </c>
      <c r="V6" t="str">
        <f t="shared" si="7"/>
        <v>Usage_Bin|40-80</v>
      </c>
      <c r="W6">
        <f t="shared" si="8"/>
        <v>1</v>
      </c>
      <c r="X6">
        <f t="shared" si="9"/>
        <v>0</v>
      </c>
      <c r="Y6">
        <f t="shared" si="10"/>
        <v>4</v>
      </c>
      <c r="Z6">
        <f t="shared" si="11"/>
        <v>1</v>
      </c>
      <c r="AA6">
        <f t="shared" si="12"/>
        <v>0</v>
      </c>
      <c r="AB6" s="51">
        <f t="shared" si="13"/>
        <v>6</v>
      </c>
      <c r="AC6" t="str">
        <f t="shared" si="14"/>
        <v>Medium</v>
      </c>
      <c r="AD6" t="str">
        <f t="shared" si="15"/>
        <v>No</v>
      </c>
      <c r="AE6">
        <f t="shared" si="16"/>
        <v>0</v>
      </c>
      <c r="AF6">
        <f xml:space="preserve">
_xlfn.XLOOKUP(AB6, '3.3 Calibration'!$A$2:$A$14, '3.3 Calibration'!$F$2:$F$14,
        '3.3 Calibration'!$D$2, 1)</f>
        <v>0.33333333333333331</v>
      </c>
      <c r="AG6" t="str">
        <f t="shared" si="20"/>
        <v>No</v>
      </c>
      <c r="AH6" t="str">
        <f t="shared" si="17"/>
        <v>Low</v>
      </c>
      <c r="AI6" t="e">
        <f t="shared" si="18"/>
        <v>#N/A</v>
      </c>
      <c r="AN6" s="39" t="s">
        <v>138</v>
      </c>
      <c r="AO6">
        <v>2</v>
      </c>
    </row>
    <row r="7" spans="1:41" x14ac:dyDescent="0.2">
      <c r="A7">
        <v>6</v>
      </c>
      <c r="B7">
        <v>25</v>
      </c>
      <c r="C7" t="s">
        <v>15</v>
      </c>
      <c r="D7">
        <v>58</v>
      </c>
      <c r="E7">
        <v>97.76</v>
      </c>
      <c r="F7" t="s">
        <v>20</v>
      </c>
      <c r="G7" t="s">
        <v>24</v>
      </c>
      <c r="H7">
        <v>2</v>
      </c>
      <c r="I7">
        <v>25.6</v>
      </c>
      <c r="J7">
        <v>4</v>
      </c>
      <c r="K7">
        <v>5242.5600000000004</v>
      </c>
      <c r="L7">
        <v>1</v>
      </c>
      <c r="M7" t="s">
        <v>134</v>
      </c>
      <c r="N7" t="str">
        <f t="shared" si="19"/>
        <v>&gt;=24</v>
      </c>
      <c r="O7" t="str">
        <f t="shared" si="0"/>
        <v>&gt;=90</v>
      </c>
      <c r="P7" t="str">
        <f t="shared" si="1"/>
        <v>4-6</v>
      </c>
      <c r="Q7" t="str">
        <f t="shared" si="2"/>
        <v>20-40</v>
      </c>
      <c r="R7" t="str">
        <f t="shared" si="3"/>
        <v>ContractType|Month-to-Month</v>
      </c>
      <c r="S7" t="str">
        <f t="shared" si="4"/>
        <v>Tenure_Bin|&gt;=24</v>
      </c>
      <c r="T7" t="str">
        <f t="shared" si="5"/>
        <v>Satis_Bin|4-6</v>
      </c>
      <c r="U7" t="str">
        <f t="shared" si="6"/>
        <v>Monthly_Bin|&gt;=90</v>
      </c>
      <c r="V7" t="str">
        <f t="shared" si="7"/>
        <v>Usage_Bin|20-40</v>
      </c>
      <c r="W7">
        <f t="shared" si="8"/>
        <v>3</v>
      </c>
      <c r="X7">
        <f t="shared" si="9"/>
        <v>0</v>
      </c>
      <c r="Y7">
        <f t="shared" si="10"/>
        <v>2</v>
      </c>
      <c r="Z7">
        <f t="shared" si="11"/>
        <v>2</v>
      </c>
      <c r="AA7">
        <f t="shared" si="12"/>
        <v>1</v>
      </c>
      <c r="AB7" s="51">
        <f t="shared" si="13"/>
        <v>8</v>
      </c>
      <c r="AC7" t="str">
        <f t="shared" si="14"/>
        <v>High</v>
      </c>
      <c r="AD7" t="str">
        <f t="shared" si="15"/>
        <v>No</v>
      </c>
      <c r="AE7">
        <f t="shared" si="16"/>
        <v>0</v>
      </c>
      <c r="AF7">
        <f xml:space="preserve">
_xlfn.XLOOKUP(AB7, '3.3 Calibration'!$A$2:$A$14, '3.3 Calibration'!$F$2:$F$14,
        '3.3 Calibration'!$D$2, 1)</f>
        <v>0.73684210526315785</v>
      </c>
      <c r="AG7" t="str">
        <f t="shared" si="20"/>
        <v>Yes</v>
      </c>
      <c r="AH7" t="str">
        <f t="shared" si="17"/>
        <v>High</v>
      </c>
      <c r="AI7" t="str">
        <f t="shared" si="18"/>
        <v>&gt;=24</v>
      </c>
      <c r="AN7" s="39" t="s">
        <v>137</v>
      </c>
      <c r="AO7">
        <v>1</v>
      </c>
    </row>
    <row r="8" spans="1:41" x14ac:dyDescent="0.2">
      <c r="A8">
        <v>7</v>
      </c>
      <c r="B8">
        <v>38</v>
      </c>
      <c r="C8" t="s">
        <v>15</v>
      </c>
      <c r="D8">
        <v>49</v>
      </c>
      <c r="E8">
        <v>68.040000000000006</v>
      </c>
      <c r="F8" t="s">
        <v>18</v>
      </c>
      <c r="G8" t="s">
        <v>23</v>
      </c>
      <c r="H8">
        <v>2</v>
      </c>
      <c r="I8">
        <v>18.100000000000001</v>
      </c>
      <c r="J8">
        <v>2</v>
      </c>
      <c r="K8">
        <v>3373.06</v>
      </c>
      <c r="L8">
        <v>1</v>
      </c>
      <c r="M8" t="s">
        <v>133</v>
      </c>
      <c r="N8" t="str">
        <f t="shared" si="19"/>
        <v>&gt;=24</v>
      </c>
      <c r="O8" t="str">
        <f t="shared" si="0"/>
        <v>60-90</v>
      </c>
      <c r="P8" t="str">
        <f t="shared" si="1"/>
        <v>1-3</v>
      </c>
      <c r="Q8" t="str">
        <f t="shared" si="2"/>
        <v>&lt;20</v>
      </c>
      <c r="R8" t="str">
        <f t="shared" si="3"/>
        <v>ContractType|1-Year</v>
      </c>
      <c r="S8" t="str">
        <f t="shared" si="4"/>
        <v>Tenure_Bin|&gt;=24</v>
      </c>
      <c r="T8" t="str">
        <f t="shared" si="5"/>
        <v>Satis_Bin|1-3</v>
      </c>
      <c r="U8" t="str">
        <f t="shared" si="6"/>
        <v>Monthly_Bin|60-90</v>
      </c>
      <c r="V8" t="str">
        <f t="shared" si="7"/>
        <v>Usage_Bin|&lt;20</v>
      </c>
      <c r="W8">
        <f t="shared" si="8"/>
        <v>1</v>
      </c>
      <c r="X8">
        <f t="shared" si="9"/>
        <v>0</v>
      </c>
      <c r="Y8">
        <f t="shared" si="10"/>
        <v>4</v>
      </c>
      <c r="Z8">
        <f t="shared" si="11"/>
        <v>1</v>
      </c>
      <c r="AA8">
        <f t="shared" si="12"/>
        <v>2</v>
      </c>
      <c r="AB8" s="51">
        <f t="shared" si="13"/>
        <v>8</v>
      </c>
      <c r="AC8" t="str">
        <f t="shared" si="14"/>
        <v>High</v>
      </c>
      <c r="AD8" t="str">
        <f t="shared" si="15"/>
        <v>No</v>
      </c>
      <c r="AE8">
        <f t="shared" si="16"/>
        <v>0</v>
      </c>
      <c r="AF8">
        <f xml:space="preserve">
_xlfn.XLOOKUP(AB8, '3.3 Calibration'!$A$2:$A$14, '3.3 Calibration'!$F$2:$F$14,
        '3.3 Calibration'!$D$2, 1)</f>
        <v>0.73684210526315785</v>
      </c>
      <c r="AG8" t="str">
        <f t="shared" si="20"/>
        <v>Yes</v>
      </c>
      <c r="AH8" t="str">
        <f t="shared" si="17"/>
        <v>High</v>
      </c>
      <c r="AI8" t="str">
        <f t="shared" si="18"/>
        <v>&gt;=24</v>
      </c>
      <c r="AN8" s="39" t="s">
        <v>136</v>
      </c>
      <c r="AO8">
        <v>0</v>
      </c>
    </row>
    <row r="9" spans="1:41" x14ac:dyDescent="0.2">
      <c r="A9">
        <v>8</v>
      </c>
      <c r="B9">
        <v>56</v>
      </c>
      <c r="C9" t="s">
        <v>16</v>
      </c>
      <c r="D9">
        <v>52</v>
      </c>
      <c r="E9">
        <v>118.53</v>
      </c>
      <c r="F9" t="s">
        <v>20</v>
      </c>
      <c r="G9" t="s">
        <v>24</v>
      </c>
      <c r="H9">
        <v>3</v>
      </c>
      <c r="I9">
        <v>68</v>
      </c>
      <c r="J9">
        <v>2</v>
      </c>
      <c r="K9">
        <v>5970.23</v>
      </c>
      <c r="L9">
        <v>0</v>
      </c>
      <c r="M9" t="s">
        <v>133</v>
      </c>
      <c r="N9" t="str">
        <f t="shared" si="19"/>
        <v>&gt;=24</v>
      </c>
      <c r="O9" t="str">
        <f t="shared" si="0"/>
        <v>&gt;=90</v>
      </c>
      <c r="P9" t="str">
        <f t="shared" si="1"/>
        <v>1-3</v>
      </c>
      <c r="Q9" t="str">
        <f t="shared" si="2"/>
        <v>40-80</v>
      </c>
      <c r="R9" t="str">
        <f t="shared" si="3"/>
        <v>ContractType|Month-to-Month</v>
      </c>
      <c r="S9" t="str">
        <f t="shared" si="4"/>
        <v>Tenure_Bin|&gt;=24</v>
      </c>
      <c r="T9" t="str">
        <f t="shared" si="5"/>
        <v>Satis_Bin|1-3</v>
      </c>
      <c r="U9" t="str">
        <f t="shared" si="6"/>
        <v>Monthly_Bin|&gt;=90</v>
      </c>
      <c r="V9" t="str">
        <f t="shared" si="7"/>
        <v>Usage_Bin|40-80</v>
      </c>
      <c r="W9">
        <f t="shared" si="8"/>
        <v>3</v>
      </c>
      <c r="X9">
        <f t="shared" si="9"/>
        <v>0</v>
      </c>
      <c r="Y9">
        <f t="shared" si="10"/>
        <v>4</v>
      </c>
      <c r="Z9">
        <f t="shared" si="11"/>
        <v>2</v>
      </c>
      <c r="AA9">
        <f t="shared" si="12"/>
        <v>0</v>
      </c>
      <c r="AB9" s="51">
        <f t="shared" si="13"/>
        <v>9</v>
      </c>
      <c r="AC9" t="str">
        <f t="shared" si="14"/>
        <v>High</v>
      </c>
      <c r="AD9" t="str">
        <f t="shared" si="15"/>
        <v>No</v>
      </c>
      <c r="AE9">
        <f t="shared" si="16"/>
        <v>0</v>
      </c>
      <c r="AF9">
        <f xml:space="preserve">
_xlfn.XLOOKUP(AB9, '3.3 Calibration'!$A$2:$A$14, '3.3 Calibration'!$F$2:$F$14,
        '3.3 Calibration'!$D$2, 1)</f>
        <v>0.54545454545454541</v>
      </c>
      <c r="AG9" t="str">
        <f t="shared" si="20"/>
        <v>Yes</v>
      </c>
      <c r="AH9" t="str">
        <f t="shared" si="17"/>
        <v>Medium</v>
      </c>
      <c r="AI9" t="e">
        <f t="shared" si="18"/>
        <v>#N/A</v>
      </c>
      <c r="AN9" s="39" t="s">
        <v>147</v>
      </c>
      <c r="AO9">
        <v>4</v>
      </c>
    </row>
    <row r="10" spans="1:41" x14ac:dyDescent="0.2">
      <c r="A10">
        <v>9</v>
      </c>
      <c r="B10">
        <v>36</v>
      </c>
      <c r="C10" t="s">
        <v>16</v>
      </c>
      <c r="D10">
        <v>42</v>
      </c>
      <c r="E10">
        <v>57.67</v>
      </c>
      <c r="F10" t="s">
        <v>20</v>
      </c>
      <c r="G10" t="s">
        <v>22</v>
      </c>
      <c r="H10">
        <v>0</v>
      </c>
      <c r="I10">
        <v>5.2</v>
      </c>
      <c r="J10">
        <v>3</v>
      </c>
      <c r="K10">
        <v>2533.16</v>
      </c>
      <c r="L10">
        <v>1</v>
      </c>
      <c r="M10" t="s">
        <v>133</v>
      </c>
      <c r="N10" t="str">
        <f t="shared" si="19"/>
        <v>&gt;=24</v>
      </c>
      <c r="O10" t="str">
        <f t="shared" si="0"/>
        <v>30-60</v>
      </c>
      <c r="P10" t="str">
        <f t="shared" si="1"/>
        <v>1-3</v>
      </c>
      <c r="Q10" t="str">
        <f t="shared" si="2"/>
        <v>&lt;20</v>
      </c>
      <c r="R10" t="str">
        <f t="shared" si="3"/>
        <v>ContractType|Month-to-Month</v>
      </c>
      <c r="S10" t="str">
        <f t="shared" si="4"/>
        <v>Tenure_Bin|&gt;=24</v>
      </c>
      <c r="T10" t="str">
        <f t="shared" si="5"/>
        <v>Satis_Bin|1-3</v>
      </c>
      <c r="U10" t="str">
        <f t="shared" si="6"/>
        <v>Monthly_Bin|30-60</v>
      </c>
      <c r="V10" t="str">
        <f t="shared" si="7"/>
        <v>Usage_Bin|&lt;20</v>
      </c>
      <c r="W10">
        <f t="shared" si="8"/>
        <v>3</v>
      </c>
      <c r="X10">
        <f t="shared" si="9"/>
        <v>0</v>
      </c>
      <c r="Y10">
        <f t="shared" si="10"/>
        <v>4</v>
      </c>
      <c r="Z10">
        <f t="shared" si="11"/>
        <v>0</v>
      </c>
      <c r="AA10">
        <f t="shared" si="12"/>
        <v>2</v>
      </c>
      <c r="AB10" s="51">
        <f t="shared" si="13"/>
        <v>9</v>
      </c>
      <c r="AC10" t="str">
        <f t="shared" si="14"/>
        <v>High</v>
      </c>
      <c r="AD10" t="str">
        <f t="shared" si="15"/>
        <v>No</v>
      </c>
      <c r="AE10">
        <f t="shared" si="16"/>
        <v>0</v>
      </c>
      <c r="AF10">
        <f xml:space="preserve">
_xlfn.XLOOKUP(AB10, '3.3 Calibration'!$A$2:$A$14, '3.3 Calibration'!$F$2:$F$14,
        '3.3 Calibration'!$D$2, 1)</f>
        <v>0.54545454545454541</v>
      </c>
      <c r="AG10" t="str">
        <f t="shared" si="20"/>
        <v>Yes</v>
      </c>
      <c r="AH10" t="str">
        <f t="shared" si="17"/>
        <v>Medium</v>
      </c>
      <c r="AI10" t="e">
        <f t="shared" si="18"/>
        <v>#N/A</v>
      </c>
      <c r="AN10" s="39" t="s">
        <v>148</v>
      </c>
      <c r="AO10">
        <v>2</v>
      </c>
    </row>
    <row r="11" spans="1:41" x14ac:dyDescent="0.2">
      <c r="A11">
        <v>10</v>
      </c>
      <c r="B11">
        <v>40</v>
      </c>
      <c r="C11" t="s">
        <v>15</v>
      </c>
      <c r="D11">
        <v>70</v>
      </c>
      <c r="E11">
        <v>94.96</v>
      </c>
      <c r="F11" t="s">
        <v>20</v>
      </c>
      <c r="G11" t="s">
        <v>23</v>
      </c>
      <c r="H11">
        <v>5</v>
      </c>
      <c r="I11">
        <v>21.9</v>
      </c>
      <c r="J11">
        <v>8</v>
      </c>
      <c r="K11">
        <v>6849.66</v>
      </c>
      <c r="L11">
        <v>0</v>
      </c>
      <c r="M11" t="s">
        <v>134</v>
      </c>
      <c r="N11" t="str">
        <f t="shared" si="19"/>
        <v>&gt;=24</v>
      </c>
      <c r="O11" t="str">
        <f t="shared" si="0"/>
        <v>&gt;=90</v>
      </c>
      <c r="P11" t="str">
        <f t="shared" si="1"/>
        <v>7-10</v>
      </c>
      <c r="Q11" t="str">
        <f t="shared" si="2"/>
        <v>20-40</v>
      </c>
      <c r="R11" t="str">
        <f t="shared" si="3"/>
        <v>ContractType|Month-to-Month</v>
      </c>
      <c r="S11" t="str">
        <f t="shared" si="4"/>
        <v>Tenure_Bin|&gt;=24</v>
      </c>
      <c r="T11" t="str">
        <f t="shared" si="5"/>
        <v>Satis_Bin|7-10</v>
      </c>
      <c r="U11" t="str">
        <f t="shared" si="6"/>
        <v>Monthly_Bin|&gt;=90</v>
      </c>
      <c r="V11" t="str">
        <f t="shared" si="7"/>
        <v>Usage_Bin|20-40</v>
      </c>
      <c r="W11">
        <f t="shared" si="8"/>
        <v>3</v>
      </c>
      <c r="X11">
        <f t="shared" si="9"/>
        <v>0</v>
      </c>
      <c r="Y11">
        <f t="shared" si="10"/>
        <v>0</v>
      </c>
      <c r="Z11">
        <f t="shared" si="11"/>
        <v>2</v>
      </c>
      <c r="AA11">
        <f t="shared" si="12"/>
        <v>1</v>
      </c>
      <c r="AB11" s="51">
        <f t="shared" si="13"/>
        <v>6</v>
      </c>
      <c r="AC11" t="str">
        <f t="shared" si="14"/>
        <v>Medium</v>
      </c>
      <c r="AD11" t="str">
        <f t="shared" si="15"/>
        <v>No</v>
      </c>
      <c r="AE11">
        <f t="shared" si="16"/>
        <v>0</v>
      </c>
      <c r="AF11">
        <f xml:space="preserve">
_xlfn.XLOOKUP(AB11, '3.3 Calibration'!$A$2:$A$14, '3.3 Calibration'!$F$2:$F$14,
        '3.3 Calibration'!$D$2, 1)</f>
        <v>0.33333333333333331</v>
      </c>
      <c r="AG11" t="str">
        <f t="shared" si="20"/>
        <v>No</v>
      </c>
      <c r="AH11" t="str">
        <f t="shared" si="17"/>
        <v>Low</v>
      </c>
      <c r="AI11" t="e">
        <f t="shared" si="18"/>
        <v>#N/A</v>
      </c>
      <c r="AN11" s="39" t="s">
        <v>149</v>
      </c>
      <c r="AO11">
        <v>0</v>
      </c>
    </row>
    <row r="12" spans="1:41" x14ac:dyDescent="0.2">
      <c r="A12">
        <v>11</v>
      </c>
      <c r="B12">
        <v>28</v>
      </c>
      <c r="C12" t="s">
        <v>16</v>
      </c>
      <c r="D12">
        <v>15</v>
      </c>
      <c r="E12">
        <v>59.3</v>
      </c>
      <c r="F12" t="s">
        <v>20</v>
      </c>
      <c r="G12" t="s">
        <v>22</v>
      </c>
      <c r="H12">
        <v>1</v>
      </c>
      <c r="I12">
        <v>7.8</v>
      </c>
      <c r="J12">
        <v>8</v>
      </c>
      <c r="K12">
        <v>950.98</v>
      </c>
      <c r="L12">
        <v>0</v>
      </c>
      <c r="M12" t="s">
        <v>134</v>
      </c>
      <c r="N12" t="str">
        <f t="shared" si="19"/>
        <v>12-24</v>
      </c>
      <c r="O12" t="str">
        <f t="shared" si="0"/>
        <v>30-60</v>
      </c>
      <c r="P12" t="str">
        <f t="shared" si="1"/>
        <v>7-10</v>
      </c>
      <c r="Q12" t="str">
        <f t="shared" si="2"/>
        <v>&lt;20</v>
      </c>
      <c r="R12" t="str">
        <f t="shared" si="3"/>
        <v>ContractType|Month-to-Month</v>
      </c>
      <c r="S12" t="str">
        <f t="shared" si="4"/>
        <v>Tenure_Bin|12-24</v>
      </c>
      <c r="T12" t="str">
        <f t="shared" si="5"/>
        <v>Satis_Bin|7-10</v>
      </c>
      <c r="U12" t="str">
        <f t="shared" si="6"/>
        <v>Monthly_Bin|30-60</v>
      </c>
      <c r="V12" t="str">
        <f t="shared" si="7"/>
        <v>Usage_Bin|&lt;20</v>
      </c>
      <c r="W12">
        <f t="shared" si="8"/>
        <v>3</v>
      </c>
      <c r="X12">
        <f t="shared" si="9"/>
        <v>1</v>
      </c>
      <c r="Y12">
        <f t="shared" si="10"/>
        <v>0</v>
      </c>
      <c r="Z12">
        <f t="shared" si="11"/>
        <v>0</v>
      </c>
      <c r="AA12">
        <f t="shared" si="12"/>
        <v>2</v>
      </c>
      <c r="AB12" s="51">
        <f t="shared" si="13"/>
        <v>6</v>
      </c>
      <c r="AC12" t="str">
        <f t="shared" si="14"/>
        <v>Medium</v>
      </c>
      <c r="AD12" t="str">
        <f t="shared" si="15"/>
        <v>No</v>
      </c>
      <c r="AE12">
        <f t="shared" si="16"/>
        <v>0</v>
      </c>
      <c r="AF12">
        <f xml:space="preserve">
_xlfn.XLOOKUP(AB12, '3.3 Calibration'!$A$2:$A$14, '3.3 Calibration'!$F$2:$F$14,
        '3.3 Calibration'!$D$2, 1)</f>
        <v>0.33333333333333331</v>
      </c>
      <c r="AG12" t="str">
        <f t="shared" si="20"/>
        <v>No</v>
      </c>
      <c r="AH12" t="str">
        <f t="shared" si="17"/>
        <v>Low</v>
      </c>
      <c r="AI12" t="e">
        <f t="shared" si="18"/>
        <v>#N/A</v>
      </c>
      <c r="AN12" s="39" t="s">
        <v>140</v>
      </c>
      <c r="AO12">
        <v>2</v>
      </c>
    </row>
    <row r="13" spans="1:41" x14ac:dyDescent="0.2">
      <c r="A13">
        <v>12</v>
      </c>
      <c r="B13">
        <v>28</v>
      </c>
      <c r="C13" t="s">
        <v>15</v>
      </c>
      <c r="D13">
        <v>54</v>
      </c>
      <c r="E13">
        <v>102.92</v>
      </c>
      <c r="F13" t="s">
        <v>18</v>
      </c>
      <c r="G13" t="s">
        <v>22</v>
      </c>
      <c r="H13">
        <v>3</v>
      </c>
      <c r="I13">
        <v>20.9</v>
      </c>
      <c r="J13">
        <v>7</v>
      </c>
      <c r="K13">
        <v>5771.64</v>
      </c>
      <c r="L13">
        <v>0</v>
      </c>
      <c r="M13" t="s">
        <v>133</v>
      </c>
      <c r="N13" t="str">
        <f t="shared" si="19"/>
        <v>&gt;=24</v>
      </c>
      <c r="O13" t="str">
        <f t="shared" si="0"/>
        <v>&gt;=90</v>
      </c>
      <c r="P13" t="str">
        <f t="shared" si="1"/>
        <v>7-10</v>
      </c>
      <c r="Q13" t="str">
        <f t="shared" si="2"/>
        <v>20-40</v>
      </c>
      <c r="R13" t="str">
        <f t="shared" si="3"/>
        <v>ContractType|1-Year</v>
      </c>
      <c r="S13" t="str">
        <f t="shared" si="4"/>
        <v>Tenure_Bin|&gt;=24</v>
      </c>
      <c r="T13" t="str">
        <f t="shared" si="5"/>
        <v>Satis_Bin|7-10</v>
      </c>
      <c r="U13" t="str">
        <f t="shared" si="6"/>
        <v>Monthly_Bin|&gt;=90</v>
      </c>
      <c r="V13" t="str">
        <f t="shared" si="7"/>
        <v>Usage_Bin|20-40</v>
      </c>
      <c r="W13">
        <f t="shared" si="8"/>
        <v>1</v>
      </c>
      <c r="X13">
        <f t="shared" si="9"/>
        <v>0</v>
      </c>
      <c r="Y13">
        <f t="shared" si="10"/>
        <v>0</v>
      </c>
      <c r="Z13">
        <f t="shared" si="11"/>
        <v>2</v>
      </c>
      <c r="AA13">
        <f t="shared" si="12"/>
        <v>1</v>
      </c>
      <c r="AB13" s="51">
        <f t="shared" si="13"/>
        <v>4</v>
      </c>
      <c r="AC13" t="str">
        <f t="shared" si="14"/>
        <v>Medium</v>
      </c>
      <c r="AD13" t="str">
        <f t="shared" si="15"/>
        <v>No</v>
      </c>
      <c r="AE13">
        <f t="shared" si="16"/>
        <v>0</v>
      </c>
      <c r="AF13">
        <f xml:space="preserve">
_xlfn.XLOOKUP(AB13, '3.3 Calibration'!$A$2:$A$14, '3.3 Calibration'!$F$2:$F$14,
        '3.3 Calibration'!$D$2, 1)</f>
        <v>0.40740740740740738</v>
      </c>
      <c r="AG13" t="str">
        <f t="shared" si="20"/>
        <v>No</v>
      </c>
      <c r="AH13" t="str">
        <f t="shared" si="17"/>
        <v>Medium</v>
      </c>
      <c r="AI13" t="e">
        <f t="shared" si="18"/>
        <v>#N/A</v>
      </c>
      <c r="AN13" s="39" t="s">
        <v>142</v>
      </c>
      <c r="AO13">
        <v>1</v>
      </c>
    </row>
    <row r="14" spans="1:41" x14ac:dyDescent="0.2">
      <c r="A14">
        <v>13</v>
      </c>
      <c r="B14">
        <v>41</v>
      </c>
      <c r="C14" t="s">
        <v>15</v>
      </c>
      <c r="D14">
        <v>60</v>
      </c>
      <c r="E14">
        <v>76.91</v>
      </c>
      <c r="F14" t="s">
        <v>20</v>
      </c>
      <c r="G14" t="s">
        <v>24</v>
      </c>
      <c r="H14">
        <v>0</v>
      </c>
      <c r="I14">
        <v>22.2</v>
      </c>
      <c r="J14">
        <v>6</v>
      </c>
      <c r="K14">
        <v>4549.93</v>
      </c>
      <c r="L14">
        <v>0</v>
      </c>
      <c r="M14" t="s">
        <v>134</v>
      </c>
      <c r="N14" t="str">
        <f t="shared" si="19"/>
        <v>&gt;=24</v>
      </c>
      <c r="O14" t="str">
        <f t="shared" si="0"/>
        <v>60-90</v>
      </c>
      <c r="P14" t="str">
        <f t="shared" si="1"/>
        <v>4-6</v>
      </c>
      <c r="Q14" t="str">
        <f t="shared" si="2"/>
        <v>20-40</v>
      </c>
      <c r="R14" t="str">
        <f t="shared" si="3"/>
        <v>ContractType|Month-to-Month</v>
      </c>
      <c r="S14" t="str">
        <f t="shared" si="4"/>
        <v>Tenure_Bin|&gt;=24</v>
      </c>
      <c r="T14" t="str">
        <f t="shared" si="5"/>
        <v>Satis_Bin|4-6</v>
      </c>
      <c r="U14" t="str">
        <f t="shared" si="6"/>
        <v>Monthly_Bin|60-90</v>
      </c>
      <c r="V14" t="str">
        <f t="shared" si="7"/>
        <v>Usage_Bin|20-40</v>
      </c>
      <c r="W14">
        <f t="shared" si="8"/>
        <v>3</v>
      </c>
      <c r="X14">
        <f t="shared" si="9"/>
        <v>0</v>
      </c>
      <c r="Y14">
        <f t="shared" si="10"/>
        <v>2</v>
      </c>
      <c r="Z14">
        <f t="shared" si="11"/>
        <v>1</v>
      </c>
      <c r="AA14">
        <f t="shared" si="12"/>
        <v>1</v>
      </c>
      <c r="AB14" s="51">
        <f t="shared" si="13"/>
        <v>7</v>
      </c>
      <c r="AC14" t="str">
        <f t="shared" si="14"/>
        <v>High</v>
      </c>
      <c r="AD14" t="str">
        <f t="shared" si="15"/>
        <v>No</v>
      </c>
      <c r="AE14">
        <f t="shared" si="16"/>
        <v>0</v>
      </c>
      <c r="AF14">
        <f xml:space="preserve">
_xlfn.XLOOKUP(AB14, '3.3 Calibration'!$A$2:$A$14, '3.3 Calibration'!$F$2:$F$14,
        '3.3 Calibration'!$D$2, 1)</f>
        <v>0.54166666666666663</v>
      </c>
      <c r="AG14" t="str">
        <f t="shared" si="20"/>
        <v>Yes</v>
      </c>
      <c r="AH14" t="str">
        <f t="shared" si="17"/>
        <v>Medium</v>
      </c>
      <c r="AI14" t="e">
        <f t="shared" si="18"/>
        <v>#N/A</v>
      </c>
      <c r="AN14" s="39" t="s">
        <v>141</v>
      </c>
      <c r="AO14">
        <v>0</v>
      </c>
    </row>
    <row r="15" spans="1:41" x14ac:dyDescent="0.2">
      <c r="A15">
        <v>14</v>
      </c>
      <c r="B15">
        <v>53</v>
      </c>
      <c r="C15" t="s">
        <v>16</v>
      </c>
      <c r="D15">
        <v>8</v>
      </c>
      <c r="E15">
        <v>26.35</v>
      </c>
      <c r="F15" t="s">
        <v>20</v>
      </c>
      <c r="G15" t="s">
        <v>22</v>
      </c>
      <c r="H15">
        <v>1</v>
      </c>
      <c r="I15">
        <v>41.8</v>
      </c>
      <c r="J15">
        <v>9</v>
      </c>
      <c r="K15">
        <v>218.09</v>
      </c>
      <c r="L15">
        <v>1</v>
      </c>
      <c r="M15" t="s">
        <v>134</v>
      </c>
      <c r="N15" t="str">
        <f t="shared" si="19"/>
        <v>6-12</v>
      </c>
      <c r="O15" t="str">
        <f t="shared" si="0"/>
        <v>&lt;30</v>
      </c>
      <c r="P15" t="str">
        <f t="shared" si="1"/>
        <v>7-10</v>
      </c>
      <c r="Q15" t="str">
        <f t="shared" si="2"/>
        <v>40-80</v>
      </c>
      <c r="R15" t="str">
        <f t="shared" si="3"/>
        <v>ContractType|Month-to-Month</v>
      </c>
      <c r="S15" t="str">
        <f t="shared" si="4"/>
        <v>Tenure_Bin|6-12</v>
      </c>
      <c r="T15" t="str">
        <f t="shared" si="5"/>
        <v>Satis_Bin|7-10</v>
      </c>
      <c r="U15" t="str">
        <f t="shared" si="6"/>
        <v>Monthly_Bin|&lt;30</v>
      </c>
      <c r="V15" t="str">
        <f t="shared" si="7"/>
        <v>Usage_Bin|40-80</v>
      </c>
      <c r="W15">
        <f t="shared" si="8"/>
        <v>3</v>
      </c>
      <c r="X15">
        <f t="shared" si="9"/>
        <v>2</v>
      </c>
      <c r="Y15">
        <f t="shared" si="10"/>
        <v>0</v>
      </c>
      <c r="Z15">
        <f t="shared" si="11"/>
        <v>0</v>
      </c>
      <c r="AA15">
        <f t="shared" si="12"/>
        <v>0</v>
      </c>
      <c r="AB15" s="51">
        <f t="shared" si="13"/>
        <v>5</v>
      </c>
      <c r="AC15" t="str">
        <f t="shared" si="14"/>
        <v>Medium</v>
      </c>
      <c r="AD15" t="str">
        <f t="shared" si="15"/>
        <v>No</v>
      </c>
      <c r="AE15">
        <f t="shared" si="16"/>
        <v>0</v>
      </c>
      <c r="AF15">
        <f xml:space="preserve">
_xlfn.XLOOKUP(AB15, '3.3 Calibration'!$A$2:$A$14, '3.3 Calibration'!$F$2:$F$14,
        '3.3 Calibration'!$D$2, 1)</f>
        <v>0.33333333333333331</v>
      </c>
      <c r="AG15" t="str">
        <f t="shared" si="20"/>
        <v>No</v>
      </c>
      <c r="AH15" t="str">
        <f t="shared" si="17"/>
        <v>Low</v>
      </c>
      <c r="AI15" t="e">
        <f t="shared" si="18"/>
        <v>#N/A</v>
      </c>
      <c r="AN15" s="39" t="s">
        <v>139</v>
      </c>
      <c r="AO15">
        <v>0</v>
      </c>
    </row>
    <row r="16" spans="1:41" x14ac:dyDescent="0.2">
      <c r="A16">
        <v>15</v>
      </c>
      <c r="B16">
        <v>57</v>
      </c>
      <c r="C16" t="s">
        <v>16</v>
      </c>
      <c r="D16">
        <v>53</v>
      </c>
      <c r="E16">
        <v>23.68</v>
      </c>
      <c r="F16" t="s">
        <v>20</v>
      </c>
      <c r="G16" t="s">
        <v>24</v>
      </c>
      <c r="H16">
        <v>1</v>
      </c>
      <c r="I16">
        <v>43.2</v>
      </c>
      <c r="J16">
        <v>4</v>
      </c>
      <c r="K16">
        <v>1198.6600000000001</v>
      </c>
      <c r="L16">
        <v>0</v>
      </c>
      <c r="M16" t="s">
        <v>134</v>
      </c>
      <c r="N16" t="str">
        <f t="shared" si="19"/>
        <v>&gt;=24</v>
      </c>
      <c r="O16" t="str">
        <f t="shared" si="0"/>
        <v>&lt;30</v>
      </c>
      <c r="P16" t="str">
        <f t="shared" si="1"/>
        <v>4-6</v>
      </c>
      <c r="Q16" t="str">
        <f t="shared" si="2"/>
        <v>40-80</v>
      </c>
      <c r="R16" t="str">
        <f t="shared" si="3"/>
        <v>ContractType|Month-to-Month</v>
      </c>
      <c r="S16" t="str">
        <f t="shared" si="4"/>
        <v>Tenure_Bin|&gt;=24</v>
      </c>
      <c r="T16" t="str">
        <f t="shared" si="5"/>
        <v>Satis_Bin|4-6</v>
      </c>
      <c r="U16" t="str">
        <f t="shared" si="6"/>
        <v>Monthly_Bin|&lt;30</v>
      </c>
      <c r="V16" t="str">
        <f t="shared" si="7"/>
        <v>Usage_Bin|40-80</v>
      </c>
      <c r="W16">
        <f t="shared" si="8"/>
        <v>3</v>
      </c>
      <c r="X16">
        <f t="shared" si="9"/>
        <v>0</v>
      </c>
      <c r="Y16">
        <f t="shared" si="10"/>
        <v>2</v>
      </c>
      <c r="Z16">
        <f t="shared" si="11"/>
        <v>0</v>
      </c>
      <c r="AA16">
        <f t="shared" si="12"/>
        <v>0</v>
      </c>
      <c r="AB16" s="51">
        <f t="shared" si="13"/>
        <v>5</v>
      </c>
      <c r="AC16" t="str">
        <f t="shared" si="14"/>
        <v>Medium</v>
      </c>
      <c r="AD16" t="str">
        <f t="shared" si="15"/>
        <v>No</v>
      </c>
      <c r="AE16">
        <f t="shared" si="16"/>
        <v>0</v>
      </c>
      <c r="AF16">
        <f xml:space="preserve">
_xlfn.XLOOKUP(AB16, '3.3 Calibration'!$A$2:$A$14, '3.3 Calibration'!$F$2:$F$14,
        '3.3 Calibration'!$D$2, 1)</f>
        <v>0.33333333333333331</v>
      </c>
      <c r="AG16" t="str">
        <f t="shared" si="20"/>
        <v>No</v>
      </c>
      <c r="AH16" t="str">
        <f t="shared" si="17"/>
        <v>Low</v>
      </c>
      <c r="AI16" t="e">
        <f t="shared" si="18"/>
        <v>#N/A</v>
      </c>
      <c r="AN16" s="39" t="s">
        <v>143</v>
      </c>
      <c r="AO16">
        <v>2</v>
      </c>
    </row>
    <row r="17" spans="1:41" x14ac:dyDescent="0.2">
      <c r="A17">
        <v>16</v>
      </c>
      <c r="B17">
        <v>41</v>
      </c>
      <c r="C17" t="s">
        <v>15</v>
      </c>
      <c r="D17">
        <v>60</v>
      </c>
      <c r="E17">
        <v>33.39</v>
      </c>
      <c r="F17" t="s">
        <v>20</v>
      </c>
      <c r="G17" t="s">
        <v>23</v>
      </c>
      <c r="H17">
        <v>3</v>
      </c>
      <c r="I17">
        <v>88.1</v>
      </c>
      <c r="J17">
        <v>1</v>
      </c>
      <c r="K17">
        <v>1925.79</v>
      </c>
      <c r="L17">
        <v>1</v>
      </c>
      <c r="M17" t="s">
        <v>134</v>
      </c>
      <c r="N17" t="str">
        <f t="shared" si="19"/>
        <v>&gt;=24</v>
      </c>
      <c r="O17" t="str">
        <f t="shared" si="0"/>
        <v>30-60</v>
      </c>
      <c r="P17" t="str">
        <f t="shared" si="1"/>
        <v>1-3</v>
      </c>
      <c r="Q17" t="str">
        <f t="shared" si="2"/>
        <v>&gt;=80</v>
      </c>
      <c r="R17" t="str">
        <f t="shared" si="3"/>
        <v>ContractType|Month-to-Month</v>
      </c>
      <c r="S17" t="str">
        <f t="shared" si="4"/>
        <v>Tenure_Bin|&gt;=24</v>
      </c>
      <c r="T17" t="str">
        <f t="shared" si="5"/>
        <v>Satis_Bin|1-3</v>
      </c>
      <c r="U17" t="str">
        <f t="shared" si="6"/>
        <v>Monthly_Bin|30-60</v>
      </c>
      <c r="V17" t="str">
        <f t="shared" si="7"/>
        <v>Usage_Bin|&gt;=80</v>
      </c>
      <c r="W17">
        <f t="shared" si="8"/>
        <v>3</v>
      </c>
      <c r="X17">
        <f t="shared" si="9"/>
        <v>0</v>
      </c>
      <c r="Y17">
        <f t="shared" si="10"/>
        <v>4</v>
      </c>
      <c r="Z17">
        <f t="shared" si="11"/>
        <v>0</v>
      </c>
      <c r="AA17">
        <f t="shared" si="12"/>
        <v>0</v>
      </c>
      <c r="AB17" s="51">
        <f t="shared" si="13"/>
        <v>7</v>
      </c>
      <c r="AC17" t="str">
        <f t="shared" si="14"/>
        <v>High</v>
      </c>
      <c r="AD17" t="str">
        <f t="shared" si="15"/>
        <v>No</v>
      </c>
      <c r="AE17">
        <f t="shared" si="16"/>
        <v>0</v>
      </c>
      <c r="AF17">
        <f xml:space="preserve">
_xlfn.XLOOKUP(AB17, '3.3 Calibration'!$A$2:$A$14, '3.3 Calibration'!$F$2:$F$14,
        '3.3 Calibration'!$D$2, 1)</f>
        <v>0.54166666666666663</v>
      </c>
      <c r="AG17" t="str">
        <f t="shared" si="20"/>
        <v>Yes</v>
      </c>
      <c r="AH17" t="str">
        <f t="shared" si="17"/>
        <v>Medium</v>
      </c>
      <c r="AI17" t="e">
        <f t="shared" si="18"/>
        <v>#N/A</v>
      </c>
      <c r="AN17" s="39" t="s">
        <v>145</v>
      </c>
      <c r="AO17">
        <v>1</v>
      </c>
    </row>
    <row r="18" spans="1:41" x14ac:dyDescent="0.2">
      <c r="A18">
        <v>17</v>
      </c>
      <c r="B18">
        <v>20</v>
      </c>
      <c r="C18" t="s">
        <v>15</v>
      </c>
      <c r="D18">
        <v>5</v>
      </c>
      <c r="E18">
        <v>21.37</v>
      </c>
      <c r="F18" t="s">
        <v>18</v>
      </c>
      <c r="G18" t="s">
        <v>24</v>
      </c>
      <c r="H18">
        <v>3</v>
      </c>
      <c r="I18">
        <v>53.5</v>
      </c>
      <c r="J18">
        <v>8</v>
      </c>
      <c r="K18">
        <v>113.03</v>
      </c>
      <c r="L18">
        <v>0</v>
      </c>
      <c r="M18" t="s">
        <v>134</v>
      </c>
      <c r="N18" t="str">
        <f t="shared" si="19"/>
        <v>&lt;6</v>
      </c>
      <c r="O18" t="str">
        <f t="shared" si="0"/>
        <v>&lt;30</v>
      </c>
      <c r="P18" t="str">
        <f t="shared" si="1"/>
        <v>7-10</v>
      </c>
      <c r="Q18" t="str">
        <f t="shared" si="2"/>
        <v>40-80</v>
      </c>
      <c r="R18" t="str">
        <f t="shared" si="3"/>
        <v>ContractType|1-Year</v>
      </c>
      <c r="S18" t="str">
        <f t="shared" si="4"/>
        <v>Tenure_Bin|&lt;6</v>
      </c>
      <c r="T18" t="str">
        <f t="shared" si="5"/>
        <v>Satis_Bin|7-10</v>
      </c>
      <c r="U18" t="str">
        <f t="shared" si="6"/>
        <v>Monthly_Bin|&lt;30</v>
      </c>
      <c r="V18" t="str">
        <f t="shared" si="7"/>
        <v>Usage_Bin|40-80</v>
      </c>
      <c r="W18">
        <f t="shared" si="8"/>
        <v>1</v>
      </c>
      <c r="X18">
        <f t="shared" si="9"/>
        <v>3</v>
      </c>
      <c r="Y18">
        <f t="shared" si="10"/>
        <v>0</v>
      </c>
      <c r="Z18">
        <f t="shared" si="11"/>
        <v>0</v>
      </c>
      <c r="AA18">
        <f t="shared" si="12"/>
        <v>0</v>
      </c>
      <c r="AB18" s="51">
        <f t="shared" si="13"/>
        <v>4</v>
      </c>
      <c r="AC18" t="str">
        <f t="shared" si="14"/>
        <v>Medium</v>
      </c>
      <c r="AD18" t="str">
        <f t="shared" si="15"/>
        <v>No</v>
      </c>
      <c r="AE18">
        <f t="shared" si="16"/>
        <v>0</v>
      </c>
      <c r="AF18">
        <f xml:space="preserve">
_xlfn.XLOOKUP(AB18, '3.3 Calibration'!$A$2:$A$14, '3.3 Calibration'!$F$2:$F$14,
        '3.3 Calibration'!$D$2, 1)</f>
        <v>0.40740740740740738</v>
      </c>
      <c r="AG18" t="str">
        <f t="shared" si="20"/>
        <v>No</v>
      </c>
      <c r="AH18" t="str">
        <f t="shared" si="17"/>
        <v>Medium</v>
      </c>
      <c r="AI18" t="e">
        <f t="shared" si="18"/>
        <v>#N/A</v>
      </c>
      <c r="AN18" s="39" t="s">
        <v>146</v>
      </c>
      <c r="AO18">
        <v>0</v>
      </c>
    </row>
    <row r="19" spans="1:41" x14ac:dyDescent="0.2">
      <c r="A19">
        <v>18</v>
      </c>
      <c r="B19">
        <v>39</v>
      </c>
      <c r="C19" t="s">
        <v>16</v>
      </c>
      <c r="D19">
        <v>68</v>
      </c>
      <c r="E19">
        <v>27.54</v>
      </c>
      <c r="F19" t="s">
        <v>20</v>
      </c>
      <c r="G19" t="s">
        <v>23</v>
      </c>
      <c r="H19">
        <v>2</v>
      </c>
      <c r="I19">
        <v>73.7</v>
      </c>
      <c r="J19">
        <v>7</v>
      </c>
      <c r="K19">
        <v>1852.65</v>
      </c>
      <c r="L19">
        <v>0</v>
      </c>
      <c r="M19" t="s">
        <v>134</v>
      </c>
      <c r="N19" t="str">
        <f t="shared" si="19"/>
        <v>&gt;=24</v>
      </c>
      <c r="O19" t="str">
        <f t="shared" si="0"/>
        <v>&lt;30</v>
      </c>
      <c r="P19" t="str">
        <f t="shared" si="1"/>
        <v>7-10</v>
      </c>
      <c r="Q19" t="str">
        <f t="shared" si="2"/>
        <v>40-80</v>
      </c>
      <c r="R19" t="str">
        <f t="shared" si="3"/>
        <v>ContractType|Month-to-Month</v>
      </c>
      <c r="S19" t="str">
        <f t="shared" si="4"/>
        <v>Tenure_Bin|&gt;=24</v>
      </c>
      <c r="T19" t="str">
        <f t="shared" si="5"/>
        <v>Satis_Bin|7-10</v>
      </c>
      <c r="U19" t="str">
        <f t="shared" si="6"/>
        <v>Monthly_Bin|&lt;30</v>
      </c>
      <c r="V19" t="str">
        <f t="shared" si="7"/>
        <v>Usage_Bin|40-80</v>
      </c>
      <c r="W19">
        <f t="shared" si="8"/>
        <v>3</v>
      </c>
      <c r="X19">
        <f t="shared" si="9"/>
        <v>0</v>
      </c>
      <c r="Y19">
        <f t="shared" si="10"/>
        <v>0</v>
      </c>
      <c r="Z19">
        <f t="shared" si="11"/>
        <v>0</v>
      </c>
      <c r="AA19">
        <f t="shared" si="12"/>
        <v>0</v>
      </c>
      <c r="AB19" s="51">
        <f t="shared" si="13"/>
        <v>3</v>
      </c>
      <c r="AC19" t="str">
        <f t="shared" si="14"/>
        <v>Low</v>
      </c>
      <c r="AD19" t="str">
        <f t="shared" si="15"/>
        <v>No</v>
      </c>
      <c r="AE19">
        <f t="shared" si="16"/>
        <v>0</v>
      </c>
      <c r="AF19">
        <f xml:space="preserve">
_xlfn.XLOOKUP(AB19, '3.3 Calibration'!$A$2:$A$14, '3.3 Calibration'!$F$2:$F$14,
        '3.3 Calibration'!$D$2, 1)</f>
        <v>0.42105263157894735</v>
      </c>
      <c r="AG19" t="str">
        <f t="shared" si="20"/>
        <v>No</v>
      </c>
      <c r="AH19" t="str">
        <f t="shared" si="17"/>
        <v>Medium</v>
      </c>
      <c r="AI19" t="e">
        <f t="shared" si="18"/>
        <v>#N/A</v>
      </c>
      <c r="AN19" s="39" t="s">
        <v>144</v>
      </c>
      <c r="AO19">
        <v>0</v>
      </c>
    </row>
    <row r="20" spans="1:41" x14ac:dyDescent="0.2">
      <c r="A20">
        <v>19</v>
      </c>
      <c r="B20">
        <v>19</v>
      </c>
      <c r="C20" t="s">
        <v>15</v>
      </c>
      <c r="D20">
        <v>6</v>
      </c>
      <c r="E20">
        <v>89.17</v>
      </c>
      <c r="F20" t="s">
        <v>20</v>
      </c>
      <c r="G20" t="s">
        <v>24</v>
      </c>
      <c r="H20">
        <v>6</v>
      </c>
      <c r="I20">
        <v>14.9</v>
      </c>
      <c r="J20">
        <v>7</v>
      </c>
      <c r="K20">
        <v>566.95000000000005</v>
      </c>
      <c r="L20">
        <v>1</v>
      </c>
      <c r="M20" t="s">
        <v>134</v>
      </c>
      <c r="N20" t="str">
        <f t="shared" si="19"/>
        <v>6-12</v>
      </c>
      <c r="O20" t="str">
        <f t="shared" si="0"/>
        <v>60-90</v>
      </c>
      <c r="P20" t="str">
        <f t="shared" si="1"/>
        <v>7-10</v>
      </c>
      <c r="Q20" t="str">
        <f t="shared" si="2"/>
        <v>&lt;20</v>
      </c>
      <c r="R20" t="str">
        <f t="shared" si="3"/>
        <v>ContractType|Month-to-Month</v>
      </c>
      <c r="S20" t="str">
        <f t="shared" si="4"/>
        <v>Tenure_Bin|6-12</v>
      </c>
      <c r="T20" t="str">
        <f t="shared" si="5"/>
        <v>Satis_Bin|7-10</v>
      </c>
      <c r="U20" t="str">
        <f t="shared" si="6"/>
        <v>Monthly_Bin|60-90</v>
      </c>
      <c r="V20" t="str">
        <f t="shared" si="7"/>
        <v>Usage_Bin|&lt;20</v>
      </c>
      <c r="W20">
        <f t="shared" si="8"/>
        <v>3</v>
      </c>
      <c r="X20">
        <f t="shared" si="9"/>
        <v>2</v>
      </c>
      <c r="Y20">
        <f t="shared" si="10"/>
        <v>0</v>
      </c>
      <c r="Z20">
        <f t="shared" si="11"/>
        <v>1</v>
      </c>
      <c r="AA20">
        <f t="shared" si="12"/>
        <v>2</v>
      </c>
      <c r="AB20" s="51">
        <f t="shared" si="13"/>
        <v>8</v>
      </c>
      <c r="AC20" t="str">
        <f t="shared" si="14"/>
        <v>High</v>
      </c>
      <c r="AD20" t="str">
        <f t="shared" si="15"/>
        <v>No</v>
      </c>
      <c r="AE20">
        <f t="shared" si="16"/>
        <v>0</v>
      </c>
      <c r="AF20">
        <f xml:space="preserve">
_xlfn.XLOOKUP(AB20, '3.3 Calibration'!$A$2:$A$14, '3.3 Calibration'!$F$2:$F$14,
        '3.3 Calibration'!$D$2, 1)</f>
        <v>0.73684210526315785</v>
      </c>
      <c r="AG20" t="str">
        <f t="shared" si="20"/>
        <v>Yes</v>
      </c>
      <c r="AH20" t="str">
        <f t="shared" si="17"/>
        <v>High</v>
      </c>
      <c r="AI20" t="str">
        <f t="shared" si="18"/>
        <v>6-12</v>
      </c>
    </row>
    <row r="21" spans="1:41" x14ac:dyDescent="0.2">
      <c r="A21">
        <v>20</v>
      </c>
      <c r="B21">
        <v>41</v>
      </c>
      <c r="C21" t="s">
        <v>16</v>
      </c>
      <c r="D21">
        <v>47</v>
      </c>
      <c r="E21">
        <v>73.430000000000007</v>
      </c>
      <c r="F21" t="s">
        <v>20</v>
      </c>
      <c r="G21" t="s">
        <v>22</v>
      </c>
      <c r="H21">
        <v>3</v>
      </c>
      <c r="I21">
        <v>26.4</v>
      </c>
      <c r="J21">
        <v>3</v>
      </c>
      <c r="K21">
        <v>3673.76</v>
      </c>
      <c r="L21">
        <v>1</v>
      </c>
      <c r="M21" t="s">
        <v>134</v>
      </c>
      <c r="N21" t="str">
        <f t="shared" si="19"/>
        <v>&gt;=24</v>
      </c>
      <c r="O21" t="str">
        <f t="shared" si="0"/>
        <v>60-90</v>
      </c>
      <c r="P21" t="str">
        <f t="shared" si="1"/>
        <v>1-3</v>
      </c>
      <c r="Q21" t="str">
        <f t="shared" si="2"/>
        <v>20-40</v>
      </c>
      <c r="R21" t="str">
        <f t="shared" si="3"/>
        <v>ContractType|Month-to-Month</v>
      </c>
      <c r="S21" t="str">
        <f t="shared" si="4"/>
        <v>Tenure_Bin|&gt;=24</v>
      </c>
      <c r="T21" t="str">
        <f t="shared" si="5"/>
        <v>Satis_Bin|1-3</v>
      </c>
      <c r="U21" t="str">
        <f t="shared" si="6"/>
        <v>Monthly_Bin|60-90</v>
      </c>
      <c r="V21" t="str">
        <f t="shared" si="7"/>
        <v>Usage_Bin|20-40</v>
      </c>
      <c r="W21">
        <f t="shared" si="8"/>
        <v>3</v>
      </c>
      <c r="X21">
        <f t="shared" si="9"/>
        <v>0</v>
      </c>
      <c r="Y21">
        <f t="shared" si="10"/>
        <v>4</v>
      </c>
      <c r="Z21">
        <f t="shared" si="11"/>
        <v>1</v>
      </c>
      <c r="AA21">
        <f t="shared" si="12"/>
        <v>1</v>
      </c>
      <c r="AB21" s="51">
        <f t="shared" si="13"/>
        <v>9</v>
      </c>
      <c r="AC21" t="str">
        <f t="shared" si="14"/>
        <v>High</v>
      </c>
      <c r="AD21" t="str">
        <f t="shared" si="15"/>
        <v>No</v>
      </c>
      <c r="AE21">
        <f t="shared" si="16"/>
        <v>0</v>
      </c>
      <c r="AF21">
        <f xml:space="preserve">
_xlfn.XLOOKUP(AB21, '3.3 Calibration'!$A$2:$A$14, '3.3 Calibration'!$F$2:$F$14,
        '3.3 Calibration'!$D$2, 1)</f>
        <v>0.54545454545454541</v>
      </c>
      <c r="AG21" t="str">
        <f t="shared" si="20"/>
        <v>Yes</v>
      </c>
      <c r="AH21" t="str">
        <f t="shared" si="17"/>
        <v>Medium</v>
      </c>
      <c r="AI21" t="e">
        <f t="shared" si="18"/>
        <v>#N/A</v>
      </c>
    </row>
    <row r="22" spans="1:41" x14ac:dyDescent="0.2">
      <c r="A22">
        <v>21</v>
      </c>
      <c r="B22">
        <v>61</v>
      </c>
      <c r="C22" t="s">
        <v>15</v>
      </c>
      <c r="D22">
        <v>55</v>
      </c>
      <c r="E22">
        <v>94.99</v>
      </c>
      <c r="F22" t="s">
        <v>18</v>
      </c>
      <c r="G22" t="s">
        <v>24</v>
      </c>
      <c r="H22">
        <v>4</v>
      </c>
      <c r="I22">
        <v>71.8</v>
      </c>
      <c r="J22">
        <v>4</v>
      </c>
      <c r="K22">
        <v>5598.06</v>
      </c>
      <c r="L22">
        <v>0</v>
      </c>
      <c r="M22" t="s">
        <v>134</v>
      </c>
      <c r="N22" t="str">
        <f t="shared" si="19"/>
        <v>&gt;=24</v>
      </c>
      <c r="O22" t="str">
        <f t="shared" si="0"/>
        <v>&gt;=90</v>
      </c>
      <c r="P22" t="str">
        <f t="shared" si="1"/>
        <v>4-6</v>
      </c>
      <c r="Q22" t="str">
        <f t="shared" si="2"/>
        <v>40-80</v>
      </c>
      <c r="R22" t="str">
        <f t="shared" si="3"/>
        <v>ContractType|1-Year</v>
      </c>
      <c r="S22" t="str">
        <f t="shared" si="4"/>
        <v>Tenure_Bin|&gt;=24</v>
      </c>
      <c r="T22" t="str">
        <f t="shared" si="5"/>
        <v>Satis_Bin|4-6</v>
      </c>
      <c r="U22" t="str">
        <f t="shared" si="6"/>
        <v>Monthly_Bin|&gt;=90</v>
      </c>
      <c r="V22" t="str">
        <f t="shared" si="7"/>
        <v>Usage_Bin|40-80</v>
      </c>
      <c r="W22">
        <f t="shared" si="8"/>
        <v>1</v>
      </c>
      <c r="X22">
        <f t="shared" si="9"/>
        <v>0</v>
      </c>
      <c r="Y22">
        <f t="shared" si="10"/>
        <v>2</v>
      </c>
      <c r="Z22">
        <f t="shared" si="11"/>
        <v>2</v>
      </c>
      <c r="AA22">
        <f t="shared" si="12"/>
        <v>0</v>
      </c>
      <c r="AB22" s="51">
        <f t="shared" si="13"/>
        <v>5</v>
      </c>
      <c r="AC22" t="str">
        <f t="shared" si="14"/>
        <v>Medium</v>
      </c>
      <c r="AD22" t="str">
        <f t="shared" si="15"/>
        <v>No</v>
      </c>
      <c r="AE22">
        <f t="shared" si="16"/>
        <v>0</v>
      </c>
      <c r="AF22">
        <f xml:space="preserve">
_xlfn.XLOOKUP(AB22, '3.3 Calibration'!$A$2:$A$14, '3.3 Calibration'!$F$2:$F$14,
        '3.3 Calibration'!$D$2, 1)</f>
        <v>0.33333333333333331</v>
      </c>
      <c r="AG22" t="str">
        <f t="shared" si="20"/>
        <v>No</v>
      </c>
      <c r="AH22" t="str">
        <f t="shared" si="17"/>
        <v>Low</v>
      </c>
      <c r="AI22" t="e">
        <f t="shared" si="18"/>
        <v>#N/A</v>
      </c>
    </row>
    <row r="23" spans="1:41" x14ac:dyDescent="0.2">
      <c r="A23">
        <v>22</v>
      </c>
      <c r="B23">
        <v>47</v>
      </c>
      <c r="C23" t="s">
        <v>16</v>
      </c>
      <c r="D23">
        <v>40</v>
      </c>
      <c r="E23">
        <v>111.32</v>
      </c>
      <c r="F23" t="s">
        <v>20</v>
      </c>
      <c r="G23" t="s">
        <v>24</v>
      </c>
      <c r="H23">
        <v>1</v>
      </c>
      <c r="I23">
        <v>10</v>
      </c>
      <c r="J23">
        <v>10</v>
      </c>
      <c r="K23">
        <v>4823.84</v>
      </c>
      <c r="L23">
        <v>1</v>
      </c>
      <c r="M23" t="s">
        <v>133</v>
      </c>
      <c r="N23" t="str">
        <f t="shared" si="19"/>
        <v>&gt;=24</v>
      </c>
      <c r="O23" t="str">
        <f t="shared" si="0"/>
        <v>&gt;=90</v>
      </c>
      <c r="P23" t="str">
        <f t="shared" si="1"/>
        <v>7-10</v>
      </c>
      <c r="Q23" t="str">
        <f t="shared" si="2"/>
        <v>&lt;20</v>
      </c>
      <c r="R23" t="str">
        <f t="shared" si="3"/>
        <v>ContractType|Month-to-Month</v>
      </c>
      <c r="S23" t="str">
        <f t="shared" si="4"/>
        <v>Tenure_Bin|&gt;=24</v>
      </c>
      <c r="T23" t="str">
        <f t="shared" si="5"/>
        <v>Satis_Bin|7-10</v>
      </c>
      <c r="U23" t="str">
        <f t="shared" si="6"/>
        <v>Monthly_Bin|&gt;=90</v>
      </c>
      <c r="V23" t="str">
        <f t="shared" si="7"/>
        <v>Usage_Bin|&lt;20</v>
      </c>
      <c r="W23">
        <f t="shared" si="8"/>
        <v>3</v>
      </c>
      <c r="X23">
        <f t="shared" si="9"/>
        <v>0</v>
      </c>
      <c r="Y23">
        <f t="shared" si="10"/>
        <v>0</v>
      </c>
      <c r="Z23">
        <f t="shared" si="11"/>
        <v>2</v>
      </c>
      <c r="AA23">
        <f t="shared" si="12"/>
        <v>2</v>
      </c>
      <c r="AB23" s="51">
        <f t="shared" si="13"/>
        <v>7</v>
      </c>
      <c r="AC23" t="str">
        <f t="shared" si="14"/>
        <v>High</v>
      </c>
      <c r="AD23" t="str">
        <f t="shared" si="15"/>
        <v>No</v>
      </c>
      <c r="AE23">
        <f t="shared" si="16"/>
        <v>0</v>
      </c>
      <c r="AF23">
        <f xml:space="preserve">
_xlfn.XLOOKUP(AB23, '3.3 Calibration'!$A$2:$A$14, '3.3 Calibration'!$F$2:$F$14,
        '3.3 Calibration'!$D$2, 1)</f>
        <v>0.54166666666666663</v>
      </c>
      <c r="AG23" t="str">
        <f t="shared" si="20"/>
        <v>Yes</v>
      </c>
      <c r="AH23" t="str">
        <f t="shared" si="17"/>
        <v>Medium</v>
      </c>
      <c r="AI23" t="e">
        <f t="shared" si="18"/>
        <v>#N/A</v>
      </c>
    </row>
    <row r="24" spans="1:41" x14ac:dyDescent="0.2">
      <c r="A24">
        <v>23</v>
      </c>
      <c r="B24">
        <v>55</v>
      </c>
      <c r="C24" t="s">
        <v>16</v>
      </c>
      <c r="D24">
        <v>52</v>
      </c>
      <c r="E24">
        <v>78.510000000000005</v>
      </c>
      <c r="F24" t="s">
        <v>18</v>
      </c>
      <c r="G24" t="s">
        <v>23</v>
      </c>
      <c r="H24">
        <v>0</v>
      </c>
      <c r="I24">
        <v>51.2</v>
      </c>
      <c r="J24">
        <v>9</v>
      </c>
      <c r="K24">
        <v>4026.17</v>
      </c>
      <c r="L24">
        <v>1</v>
      </c>
      <c r="M24" t="s">
        <v>134</v>
      </c>
      <c r="N24" t="str">
        <f t="shared" si="19"/>
        <v>&gt;=24</v>
      </c>
      <c r="O24" t="str">
        <f t="shared" si="0"/>
        <v>60-90</v>
      </c>
      <c r="P24" t="str">
        <f t="shared" si="1"/>
        <v>7-10</v>
      </c>
      <c r="Q24" t="str">
        <f t="shared" si="2"/>
        <v>40-80</v>
      </c>
      <c r="R24" t="str">
        <f t="shared" si="3"/>
        <v>ContractType|1-Year</v>
      </c>
      <c r="S24" t="str">
        <f t="shared" si="4"/>
        <v>Tenure_Bin|&gt;=24</v>
      </c>
      <c r="T24" t="str">
        <f t="shared" si="5"/>
        <v>Satis_Bin|7-10</v>
      </c>
      <c r="U24" t="str">
        <f t="shared" si="6"/>
        <v>Monthly_Bin|60-90</v>
      </c>
      <c r="V24" t="str">
        <f t="shared" si="7"/>
        <v>Usage_Bin|40-80</v>
      </c>
      <c r="W24">
        <f t="shared" si="8"/>
        <v>1</v>
      </c>
      <c r="X24">
        <f t="shared" si="9"/>
        <v>0</v>
      </c>
      <c r="Y24">
        <f t="shared" si="10"/>
        <v>0</v>
      </c>
      <c r="Z24">
        <f t="shared" si="11"/>
        <v>1</v>
      </c>
      <c r="AA24">
        <f t="shared" si="12"/>
        <v>0</v>
      </c>
      <c r="AB24" s="51">
        <f t="shared" si="13"/>
        <v>2</v>
      </c>
      <c r="AC24" t="str">
        <f t="shared" si="14"/>
        <v>Low</v>
      </c>
      <c r="AD24" t="str">
        <f t="shared" si="15"/>
        <v>No</v>
      </c>
      <c r="AE24">
        <f t="shared" si="16"/>
        <v>0</v>
      </c>
      <c r="AF24">
        <f xml:space="preserve">
_xlfn.XLOOKUP(AB24, '3.3 Calibration'!$A$2:$A$14, '3.3 Calibration'!$F$2:$F$14,
        '3.3 Calibration'!$D$2, 1)</f>
        <v>0.6</v>
      </c>
      <c r="AG24" t="str">
        <f t="shared" si="20"/>
        <v>Yes</v>
      </c>
      <c r="AH24" t="str">
        <f t="shared" si="17"/>
        <v>High</v>
      </c>
      <c r="AI24" t="str">
        <f t="shared" si="18"/>
        <v>&gt;=24</v>
      </c>
    </row>
    <row r="25" spans="1:41" x14ac:dyDescent="0.2">
      <c r="A25">
        <v>24</v>
      </c>
      <c r="B25">
        <v>19</v>
      </c>
      <c r="C25" t="s">
        <v>16</v>
      </c>
      <c r="D25">
        <v>16</v>
      </c>
      <c r="E25">
        <v>92.61</v>
      </c>
      <c r="F25" t="s">
        <v>19</v>
      </c>
      <c r="G25" t="s">
        <v>22</v>
      </c>
      <c r="H25">
        <v>1</v>
      </c>
      <c r="I25">
        <v>61.9</v>
      </c>
      <c r="J25">
        <v>6</v>
      </c>
      <c r="K25">
        <v>1428.08</v>
      </c>
      <c r="L25">
        <v>0</v>
      </c>
      <c r="M25" t="s">
        <v>134</v>
      </c>
      <c r="N25" t="str">
        <f t="shared" si="19"/>
        <v>12-24</v>
      </c>
      <c r="O25" t="str">
        <f t="shared" si="0"/>
        <v>&gt;=90</v>
      </c>
      <c r="P25" t="str">
        <f t="shared" si="1"/>
        <v>4-6</v>
      </c>
      <c r="Q25" t="str">
        <f t="shared" si="2"/>
        <v>40-80</v>
      </c>
      <c r="R25" t="str">
        <f t="shared" si="3"/>
        <v>ContractType|2-Year</v>
      </c>
      <c r="S25" t="str">
        <f t="shared" si="4"/>
        <v>Tenure_Bin|12-24</v>
      </c>
      <c r="T25" t="str">
        <f t="shared" si="5"/>
        <v>Satis_Bin|4-6</v>
      </c>
      <c r="U25" t="str">
        <f t="shared" si="6"/>
        <v>Monthly_Bin|&gt;=90</v>
      </c>
      <c r="V25" t="str">
        <f t="shared" si="7"/>
        <v>Usage_Bin|40-80</v>
      </c>
      <c r="W25">
        <f t="shared" si="8"/>
        <v>0</v>
      </c>
      <c r="X25">
        <f t="shared" si="9"/>
        <v>1</v>
      </c>
      <c r="Y25">
        <f t="shared" si="10"/>
        <v>2</v>
      </c>
      <c r="Z25">
        <f t="shared" si="11"/>
        <v>2</v>
      </c>
      <c r="AA25">
        <f t="shared" si="12"/>
        <v>0</v>
      </c>
      <c r="AB25" s="51">
        <f t="shared" si="13"/>
        <v>5</v>
      </c>
      <c r="AC25" t="str">
        <f t="shared" si="14"/>
        <v>Medium</v>
      </c>
      <c r="AD25" t="str">
        <f t="shared" si="15"/>
        <v>No</v>
      </c>
      <c r="AE25">
        <f t="shared" si="16"/>
        <v>0</v>
      </c>
      <c r="AF25">
        <f xml:space="preserve">
_xlfn.XLOOKUP(AB25, '3.3 Calibration'!$A$2:$A$14, '3.3 Calibration'!$F$2:$F$14,
        '3.3 Calibration'!$D$2, 1)</f>
        <v>0.33333333333333331</v>
      </c>
      <c r="AG25" t="str">
        <f t="shared" si="20"/>
        <v>No</v>
      </c>
      <c r="AH25" t="str">
        <f t="shared" si="17"/>
        <v>Low</v>
      </c>
      <c r="AI25" t="e">
        <f t="shared" si="18"/>
        <v>#N/A</v>
      </c>
    </row>
    <row r="26" spans="1:41" x14ac:dyDescent="0.2">
      <c r="A26">
        <v>25</v>
      </c>
      <c r="B26">
        <v>38</v>
      </c>
      <c r="C26" t="s">
        <v>15</v>
      </c>
      <c r="D26">
        <v>13</v>
      </c>
      <c r="E26">
        <v>95.71</v>
      </c>
      <c r="F26" t="s">
        <v>20</v>
      </c>
      <c r="G26" t="s">
        <v>24</v>
      </c>
      <c r="H26">
        <v>1</v>
      </c>
      <c r="I26">
        <v>62.2</v>
      </c>
      <c r="J26">
        <v>5</v>
      </c>
      <c r="K26">
        <v>1264.68</v>
      </c>
      <c r="L26">
        <v>0</v>
      </c>
      <c r="M26" t="s">
        <v>133</v>
      </c>
      <c r="N26" t="str">
        <f t="shared" si="19"/>
        <v>12-24</v>
      </c>
      <c r="O26" t="str">
        <f t="shared" si="0"/>
        <v>&gt;=90</v>
      </c>
      <c r="P26" t="str">
        <f t="shared" si="1"/>
        <v>4-6</v>
      </c>
      <c r="Q26" t="str">
        <f t="shared" si="2"/>
        <v>40-80</v>
      </c>
      <c r="R26" t="str">
        <f t="shared" si="3"/>
        <v>ContractType|Month-to-Month</v>
      </c>
      <c r="S26" t="str">
        <f t="shared" si="4"/>
        <v>Tenure_Bin|12-24</v>
      </c>
      <c r="T26" t="str">
        <f t="shared" si="5"/>
        <v>Satis_Bin|4-6</v>
      </c>
      <c r="U26" t="str">
        <f t="shared" si="6"/>
        <v>Monthly_Bin|&gt;=90</v>
      </c>
      <c r="V26" t="str">
        <f t="shared" si="7"/>
        <v>Usage_Bin|40-80</v>
      </c>
      <c r="W26">
        <f t="shared" si="8"/>
        <v>3</v>
      </c>
      <c r="X26">
        <f t="shared" si="9"/>
        <v>1</v>
      </c>
      <c r="Y26">
        <f t="shared" si="10"/>
        <v>2</v>
      </c>
      <c r="Z26">
        <f t="shared" si="11"/>
        <v>2</v>
      </c>
      <c r="AA26">
        <f t="shared" si="12"/>
        <v>0</v>
      </c>
      <c r="AB26" s="51">
        <f t="shared" si="13"/>
        <v>8</v>
      </c>
      <c r="AC26" t="str">
        <f t="shared" si="14"/>
        <v>High</v>
      </c>
      <c r="AD26" t="str">
        <f t="shared" si="15"/>
        <v>No</v>
      </c>
      <c r="AE26">
        <f t="shared" si="16"/>
        <v>0</v>
      </c>
      <c r="AF26">
        <f xml:space="preserve">
_xlfn.XLOOKUP(AB26, '3.3 Calibration'!$A$2:$A$14, '3.3 Calibration'!$F$2:$F$14,
        '3.3 Calibration'!$D$2, 1)</f>
        <v>0.73684210526315785</v>
      </c>
      <c r="AG26" t="str">
        <f t="shared" si="20"/>
        <v>Yes</v>
      </c>
      <c r="AH26" t="str">
        <f t="shared" si="17"/>
        <v>High</v>
      </c>
      <c r="AI26" t="str">
        <f t="shared" si="18"/>
        <v>12-24</v>
      </c>
    </row>
    <row r="27" spans="1:41" x14ac:dyDescent="0.2">
      <c r="A27">
        <v>26</v>
      </c>
      <c r="B27">
        <v>50</v>
      </c>
      <c r="C27" t="s">
        <v>15</v>
      </c>
      <c r="D27">
        <v>30</v>
      </c>
      <c r="E27">
        <v>57.79</v>
      </c>
      <c r="F27" t="s">
        <v>20</v>
      </c>
      <c r="G27" t="s">
        <v>22</v>
      </c>
      <c r="H27">
        <v>4</v>
      </c>
      <c r="I27">
        <v>7.2</v>
      </c>
      <c r="J27">
        <v>3</v>
      </c>
      <c r="K27">
        <v>1689.03</v>
      </c>
      <c r="L27">
        <v>0</v>
      </c>
      <c r="M27" t="s">
        <v>133</v>
      </c>
      <c r="N27" t="str">
        <f t="shared" si="19"/>
        <v>&gt;=24</v>
      </c>
      <c r="O27" t="str">
        <f t="shared" si="0"/>
        <v>30-60</v>
      </c>
      <c r="P27" t="str">
        <f t="shared" si="1"/>
        <v>1-3</v>
      </c>
      <c r="Q27" t="str">
        <f t="shared" si="2"/>
        <v>&lt;20</v>
      </c>
      <c r="R27" t="str">
        <f t="shared" si="3"/>
        <v>ContractType|Month-to-Month</v>
      </c>
      <c r="S27" t="str">
        <f t="shared" si="4"/>
        <v>Tenure_Bin|&gt;=24</v>
      </c>
      <c r="T27" t="str">
        <f t="shared" si="5"/>
        <v>Satis_Bin|1-3</v>
      </c>
      <c r="U27" t="str">
        <f t="shared" si="6"/>
        <v>Monthly_Bin|30-60</v>
      </c>
      <c r="V27" t="str">
        <f t="shared" si="7"/>
        <v>Usage_Bin|&lt;20</v>
      </c>
      <c r="W27">
        <f t="shared" si="8"/>
        <v>3</v>
      </c>
      <c r="X27">
        <f t="shared" si="9"/>
        <v>0</v>
      </c>
      <c r="Y27">
        <f t="shared" si="10"/>
        <v>4</v>
      </c>
      <c r="Z27">
        <f t="shared" si="11"/>
        <v>0</v>
      </c>
      <c r="AA27">
        <f t="shared" si="12"/>
        <v>2</v>
      </c>
      <c r="AB27" s="51">
        <f t="shared" si="13"/>
        <v>9</v>
      </c>
      <c r="AC27" t="str">
        <f t="shared" si="14"/>
        <v>High</v>
      </c>
      <c r="AD27" t="str">
        <f t="shared" si="15"/>
        <v>No</v>
      </c>
      <c r="AE27">
        <f t="shared" si="16"/>
        <v>0</v>
      </c>
      <c r="AF27">
        <f xml:space="preserve">
_xlfn.XLOOKUP(AB27, '3.3 Calibration'!$A$2:$A$14, '3.3 Calibration'!$F$2:$F$14,
        '3.3 Calibration'!$D$2, 1)</f>
        <v>0.54545454545454541</v>
      </c>
      <c r="AG27" t="str">
        <f t="shared" si="20"/>
        <v>Yes</v>
      </c>
      <c r="AH27" t="str">
        <f t="shared" si="17"/>
        <v>Medium</v>
      </c>
      <c r="AI27" t="e">
        <f t="shared" si="18"/>
        <v>#N/A</v>
      </c>
    </row>
    <row r="28" spans="1:41" x14ac:dyDescent="0.2">
      <c r="A28">
        <v>27</v>
      </c>
      <c r="B28">
        <v>29</v>
      </c>
      <c r="C28" t="s">
        <v>16</v>
      </c>
      <c r="D28">
        <v>19</v>
      </c>
      <c r="E28">
        <v>44.11</v>
      </c>
      <c r="F28" t="s">
        <v>20</v>
      </c>
      <c r="G28" t="s">
        <v>24</v>
      </c>
      <c r="H28">
        <v>1</v>
      </c>
      <c r="I28">
        <v>35.6</v>
      </c>
      <c r="J28">
        <v>9</v>
      </c>
      <c r="K28">
        <v>855.03</v>
      </c>
      <c r="L28">
        <v>0</v>
      </c>
      <c r="M28" t="s">
        <v>134</v>
      </c>
      <c r="N28" t="str">
        <f t="shared" si="19"/>
        <v>12-24</v>
      </c>
      <c r="O28" t="str">
        <f t="shared" si="0"/>
        <v>30-60</v>
      </c>
      <c r="P28" t="str">
        <f t="shared" si="1"/>
        <v>7-10</v>
      </c>
      <c r="Q28" t="str">
        <f t="shared" si="2"/>
        <v>20-40</v>
      </c>
      <c r="R28" t="str">
        <f t="shared" si="3"/>
        <v>ContractType|Month-to-Month</v>
      </c>
      <c r="S28" t="str">
        <f t="shared" si="4"/>
        <v>Tenure_Bin|12-24</v>
      </c>
      <c r="T28" t="str">
        <f t="shared" si="5"/>
        <v>Satis_Bin|7-10</v>
      </c>
      <c r="U28" t="str">
        <f t="shared" si="6"/>
        <v>Monthly_Bin|30-60</v>
      </c>
      <c r="V28" t="str">
        <f t="shared" si="7"/>
        <v>Usage_Bin|20-40</v>
      </c>
      <c r="W28">
        <f t="shared" si="8"/>
        <v>3</v>
      </c>
      <c r="X28">
        <f t="shared" si="9"/>
        <v>1</v>
      </c>
      <c r="Y28">
        <f t="shared" si="10"/>
        <v>0</v>
      </c>
      <c r="Z28">
        <f t="shared" si="11"/>
        <v>0</v>
      </c>
      <c r="AA28">
        <f t="shared" si="12"/>
        <v>1</v>
      </c>
      <c r="AB28" s="51">
        <f t="shared" si="13"/>
        <v>5</v>
      </c>
      <c r="AC28" t="str">
        <f t="shared" si="14"/>
        <v>Medium</v>
      </c>
      <c r="AD28" t="str">
        <f t="shared" si="15"/>
        <v>No</v>
      </c>
      <c r="AE28">
        <f t="shared" si="16"/>
        <v>0</v>
      </c>
      <c r="AF28">
        <f xml:space="preserve">
_xlfn.XLOOKUP(AB28, '3.3 Calibration'!$A$2:$A$14, '3.3 Calibration'!$F$2:$F$14,
        '3.3 Calibration'!$D$2, 1)</f>
        <v>0.33333333333333331</v>
      </c>
      <c r="AG28" t="str">
        <f t="shared" si="20"/>
        <v>No</v>
      </c>
      <c r="AH28" t="str">
        <f t="shared" si="17"/>
        <v>Low</v>
      </c>
      <c r="AI28" t="e">
        <f t="shared" si="18"/>
        <v>#N/A</v>
      </c>
    </row>
    <row r="29" spans="1:41" x14ac:dyDescent="0.2">
      <c r="A29">
        <v>28</v>
      </c>
      <c r="B29">
        <v>39</v>
      </c>
      <c r="C29" t="s">
        <v>15</v>
      </c>
      <c r="D29">
        <v>17</v>
      </c>
      <c r="E29">
        <v>40.5</v>
      </c>
      <c r="F29" t="s">
        <v>20</v>
      </c>
      <c r="G29" t="s">
        <v>24</v>
      </c>
      <c r="H29">
        <v>2</v>
      </c>
      <c r="I29">
        <v>65.5</v>
      </c>
      <c r="J29">
        <v>5</v>
      </c>
      <c r="K29">
        <v>716.81</v>
      </c>
      <c r="L29">
        <v>0</v>
      </c>
      <c r="M29" t="s">
        <v>134</v>
      </c>
      <c r="N29" t="str">
        <f t="shared" si="19"/>
        <v>12-24</v>
      </c>
      <c r="O29" t="str">
        <f t="shared" si="0"/>
        <v>30-60</v>
      </c>
      <c r="P29" t="str">
        <f t="shared" si="1"/>
        <v>4-6</v>
      </c>
      <c r="Q29" t="str">
        <f t="shared" si="2"/>
        <v>40-80</v>
      </c>
      <c r="R29" t="str">
        <f t="shared" si="3"/>
        <v>ContractType|Month-to-Month</v>
      </c>
      <c r="S29" t="str">
        <f t="shared" si="4"/>
        <v>Tenure_Bin|12-24</v>
      </c>
      <c r="T29" t="str">
        <f t="shared" si="5"/>
        <v>Satis_Bin|4-6</v>
      </c>
      <c r="U29" t="str">
        <f t="shared" si="6"/>
        <v>Monthly_Bin|30-60</v>
      </c>
      <c r="V29" t="str">
        <f t="shared" si="7"/>
        <v>Usage_Bin|40-80</v>
      </c>
      <c r="W29">
        <f t="shared" si="8"/>
        <v>3</v>
      </c>
      <c r="X29">
        <f t="shared" si="9"/>
        <v>1</v>
      </c>
      <c r="Y29">
        <f t="shared" si="10"/>
        <v>2</v>
      </c>
      <c r="Z29">
        <f t="shared" si="11"/>
        <v>0</v>
      </c>
      <c r="AA29">
        <f t="shared" si="12"/>
        <v>0</v>
      </c>
      <c r="AB29" s="51">
        <f t="shared" si="13"/>
        <v>6</v>
      </c>
      <c r="AC29" t="str">
        <f t="shared" si="14"/>
        <v>Medium</v>
      </c>
      <c r="AD29" t="str">
        <f t="shared" si="15"/>
        <v>No</v>
      </c>
      <c r="AE29">
        <f t="shared" si="16"/>
        <v>0</v>
      </c>
      <c r="AF29">
        <f xml:space="preserve">
_xlfn.XLOOKUP(AB29, '3.3 Calibration'!$A$2:$A$14, '3.3 Calibration'!$F$2:$F$14,
        '3.3 Calibration'!$D$2, 1)</f>
        <v>0.33333333333333331</v>
      </c>
      <c r="AG29" t="str">
        <f t="shared" si="20"/>
        <v>No</v>
      </c>
      <c r="AH29" t="str">
        <f t="shared" si="17"/>
        <v>Low</v>
      </c>
      <c r="AI29" t="e">
        <f t="shared" si="18"/>
        <v>#N/A</v>
      </c>
    </row>
    <row r="30" spans="1:41" x14ac:dyDescent="0.2">
      <c r="A30">
        <v>29</v>
      </c>
      <c r="B30">
        <v>61</v>
      </c>
      <c r="C30" t="s">
        <v>16</v>
      </c>
      <c r="D30">
        <v>63</v>
      </c>
      <c r="E30">
        <v>45.14</v>
      </c>
      <c r="F30" t="s">
        <v>18</v>
      </c>
      <c r="G30" t="s">
        <v>22</v>
      </c>
      <c r="H30">
        <v>1</v>
      </c>
      <c r="I30">
        <v>19.2</v>
      </c>
      <c r="J30">
        <v>5</v>
      </c>
      <c r="K30">
        <v>2950.98</v>
      </c>
      <c r="L30">
        <v>0</v>
      </c>
      <c r="M30" t="s">
        <v>134</v>
      </c>
      <c r="N30" t="str">
        <f t="shared" si="19"/>
        <v>&gt;=24</v>
      </c>
      <c r="O30" t="str">
        <f t="shared" si="0"/>
        <v>30-60</v>
      </c>
      <c r="P30" t="str">
        <f t="shared" si="1"/>
        <v>4-6</v>
      </c>
      <c r="Q30" t="str">
        <f t="shared" si="2"/>
        <v>&lt;20</v>
      </c>
      <c r="R30" t="str">
        <f t="shared" si="3"/>
        <v>ContractType|1-Year</v>
      </c>
      <c r="S30" t="str">
        <f t="shared" si="4"/>
        <v>Tenure_Bin|&gt;=24</v>
      </c>
      <c r="T30" t="str">
        <f t="shared" si="5"/>
        <v>Satis_Bin|4-6</v>
      </c>
      <c r="U30" t="str">
        <f t="shared" si="6"/>
        <v>Monthly_Bin|30-60</v>
      </c>
      <c r="V30" t="str">
        <f t="shared" si="7"/>
        <v>Usage_Bin|&lt;20</v>
      </c>
      <c r="W30">
        <f t="shared" si="8"/>
        <v>1</v>
      </c>
      <c r="X30">
        <f t="shared" si="9"/>
        <v>0</v>
      </c>
      <c r="Y30">
        <f t="shared" si="10"/>
        <v>2</v>
      </c>
      <c r="Z30">
        <f t="shared" si="11"/>
        <v>0</v>
      </c>
      <c r="AA30">
        <f t="shared" si="12"/>
        <v>2</v>
      </c>
      <c r="AB30" s="51">
        <f t="shared" si="13"/>
        <v>5</v>
      </c>
      <c r="AC30" t="str">
        <f t="shared" si="14"/>
        <v>Medium</v>
      </c>
      <c r="AD30" t="str">
        <f t="shared" si="15"/>
        <v>No</v>
      </c>
      <c r="AE30">
        <f t="shared" si="16"/>
        <v>0</v>
      </c>
      <c r="AF30">
        <f xml:space="preserve">
_xlfn.XLOOKUP(AB30, '3.3 Calibration'!$A$2:$A$14, '3.3 Calibration'!$F$2:$F$14,
        '3.3 Calibration'!$D$2, 1)</f>
        <v>0.33333333333333331</v>
      </c>
      <c r="AG30" t="str">
        <f t="shared" si="20"/>
        <v>No</v>
      </c>
      <c r="AH30" t="str">
        <f t="shared" si="17"/>
        <v>Low</v>
      </c>
      <c r="AI30" t="e">
        <f t="shared" si="18"/>
        <v>#N/A</v>
      </c>
    </row>
    <row r="31" spans="1:41" x14ac:dyDescent="0.2">
      <c r="A31">
        <v>30</v>
      </c>
      <c r="B31">
        <v>42</v>
      </c>
      <c r="C31" t="s">
        <v>16</v>
      </c>
      <c r="D31">
        <v>19</v>
      </c>
      <c r="E31">
        <v>47.47</v>
      </c>
      <c r="F31" t="s">
        <v>19</v>
      </c>
      <c r="G31" t="s">
        <v>24</v>
      </c>
      <c r="H31">
        <v>1</v>
      </c>
      <c r="I31">
        <v>71.099999999999994</v>
      </c>
      <c r="J31">
        <v>4</v>
      </c>
      <c r="K31">
        <v>879.3</v>
      </c>
      <c r="L31">
        <v>1</v>
      </c>
      <c r="M31" t="s">
        <v>134</v>
      </c>
      <c r="N31" t="str">
        <f t="shared" si="19"/>
        <v>12-24</v>
      </c>
      <c r="O31" t="str">
        <f t="shared" si="0"/>
        <v>30-60</v>
      </c>
      <c r="P31" t="str">
        <f t="shared" si="1"/>
        <v>4-6</v>
      </c>
      <c r="Q31" t="str">
        <f t="shared" si="2"/>
        <v>40-80</v>
      </c>
      <c r="R31" t="str">
        <f t="shared" si="3"/>
        <v>ContractType|2-Year</v>
      </c>
      <c r="S31" t="str">
        <f t="shared" si="4"/>
        <v>Tenure_Bin|12-24</v>
      </c>
      <c r="T31" t="str">
        <f t="shared" si="5"/>
        <v>Satis_Bin|4-6</v>
      </c>
      <c r="U31" t="str">
        <f t="shared" si="6"/>
        <v>Monthly_Bin|30-60</v>
      </c>
      <c r="V31" t="str">
        <f t="shared" si="7"/>
        <v>Usage_Bin|40-80</v>
      </c>
      <c r="W31">
        <f t="shared" si="8"/>
        <v>0</v>
      </c>
      <c r="X31">
        <f t="shared" si="9"/>
        <v>1</v>
      </c>
      <c r="Y31">
        <f t="shared" si="10"/>
        <v>2</v>
      </c>
      <c r="Z31">
        <f t="shared" si="11"/>
        <v>0</v>
      </c>
      <c r="AA31">
        <f t="shared" si="12"/>
        <v>0</v>
      </c>
      <c r="AB31" s="51">
        <f t="shared" si="13"/>
        <v>3</v>
      </c>
      <c r="AC31" t="str">
        <f t="shared" si="14"/>
        <v>Low</v>
      </c>
      <c r="AD31" t="str">
        <f t="shared" si="15"/>
        <v>No</v>
      </c>
      <c r="AE31">
        <f t="shared" si="16"/>
        <v>0</v>
      </c>
      <c r="AF31">
        <f xml:space="preserve">
_xlfn.XLOOKUP(AB31, '3.3 Calibration'!$A$2:$A$14, '3.3 Calibration'!$F$2:$F$14,
        '3.3 Calibration'!$D$2, 1)</f>
        <v>0.42105263157894735</v>
      </c>
      <c r="AG31" t="str">
        <f t="shared" si="20"/>
        <v>No</v>
      </c>
      <c r="AH31" t="str">
        <f t="shared" si="17"/>
        <v>Medium</v>
      </c>
      <c r="AI31" t="e">
        <f t="shared" si="18"/>
        <v>#N/A</v>
      </c>
    </row>
    <row r="32" spans="1:41" x14ac:dyDescent="0.2">
      <c r="A32">
        <v>31</v>
      </c>
      <c r="B32">
        <v>66</v>
      </c>
      <c r="C32" t="s">
        <v>15</v>
      </c>
      <c r="D32">
        <v>58</v>
      </c>
      <c r="E32">
        <v>40.72</v>
      </c>
      <c r="F32" t="s">
        <v>20</v>
      </c>
      <c r="G32" t="s">
        <v>22</v>
      </c>
      <c r="H32">
        <v>2</v>
      </c>
      <c r="I32">
        <v>75.900000000000006</v>
      </c>
      <c r="J32">
        <v>4</v>
      </c>
      <c r="K32">
        <v>2204.4</v>
      </c>
      <c r="L32">
        <v>1</v>
      </c>
      <c r="M32" t="s">
        <v>134</v>
      </c>
      <c r="N32" t="str">
        <f t="shared" si="19"/>
        <v>&gt;=24</v>
      </c>
      <c r="O32" t="str">
        <f t="shared" si="0"/>
        <v>30-60</v>
      </c>
      <c r="P32" t="str">
        <f t="shared" si="1"/>
        <v>4-6</v>
      </c>
      <c r="Q32" t="str">
        <f t="shared" si="2"/>
        <v>40-80</v>
      </c>
      <c r="R32" t="str">
        <f t="shared" si="3"/>
        <v>ContractType|Month-to-Month</v>
      </c>
      <c r="S32" t="str">
        <f t="shared" si="4"/>
        <v>Tenure_Bin|&gt;=24</v>
      </c>
      <c r="T32" t="str">
        <f t="shared" si="5"/>
        <v>Satis_Bin|4-6</v>
      </c>
      <c r="U32" t="str">
        <f t="shared" si="6"/>
        <v>Monthly_Bin|30-60</v>
      </c>
      <c r="V32" t="str">
        <f t="shared" si="7"/>
        <v>Usage_Bin|40-80</v>
      </c>
      <c r="W32">
        <f t="shared" si="8"/>
        <v>3</v>
      </c>
      <c r="X32">
        <f t="shared" si="9"/>
        <v>0</v>
      </c>
      <c r="Y32">
        <f t="shared" si="10"/>
        <v>2</v>
      </c>
      <c r="Z32">
        <f t="shared" si="11"/>
        <v>0</v>
      </c>
      <c r="AA32">
        <f t="shared" si="12"/>
        <v>0</v>
      </c>
      <c r="AB32" s="51">
        <f t="shared" si="13"/>
        <v>5</v>
      </c>
      <c r="AC32" t="str">
        <f t="shared" si="14"/>
        <v>Medium</v>
      </c>
      <c r="AD32" t="str">
        <f t="shared" si="15"/>
        <v>No</v>
      </c>
      <c r="AE32">
        <f t="shared" si="16"/>
        <v>0</v>
      </c>
      <c r="AF32">
        <f xml:space="preserve">
_xlfn.XLOOKUP(AB32, '3.3 Calibration'!$A$2:$A$14, '3.3 Calibration'!$F$2:$F$14,
        '3.3 Calibration'!$D$2, 1)</f>
        <v>0.33333333333333331</v>
      </c>
      <c r="AG32" t="str">
        <f t="shared" si="20"/>
        <v>No</v>
      </c>
      <c r="AH32" t="str">
        <f t="shared" si="17"/>
        <v>Low</v>
      </c>
      <c r="AI32" t="e">
        <f t="shared" si="18"/>
        <v>#N/A</v>
      </c>
    </row>
    <row r="33" spans="1:35" x14ac:dyDescent="0.2">
      <c r="A33">
        <v>32</v>
      </c>
      <c r="B33">
        <v>44</v>
      </c>
      <c r="C33" t="s">
        <v>15</v>
      </c>
      <c r="D33">
        <v>55</v>
      </c>
      <c r="E33">
        <v>107.82</v>
      </c>
      <c r="F33" t="s">
        <v>20</v>
      </c>
      <c r="G33" t="s">
        <v>24</v>
      </c>
      <c r="H33">
        <v>2</v>
      </c>
      <c r="I33">
        <v>98.3</v>
      </c>
      <c r="J33">
        <v>1</v>
      </c>
      <c r="K33">
        <v>5847.71</v>
      </c>
      <c r="L33">
        <v>0</v>
      </c>
      <c r="M33" t="s">
        <v>134</v>
      </c>
      <c r="N33" t="str">
        <f t="shared" si="19"/>
        <v>&gt;=24</v>
      </c>
      <c r="O33" t="str">
        <f t="shared" si="0"/>
        <v>&gt;=90</v>
      </c>
      <c r="P33" t="str">
        <f t="shared" si="1"/>
        <v>1-3</v>
      </c>
      <c r="Q33" t="str">
        <f t="shared" si="2"/>
        <v>&gt;=80</v>
      </c>
      <c r="R33" t="str">
        <f t="shared" si="3"/>
        <v>ContractType|Month-to-Month</v>
      </c>
      <c r="S33" t="str">
        <f t="shared" si="4"/>
        <v>Tenure_Bin|&gt;=24</v>
      </c>
      <c r="T33" t="str">
        <f t="shared" si="5"/>
        <v>Satis_Bin|1-3</v>
      </c>
      <c r="U33" t="str">
        <f t="shared" si="6"/>
        <v>Monthly_Bin|&gt;=90</v>
      </c>
      <c r="V33" t="str">
        <f t="shared" si="7"/>
        <v>Usage_Bin|&gt;=80</v>
      </c>
      <c r="W33">
        <f t="shared" si="8"/>
        <v>3</v>
      </c>
      <c r="X33">
        <f t="shared" si="9"/>
        <v>0</v>
      </c>
      <c r="Y33">
        <f t="shared" si="10"/>
        <v>4</v>
      </c>
      <c r="Z33">
        <f t="shared" si="11"/>
        <v>2</v>
      </c>
      <c r="AA33">
        <f t="shared" si="12"/>
        <v>0</v>
      </c>
      <c r="AB33" s="51">
        <f t="shared" si="13"/>
        <v>9</v>
      </c>
      <c r="AC33" t="str">
        <f t="shared" si="14"/>
        <v>High</v>
      </c>
      <c r="AD33" t="str">
        <f t="shared" si="15"/>
        <v>No</v>
      </c>
      <c r="AE33">
        <f t="shared" si="16"/>
        <v>0</v>
      </c>
      <c r="AF33">
        <f xml:space="preserve">
_xlfn.XLOOKUP(AB33, '3.3 Calibration'!$A$2:$A$14, '3.3 Calibration'!$F$2:$F$14,
        '3.3 Calibration'!$D$2, 1)</f>
        <v>0.54545454545454541</v>
      </c>
      <c r="AG33" t="str">
        <f t="shared" si="20"/>
        <v>Yes</v>
      </c>
      <c r="AH33" t="str">
        <f t="shared" si="17"/>
        <v>Medium</v>
      </c>
      <c r="AI33" t="e">
        <f t="shared" si="18"/>
        <v>#N/A</v>
      </c>
    </row>
    <row r="34" spans="1:35" x14ac:dyDescent="0.2">
      <c r="A34">
        <v>33</v>
      </c>
      <c r="B34">
        <v>59</v>
      </c>
      <c r="C34" t="s">
        <v>16</v>
      </c>
      <c r="D34">
        <v>62</v>
      </c>
      <c r="E34">
        <v>95.7</v>
      </c>
      <c r="F34" t="s">
        <v>20</v>
      </c>
      <c r="G34" t="s">
        <v>23</v>
      </c>
      <c r="H34">
        <v>4</v>
      </c>
      <c r="I34">
        <v>24.9</v>
      </c>
      <c r="J34">
        <v>7</v>
      </c>
      <c r="K34">
        <v>5509.27</v>
      </c>
      <c r="L34">
        <v>0</v>
      </c>
      <c r="M34" t="s">
        <v>133</v>
      </c>
      <c r="N34" t="str">
        <f t="shared" si="19"/>
        <v>&gt;=24</v>
      </c>
      <c r="O34" t="str">
        <f t="shared" si="0"/>
        <v>&gt;=90</v>
      </c>
      <c r="P34" t="str">
        <f t="shared" si="1"/>
        <v>7-10</v>
      </c>
      <c r="Q34" t="str">
        <f t="shared" si="2"/>
        <v>20-40</v>
      </c>
      <c r="R34" t="str">
        <f t="shared" si="3"/>
        <v>ContractType|Month-to-Month</v>
      </c>
      <c r="S34" t="str">
        <f t="shared" si="4"/>
        <v>Tenure_Bin|&gt;=24</v>
      </c>
      <c r="T34" t="str">
        <f t="shared" si="5"/>
        <v>Satis_Bin|7-10</v>
      </c>
      <c r="U34" t="str">
        <f t="shared" si="6"/>
        <v>Monthly_Bin|&gt;=90</v>
      </c>
      <c r="V34" t="str">
        <f t="shared" si="7"/>
        <v>Usage_Bin|20-40</v>
      </c>
      <c r="W34">
        <f t="shared" si="8"/>
        <v>3</v>
      </c>
      <c r="X34">
        <f t="shared" si="9"/>
        <v>0</v>
      </c>
      <c r="Y34">
        <f t="shared" si="10"/>
        <v>0</v>
      </c>
      <c r="Z34">
        <f t="shared" si="11"/>
        <v>2</v>
      </c>
      <c r="AA34">
        <f t="shared" si="12"/>
        <v>1</v>
      </c>
      <c r="AB34" s="51">
        <f t="shared" si="13"/>
        <v>6</v>
      </c>
      <c r="AC34" t="str">
        <f t="shared" si="14"/>
        <v>Medium</v>
      </c>
      <c r="AD34" t="str">
        <f t="shared" si="15"/>
        <v>No</v>
      </c>
      <c r="AE34">
        <f t="shared" si="16"/>
        <v>0</v>
      </c>
      <c r="AF34">
        <f xml:space="preserve">
_xlfn.XLOOKUP(AB34, '3.3 Calibration'!$A$2:$A$14, '3.3 Calibration'!$F$2:$F$14,
        '3.3 Calibration'!$D$2, 1)</f>
        <v>0.33333333333333331</v>
      </c>
      <c r="AG34" t="str">
        <f t="shared" si="20"/>
        <v>No</v>
      </c>
      <c r="AH34" t="str">
        <f t="shared" si="17"/>
        <v>Low</v>
      </c>
      <c r="AI34" t="e">
        <f t="shared" si="18"/>
        <v>#N/A</v>
      </c>
    </row>
    <row r="35" spans="1:35" x14ac:dyDescent="0.2">
      <c r="A35">
        <v>34</v>
      </c>
      <c r="B35">
        <v>45</v>
      </c>
      <c r="C35" t="s">
        <v>15</v>
      </c>
      <c r="D35">
        <v>23</v>
      </c>
      <c r="E35">
        <v>24.69</v>
      </c>
      <c r="F35" t="s">
        <v>18</v>
      </c>
      <c r="G35" t="s">
        <v>22</v>
      </c>
      <c r="H35">
        <v>5</v>
      </c>
      <c r="I35">
        <v>83.4</v>
      </c>
      <c r="J35">
        <v>9</v>
      </c>
      <c r="K35">
        <v>612.16999999999996</v>
      </c>
      <c r="L35">
        <v>1</v>
      </c>
      <c r="M35" t="s">
        <v>134</v>
      </c>
      <c r="N35" t="str">
        <f t="shared" si="19"/>
        <v>12-24</v>
      </c>
      <c r="O35" t="str">
        <f t="shared" si="0"/>
        <v>&lt;30</v>
      </c>
      <c r="P35" t="str">
        <f t="shared" si="1"/>
        <v>7-10</v>
      </c>
      <c r="Q35" t="str">
        <f t="shared" si="2"/>
        <v>&gt;=80</v>
      </c>
      <c r="R35" t="str">
        <f t="shared" si="3"/>
        <v>ContractType|1-Year</v>
      </c>
      <c r="S35" t="str">
        <f t="shared" si="4"/>
        <v>Tenure_Bin|12-24</v>
      </c>
      <c r="T35" t="str">
        <f t="shared" si="5"/>
        <v>Satis_Bin|7-10</v>
      </c>
      <c r="U35" t="str">
        <f t="shared" si="6"/>
        <v>Monthly_Bin|&lt;30</v>
      </c>
      <c r="V35" t="str">
        <f t="shared" si="7"/>
        <v>Usage_Bin|&gt;=80</v>
      </c>
      <c r="W35">
        <f t="shared" si="8"/>
        <v>1</v>
      </c>
      <c r="X35">
        <f t="shared" si="9"/>
        <v>1</v>
      </c>
      <c r="Y35">
        <f t="shared" si="10"/>
        <v>0</v>
      </c>
      <c r="Z35">
        <f t="shared" si="11"/>
        <v>0</v>
      </c>
      <c r="AA35">
        <f t="shared" si="12"/>
        <v>0</v>
      </c>
      <c r="AB35" s="51">
        <f t="shared" si="13"/>
        <v>2</v>
      </c>
      <c r="AC35" t="str">
        <f t="shared" si="14"/>
        <v>Low</v>
      </c>
      <c r="AD35" t="str">
        <f t="shared" si="15"/>
        <v>No</v>
      </c>
      <c r="AE35">
        <f t="shared" si="16"/>
        <v>0</v>
      </c>
      <c r="AF35">
        <f xml:space="preserve">
_xlfn.XLOOKUP(AB35, '3.3 Calibration'!$A$2:$A$14, '3.3 Calibration'!$F$2:$F$14,
        '3.3 Calibration'!$D$2, 1)</f>
        <v>0.6</v>
      </c>
      <c r="AG35" t="str">
        <f t="shared" si="20"/>
        <v>Yes</v>
      </c>
      <c r="AH35" t="str">
        <f t="shared" si="17"/>
        <v>High</v>
      </c>
      <c r="AI35" t="str">
        <f t="shared" si="18"/>
        <v>12-24</v>
      </c>
    </row>
    <row r="36" spans="1:35" x14ac:dyDescent="0.2">
      <c r="A36">
        <v>35</v>
      </c>
      <c r="B36">
        <v>33</v>
      </c>
      <c r="C36" t="s">
        <v>15</v>
      </c>
      <c r="D36">
        <v>9</v>
      </c>
      <c r="E36">
        <v>46.87</v>
      </c>
      <c r="F36" t="s">
        <v>20</v>
      </c>
      <c r="G36" t="s">
        <v>24</v>
      </c>
      <c r="H36">
        <v>0</v>
      </c>
      <c r="I36">
        <v>54.4</v>
      </c>
      <c r="J36">
        <v>3</v>
      </c>
      <c r="K36">
        <v>408.83</v>
      </c>
      <c r="L36">
        <v>1</v>
      </c>
      <c r="M36" t="s">
        <v>134</v>
      </c>
      <c r="N36" t="str">
        <f t="shared" si="19"/>
        <v>6-12</v>
      </c>
      <c r="O36" t="str">
        <f t="shared" si="0"/>
        <v>30-60</v>
      </c>
      <c r="P36" t="str">
        <f t="shared" si="1"/>
        <v>1-3</v>
      </c>
      <c r="Q36" t="str">
        <f t="shared" si="2"/>
        <v>40-80</v>
      </c>
      <c r="R36" t="str">
        <f t="shared" si="3"/>
        <v>ContractType|Month-to-Month</v>
      </c>
      <c r="S36" t="str">
        <f t="shared" si="4"/>
        <v>Tenure_Bin|6-12</v>
      </c>
      <c r="T36" t="str">
        <f t="shared" si="5"/>
        <v>Satis_Bin|1-3</v>
      </c>
      <c r="U36" t="str">
        <f t="shared" si="6"/>
        <v>Monthly_Bin|30-60</v>
      </c>
      <c r="V36" t="str">
        <f t="shared" si="7"/>
        <v>Usage_Bin|40-80</v>
      </c>
      <c r="W36">
        <f t="shared" si="8"/>
        <v>3</v>
      </c>
      <c r="X36">
        <f t="shared" si="9"/>
        <v>2</v>
      </c>
      <c r="Y36">
        <f t="shared" si="10"/>
        <v>4</v>
      </c>
      <c r="Z36">
        <f t="shared" si="11"/>
        <v>0</v>
      </c>
      <c r="AA36">
        <f t="shared" si="12"/>
        <v>0</v>
      </c>
      <c r="AB36" s="51">
        <f t="shared" si="13"/>
        <v>9</v>
      </c>
      <c r="AC36" t="str">
        <f t="shared" si="14"/>
        <v>High</v>
      </c>
      <c r="AD36" t="str">
        <f t="shared" si="15"/>
        <v>No</v>
      </c>
      <c r="AE36">
        <f t="shared" si="16"/>
        <v>0</v>
      </c>
      <c r="AF36">
        <f xml:space="preserve">
_xlfn.XLOOKUP(AB36, '3.3 Calibration'!$A$2:$A$14, '3.3 Calibration'!$F$2:$F$14,
        '3.3 Calibration'!$D$2, 1)</f>
        <v>0.54545454545454541</v>
      </c>
      <c r="AG36" t="str">
        <f t="shared" si="20"/>
        <v>Yes</v>
      </c>
      <c r="AH36" t="str">
        <f t="shared" si="17"/>
        <v>Medium</v>
      </c>
      <c r="AI36" t="e">
        <f t="shared" si="18"/>
        <v>#N/A</v>
      </c>
    </row>
    <row r="37" spans="1:35" x14ac:dyDescent="0.2">
      <c r="A37">
        <v>36</v>
      </c>
      <c r="B37">
        <v>32</v>
      </c>
      <c r="C37" t="s">
        <v>16</v>
      </c>
      <c r="D37">
        <v>12</v>
      </c>
      <c r="E37">
        <v>22.22</v>
      </c>
      <c r="F37" t="s">
        <v>20</v>
      </c>
      <c r="G37" t="s">
        <v>24</v>
      </c>
      <c r="H37">
        <v>1</v>
      </c>
      <c r="I37">
        <v>40.5</v>
      </c>
      <c r="J37">
        <v>2</v>
      </c>
      <c r="K37">
        <v>248.21</v>
      </c>
      <c r="L37">
        <v>0</v>
      </c>
      <c r="M37" t="s">
        <v>134</v>
      </c>
      <c r="N37" t="str">
        <f t="shared" si="19"/>
        <v>12-24</v>
      </c>
      <c r="O37" t="str">
        <f t="shared" si="0"/>
        <v>&lt;30</v>
      </c>
      <c r="P37" t="str">
        <f t="shared" si="1"/>
        <v>1-3</v>
      </c>
      <c r="Q37" t="str">
        <f t="shared" si="2"/>
        <v>40-80</v>
      </c>
      <c r="R37" t="str">
        <f t="shared" si="3"/>
        <v>ContractType|Month-to-Month</v>
      </c>
      <c r="S37" t="str">
        <f t="shared" si="4"/>
        <v>Tenure_Bin|12-24</v>
      </c>
      <c r="T37" t="str">
        <f t="shared" si="5"/>
        <v>Satis_Bin|1-3</v>
      </c>
      <c r="U37" t="str">
        <f t="shared" si="6"/>
        <v>Monthly_Bin|&lt;30</v>
      </c>
      <c r="V37" t="str">
        <f t="shared" si="7"/>
        <v>Usage_Bin|40-80</v>
      </c>
      <c r="W37">
        <f t="shared" si="8"/>
        <v>3</v>
      </c>
      <c r="X37">
        <f t="shared" si="9"/>
        <v>1</v>
      </c>
      <c r="Y37">
        <f t="shared" si="10"/>
        <v>4</v>
      </c>
      <c r="Z37">
        <f t="shared" si="11"/>
        <v>0</v>
      </c>
      <c r="AA37">
        <f t="shared" si="12"/>
        <v>0</v>
      </c>
      <c r="AB37" s="51">
        <f t="shared" si="13"/>
        <v>8</v>
      </c>
      <c r="AC37" t="str">
        <f t="shared" si="14"/>
        <v>High</v>
      </c>
      <c r="AD37" t="str">
        <f t="shared" si="15"/>
        <v>No</v>
      </c>
      <c r="AE37">
        <f t="shared" si="16"/>
        <v>0</v>
      </c>
      <c r="AF37">
        <f xml:space="preserve">
_xlfn.XLOOKUP(AB37, '3.3 Calibration'!$A$2:$A$14, '3.3 Calibration'!$F$2:$F$14,
        '3.3 Calibration'!$D$2, 1)</f>
        <v>0.73684210526315785</v>
      </c>
      <c r="AG37" t="str">
        <f t="shared" si="20"/>
        <v>Yes</v>
      </c>
      <c r="AH37" t="str">
        <f t="shared" si="17"/>
        <v>High</v>
      </c>
      <c r="AI37" t="str">
        <f t="shared" si="18"/>
        <v>12-24</v>
      </c>
    </row>
    <row r="38" spans="1:35" x14ac:dyDescent="0.2">
      <c r="A38">
        <v>37</v>
      </c>
      <c r="B38">
        <v>64</v>
      </c>
      <c r="C38" t="s">
        <v>16</v>
      </c>
      <c r="D38">
        <v>1</v>
      </c>
      <c r="E38">
        <v>69.819999999999993</v>
      </c>
      <c r="F38" t="s">
        <v>19</v>
      </c>
      <c r="G38" t="s">
        <v>23</v>
      </c>
      <c r="H38">
        <v>1</v>
      </c>
      <c r="I38">
        <v>16.600000000000001</v>
      </c>
      <c r="J38">
        <v>3</v>
      </c>
      <c r="K38">
        <v>63.19</v>
      </c>
      <c r="L38">
        <v>0</v>
      </c>
      <c r="M38" t="s">
        <v>134</v>
      </c>
      <c r="N38" t="str">
        <f t="shared" si="19"/>
        <v>&lt;6</v>
      </c>
      <c r="O38" t="str">
        <f t="shared" si="0"/>
        <v>60-90</v>
      </c>
      <c r="P38" t="str">
        <f t="shared" si="1"/>
        <v>1-3</v>
      </c>
      <c r="Q38" t="str">
        <f t="shared" si="2"/>
        <v>&lt;20</v>
      </c>
      <c r="R38" t="str">
        <f t="shared" si="3"/>
        <v>ContractType|2-Year</v>
      </c>
      <c r="S38" t="str">
        <f t="shared" si="4"/>
        <v>Tenure_Bin|&lt;6</v>
      </c>
      <c r="T38" t="str">
        <f t="shared" si="5"/>
        <v>Satis_Bin|1-3</v>
      </c>
      <c r="U38" t="str">
        <f t="shared" si="6"/>
        <v>Monthly_Bin|60-90</v>
      </c>
      <c r="V38" t="str">
        <f t="shared" si="7"/>
        <v>Usage_Bin|&lt;20</v>
      </c>
      <c r="W38">
        <f t="shared" si="8"/>
        <v>0</v>
      </c>
      <c r="X38">
        <f t="shared" si="9"/>
        <v>3</v>
      </c>
      <c r="Y38">
        <f t="shared" si="10"/>
        <v>4</v>
      </c>
      <c r="Z38">
        <f t="shared" si="11"/>
        <v>1</v>
      </c>
      <c r="AA38">
        <f t="shared" si="12"/>
        <v>2</v>
      </c>
      <c r="AB38" s="51">
        <f t="shared" si="13"/>
        <v>10</v>
      </c>
      <c r="AC38" t="str">
        <f t="shared" si="14"/>
        <v>High</v>
      </c>
      <c r="AD38" t="str">
        <f t="shared" si="15"/>
        <v>No</v>
      </c>
      <c r="AE38">
        <f t="shared" si="16"/>
        <v>0</v>
      </c>
      <c r="AF38">
        <f xml:space="preserve">
_xlfn.XLOOKUP(AB38, '3.3 Calibration'!$A$2:$A$14, '3.3 Calibration'!$F$2:$F$14,
        '3.3 Calibration'!$D$2, 1)</f>
        <v>0.5</v>
      </c>
      <c r="AG38" t="str">
        <f t="shared" si="20"/>
        <v>Yes</v>
      </c>
      <c r="AH38" t="str">
        <f t="shared" si="17"/>
        <v>Medium</v>
      </c>
      <c r="AI38" t="e">
        <f t="shared" si="18"/>
        <v>#N/A</v>
      </c>
    </row>
    <row r="39" spans="1:35" x14ac:dyDescent="0.2">
      <c r="A39">
        <v>38</v>
      </c>
      <c r="B39">
        <v>68</v>
      </c>
      <c r="C39" t="s">
        <v>15</v>
      </c>
      <c r="D39">
        <v>58</v>
      </c>
      <c r="E39">
        <v>67.62</v>
      </c>
      <c r="F39" t="s">
        <v>18</v>
      </c>
      <c r="G39" t="s">
        <v>22</v>
      </c>
      <c r="H39">
        <v>3</v>
      </c>
      <c r="I39">
        <v>74.900000000000006</v>
      </c>
      <c r="J39">
        <v>1</v>
      </c>
      <c r="K39">
        <v>4036.34</v>
      </c>
      <c r="L39">
        <v>0</v>
      </c>
      <c r="M39" t="s">
        <v>134</v>
      </c>
      <c r="N39" t="str">
        <f t="shared" si="19"/>
        <v>&gt;=24</v>
      </c>
      <c r="O39" t="str">
        <f t="shared" si="0"/>
        <v>60-90</v>
      </c>
      <c r="P39" t="str">
        <f t="shared" si="1"/>
        <v>1-3</v>
      </c>
      <c r="Q39" t="str">
        <f t="shared" si="2"/>
        <v>40-80</v>
      </c>
      <c r="R39" t="str">
        <f t="shared" si="3"/>
        <v>ContractType|1-Year</v>
      </c>
      <c r="S39" t="str">
        <f t="shared" si="4"/>
        <v>Tenure_Bin|&gt;=24</v>
      </c>
      <c r="T39" t="str">
        <f t="shared" si="5"/>
        <v>Satis_Bin|1-3</v>
      </c>
      <c r="U39" t="str">
        <f t="shared" si="6"/>
        <v>Monthly_Bin|60-90</v>
      </c>
      <c r="V39" t="str">
        <f t="shared" si="7"/>
        <v>Usage_Bin|40-80</v>
      </c>
      <c r="W39">
        <f t="shared" si="8"/>
        <v>1</v>
      </c>
      <c r="X39">
        <f t="shared" si="9"/>
        <v>0</v>
      </c>
      <c r="Y39">
        <f t="shared" si="10"/>
        <v>4</v>
      </c>
      <c r="Z39">
        <f t="shared" si="11"/>
        <v>1</v>
      </c>
      <c r="AA39">
        <f t="shared" si="12"/>
        <v>0</v>
      </c>
      <c r="AB39" s="51">
        <f t="shared" si="13"/>
        <v>6</v>
      </c>
      <c r="AC39" t="str">
        <f t="shared" si="14"/>
        <v>Medium</v>
      </c>
      <c r="AD39" t="str">
        <f t="shared" si="15"/>
        <v>No</v>
      </c>
      <c r="AE39">
        <f t="shared" si="16"/>
        <v>0</v>
      </c>
      <c r="AF39">
        <f xml:space="preserve">
_xlfn.XLOOKUP(AB39, '3.3 Calibration'!$A$2:$A$14, '3.3 Calibration'!$F$2:$F$14,
        '3.3 Calibration'!$D$2, 1)</f>
        <v>0.33333333333333331</v>
      </c>
      <c r="AG39" t="str">
        <f t="shared" si="20"/>
        <v>No</v>
      </c>
      <c r="AH39" t="str">
        <f t="shared" si="17"/>
        <v>Low</v>
      </c>
      <c r="AI39" t="e">
        <f t="shared" si="18"/>
        <v>#N/A</v>
      </c>
    </row>
    <row r="40" spans="1:35" x14ac:dyDescent="0.2">
      <c r="A40">
        <v>39</v>
      </c>
      <c r="B40">
        <v>61</v>
      </c>
      <c r="C40" t="s">
        <v>16</v>
      </c>
      <c r="D40">
        <v>1</v>
      </c>
      <c r="E40">
        <v>103.14</v>
      </c>
      <c r="F40" t="s">
        <v>20</v>
      </c>
      <c r="G40" t="s">
        <v>24</v>
      </c>
      <c r="H40">
        <v>2</v>
      </c>
      <c r="I40">
        <v>27.4</v>
      </c>
      <c r="J40">
        <v>6</v>
      </c>
      <c r="K40">
        <v>105.96</v>
      </c>
      <c r="L40">
        <v>1</v>
      </c>
      <c r="M40" t="s">
        <v>134</v>
      </c>
      <c r="N40" t="str">
        <f t="shared" si="19"/>
        <v>&lt;6</v>
      </c>
      <c r="O40" t="str">
        <f t="shared" si="0"/>
        <v>&gt;=90</v>
      </c>
      <c r="P40" t="str">
        <f t="shared" si="1"/>
        <v>4-6</v>
      </c>
      <c r="Q40" t="str">
        <f t="shared" si="2"/>
        <v>20-40</v>
      </c>
      <c r="R40" t="str">
        <f t="shared" si="3"/>
        <v>ContractType|Month-to-Month</v>
      </c>
      <c r="S40" t="str">
        <f t="shared" si="4"/>
        <v>Tenure_Bin|&lt;6</v>
      </c>
      <c r="T40" t="str">
        <f t="shared" si="5"/>
        <v>Satis_Bin|4-6</v>
      </c>
      <c r="U40" t="str">
        <f t="shared" si="6"/>
        <v>Monthly_Bin|&gt;=90</v>
      </c>
      <c r="V40" t="str">
        <f t="shared" si="7"/>
        <v>Usage_Bin|20-40</v>
      </c>
      <c r="W40">
        <f t="shared" si="8"/>
        <v>3</v>
      </c>
      <c r="X40">
        <f t="shared" si="9"/>
        <v>3</v>
      </c>
      <c r="Y40">
        <f t="shared" si="10"/>
        <v>2</v>
      </c>
      <c r="Z40">
        <f t="shared" si="11"/>
        <v>2</v>
      </c>
      <c r="AA40">
        <f t="shared" si="12"/>
        <v>1</v>
      </c>
      <c r="AB40" s="51">
        <f t="shared" si="13"/>
        <v>11</v>
      </c>
      <c r="AC40" t="str">
        <f t="shared" si="14"/>
        <v>High</v>
      </c>
      <c r="AD40" t="str">
        <f t="shared" si="15"/>
        <v>No</v>
      </c>
      <c r="AE40">
        <f t="shared" si="16"/>
        <v>0</v>
      </c>
      <c r="AF40">
        <f xml:space="preserve">
_xlfn.XLOOKUP(AB40, '3.3 Calibration'!$A$2:$A$14, '3.3 Calibration'!$F$2:$F$14,
        '3.3 Calibration'!$D$2, 1)</f>
        <v>0.6</v>
      </c>
      <c r="AG40" t="str">
        <f t="shared" si="20"/>
        <v>Yes</v>
      </c>
      <c r="AH40" t="str">
        <f t="shared" si="17"/>
        <v>High</v>
      </c>
      <c r="AI40" t="str">
        <f t="shared" si="18"/>
        <v>&lt;6</v>
      </c>
    </row>
    <row r="41" spans="1:35" x14ac:dyDescent="0.2">
      <c r="A41">
        <v>40</v>
      </c>
      <c r="B41">
        <v>69</v>
      </c>
      <c r="C41" t="s">
        <v>16</v>
      </c>
      <c r="D41">
        <v>34</v>
      </c>
      <c r="E41">
        <v>50.78</v>
      </c>
      <c r="F41" t="s">
        <v>18</v>
      </c>
      <c r="G41" t="s">
        <v>23</v>
      </c>
      <c r="H41">
        <v>2</v>
      </c>
      <c r="I41">
        <v>40.299999999999997</v>
      </c>
      <c r="J41">
        <v>7</v>
      </c>
      <c r="K41">
        <v>1671.48</v>
      </c>
      <c r="L41">
        <v>0</v>
      </c>
      <c r="M41" t="s">
        <v>134</v>
      </c>
      <c r="N41" t="str">
        <f t="shared" si="19"/>
        <v>&gt;=24</v>
      </c>
      <c r="O41" t="str">
        <f t="shared" si="0"/>
        <v>30-60</v>
      </c>
      <c r="P41" t="str">
        <f t="shared" si="1"/>
        <v>7-10</v>
      </c>
      <c r="Q41" t="str">
        <f t="shared" si="2"/>
        <v>40-80</v>
      </c>
      <c r="R41" t="str">
        <f t="shared" si="3"/>
        <v>ContractType|1-Year</v>
      </c>
      <c r="S41" t="str">
        <f t="shared" si="4"/>
        <v>Tenure_Bin|&gt;=24</v>
      </c>
      <c r="T41" t="str">
        <f t="shared" si="5"/>
        <v>Satis_Bin|7-10</v>
      </c>
      <c r="U41" t="str">
        <f t="shared" si="6"/>
        <v>Monthly_Bin|30-60</v>
      </c>
      <c r="V41" t="str">
        <f t="shared" si="7"/>
        <v>Usage_Bin|40-80</v>
      </c>
      <c r="W41">
        <f t="shared" si="8"/>
        <v>1</v>
      </c>
      <c r="X41">
        <f t="shared" si="9"/>
        <v>0</v>
      </c>
      <c r="Y41">
        <f t="shared" si="10"/>
        <v>0</v>
      </c>
      <c r="Z41">
        <f t="shared" si="11"/>
        <v>0</v>
      </c>
      <c r="AA41">
        <f t="shared" si="12"/>
        <v>0</v>
      </c>
      <c r="AB41" s="51">
        <f t="shared" si="13"/>
        <v>1</v>
      </c>
      <c r="AC41" t="str">
        <f t="shared" si="14"/>
        <v>Low</v>
      </c>
      <c r="AD41" t="str">
        <f t="shared" si="15"/>
        <v>No</v>
      </c>
      <c r="AE41">
        <f t="shared" si="16"/>
        <v>0</v>
      </c>
      <c r="AF41">
        <f xml:space="preserve">
_xlfn.XLOOKUP(AB41, '3.3 Calibration'!$A$2:$A$14, '3.3 Calibration'!$F$2:$F$14,
        '3.3 Calibration'!$D$2, 1)</f>
        <v>0.25</v>
      </c>
      <c r="AG41" t="str">
        <f t="shared" si="20"/>
        <v>No</v>
      </c>
      <c r="AH41" t="str">
        <f t="shared" si="17"/>
        <v>Low</v>
      </c>
      <c r="AI41" t="e">
        <f t="shared" si="18"/>
        <v>#N/A</v>
      </c>
    </row>
    <row r="42" spans="1:35" x14ac:dyDescent="0.2">
      <c r="A42">
        <v>41</v>
      </c>
      <c r="B42">
        <v>20</v>
      </c>
      <c r="C42" t="s">
        <v>15</v>
      </c>
      <c r="D42">
        <v>48</v>
      </c>
      <c r="E42">
        <v>101.64</v>
      </c>
      <c r="F42" t="s">
        <v>18</v>
      </c>
      <c r="G42" t="s">
        <v>24</v>
      </c>
      <c r="H42">
        <v>3</v>
      </c>
      <c r="I42">
        <v>10.9</v>
      </c>
      <c r="J42">
        <v>2</v>
      </c>
      <c r="K42">
        <v>4460.82</v>
      </c>
      <c r="L42">
        <v>1</v>
      </c>
      <c r="M42" t="s">
        <v>134</v>
      </c>
      <c r="N42" t="str">
        <f t="shared" si="19"/>
        <v>&gt;=24</v>
      </c>
      <c r="O42" t="str">
        <f t="shared" si="0"/>
        <v>&gt;=90</v>
      </c>
      <c r="P42" t="str">
        <f t="shared" si="1"/>
        <v>1-3</v>
      </c>
      <c r="Q42" t="str">
        <f t="shared" si="2"/>
        <v>&lt;20</v>
      </c>
      <c r="R42" t="str">
        <f t="shared" si="3"/>
        <v>ContractType|1-Year</v>
      </c>
      <c r="S42" t="str">
        <f t="shared" si="4"/>
        <v>Tenure_Bin|&gt;=24</v>
      </c>
      <c r="T42" t="str">
        <f t="shared" si="5"/>
        <v>Satis_Bin|1-3</v>
      </c>
      <c r="U42" t="str">
        <f t="shared" si="6"/>
        <v>Monthly_Bin|&gt;=90</v>
      </c>
      <c r="V42" t="str">
        <f t="shared" si="7"/>
        <v>Usage_Bin|&lt;20</v>
      </c>
      <c r="W42">
        <f t="shared" si="8"/>
        <v>1</v>
      </c>
      <c r="X42">
        <f t="shared" si="9"/>
        <v>0</v>
      </c>
      <c r="Y42">
        <f t="shared" si="10"/>
        <v>4</v>
      </c>
      <c r="Z42">
        <f t="shared" si="11"/>
        <v>2</v>
      </c>
      <c r="AA42">
        <f t="shared" si="12"/>
        <v>2</v>
      </c>
      <c r="AB42" s="51">
        <f t="shared" si="13"/>
        <v>9</v>
      </c>
      <c r="AC42" t="str">
        <f t="shared" si="14"/>
        <v>High</v>
      </c>
      <c r="AD42" t="str">
        <f t="shared" si="15"/>
        <v>No</v>
      </c>
      <c r="AE42">
        <f t="shared" si="16"/>
        <v>0</v>
      </c>
      <c r="AF42">
        <f xml:space="preserve">
_xlfn.XLOOKUP(AB42, '3.3 Calibration'!$A$2:$A$14, '3.3 Calibration'!$F$2:$F$14,
        '3.3 Calibration'!$D$2, 1)</f>
        <v>0.54545454545454541</v>
      </c>
      <c r="AG42" t="str">
        <f t="shared" si="20"/>
        <v>Yes</v>
      </c>
      <c r="AH42" t="str">
        <f t="shared" si="17"/>
        <v>Medium</v>
      </c>
      <c r="AI42" t="e">
        <f t="shared" si="18"/>
        <v>#N/A</v>
      </c>
    </row>
    <row r="43" spans="1:35" x14ac:dyDescent="0.2">
      <c r="A43">
        <v>42</v>
      </c>
      <c r="B43">
        <v>54</v>
      </c>
      <c r="C43" t="s">
        <v>16</v>
      </c>
      <c r="D43">
        <v>1</v>
      </c>
      <c r="E43">
        <v>116.8</v>
      </c>
      <c r="F43" t="s">
        <v>20</v>
      </c>
      <c r="G43" t="s">
        <v>22</v>
      </c>
      <c r="H43">
        <v>0</v>
      </c>
      <c r="I43">
        <v>81.099999999999994</v>
      </c>
      <c r="J43">
        <v>8</v>
      </c>
      <c r="K43">
        <v>114.69</v>
      </c>
      <c r="L43">
        <v>1</v>
      </c>
      <c r="M43" t="s">
        <v>134</v>
      </c>
      <c r="N43" t="str">
        <f t="shared" si="19"/>
        <v>&lt;6</v>
      </c>
      <c r="O43" t="str">
        <f t="shared" si="0"/>
        <v>&gt;=90</v>
      </c>
      <c r="P43" t="str">
        <f t="shared" si="1"/>
        <v>7-10</v>
      </c>
      <c r="Q43" t="str">
        <f t="shared" si="2"/>
        <v>&gt;=80</v>
      </c>
      <c r="R43" t="str">
        <f t="shared" si="3"/>
        <v>ContractType|Month-to-Month</v>
      </c>
      <c r="S43" t="str">
        <f t="shared" si="4"/>
        <v>Tenure_Bin|&lt;6</v>
      </c>
      <c r="T43" t="str">
        <f t="shared" si="5"/>
        <v>Satis_Bin|7-10</v>
      </c>
      <c r="U43" t="str">
        <f t="shared" si="6"/>
        <v>Monthly_Bin|&gt;=90</v>
      </c>
      <c r="V43" t="str">
        <f t="shared" si="7"/>
        <v>Usage_Bin|&gt;=80</v>
      </c>
      <c r="W43">
        <f t="shared" si="8"/>
        <v>3</v>
      </c>
      <c r="X43">
        <f t="shared" si="9"/>
        <v>3</v>
      </c>
      <c r="Y43">
        <f t="shared" si="10"/>
        <v>0</v>
      </c>
      <c r="Z43">
        <f t="shared" si="11"/>
        <v>2</v>
      </c>
      <c r="AA43">
        <f t="shared" si="12"/>
        <v>0</v>
      </c>
      <c r="AB43" s="51">
        <f t="shared" si="13"/>
        <v>8</v>
      </c>
      <c r="AC43" t="str">
        <f t="shared" si="14"/>
        <v>High</v>
      </c>
      <c r="AD43" t="str">
        <f t="shared" si="15"/>
        <v>No</v>
      </c>
      <c r="AE43">
        <f t="shared" si="16"/>
        <v>0</v>
      </c>
      <c r="AF43">
        <f xml:space="preserve">
_xlfn.XLOOKUP(AB43, '3.3 Calibration'!$A$2:$A$14, '3.3 Calibration'!$F$2:$F$14,
        '3.3 Calibration'!$D$2, 1)</f>
        <v>0.73684210526315785</v>
      </c>
      <c r="AG43" t="str">
        <f t="shared" si="20"/>
        <v>Yes</v>
      </c>
      <c r="AH43" t="str">
        <f t="shared" si="17"/>
        <v>High</v>
      </c>
      <c r="AI43" t="str">
        <f t="shared" si="18"/>
        <v>&lt;6</v>
      </c>
    </row>
    <row r="44" spans="1:35" x14ac:dyDescent="0.2">
      <c r="A44">
        <v>43</v>
      </c>
      <c r="B44">
        <v>68</v>
      </c>
      <c r="C44" t="s">
        <v>16</v>
      </c>
      <c r="D44">
        <v>16</v>
      </c>
      <c r="E44">
        <v>28.84</v>
      </c>
      <c r="F44" t="s">
        <v>20</v>
      </c>
      <c r="G44" t="s">
        <v>24</v>
      </c>
      <c r="H44">
        <v>2</v>
      </c>
      <c r="I44">
        <v>77.8</v>
      </c>
      <c r="J44">
        <v>6</v>
      </c>
      <c r="K44">
        <v>444.02</v>
      </c>
      <c r="L44">
        <v>1</v>
      </c>
      <c r="M44" t="s">
        <v>134</v>
      </c>
      <c r="N44" t="str">
        <f t="shared" si="19"/>
        <v>12-24</v>
      </c>
      <c r="O44" t="str">
        <f t="shared" si="0"/>
        <v>&lt;30</v>
      </c>
      <c r="P44" t="str">
        <f t="shared" si="1"/>
        <v>4-6</v>
      </c>
      <c r="Q44" t="str">
        <f t="shared" si="2"/>
        <v>40-80</v>
      </c>
      <c r="R44" t="str">
        <f t="shared" si="3"/>
        <v>ContractType|Month-to-Month</v>
      </c>
      <c r="S44" t="str">
        <f t="shared" si="4"/>
        <v>Tenure_Bin|12-24</v>
      </c>
      <c r="T44" t="str">
        <f t="shared" si="5"/>
        <v>Satis_Bin|4-6</v>
      </c>
      <c r="U44" t="str">
        <f t="shared" si="6"/>
        <v>Monthly_Bin|&lt;30</v>
      </c>
      <c r="V44" t="str">
        <f t="shared" si="7"/>
        <v>Usage_Bin|40-80</v>
      </c>
      <c r="W44">
        <f t="shared" si="8"/>
        <v>3</v>
      </c>
      <c r="X44">
        <f t="shared" si="9"/>
        <v>1</v>
      </c>
      <c r="Y44">
        <f t="shared" si="10"/>
        <v>2</v>
      </c>
      <c r="Z44">
        <f t="shared" si="11"/>
        <v>0</v>
      </c>
      <c r="AA44">
        <f t="shared" si="12"/>
        <v>0</v>
      </c>
      <c r="AB44" s="51">
        <f t="shared" si="13"/>
        <v>6</v>
      </c>
      <c r="AC44" t="str">
        <f t="shared" si="14"/>
        <v>Medium</v>
      </c>
      <c r="AD44" t="str">
        <f t="shared" si="15"/>
        <v>No</v>
      </c>
      <c r="AE44">
        <f t="shared" si="16"/>
        <v>0</v>
      </c>
      <c r="AF44">
        <f xml:space="preserve">
_xlfn.XLOOKUP(AB44, '3.3 Calibration'!$A$2:$A$14, '3.3 Calibration'!$F$2:$F$14,
        '3.3 Calibration'!$D$2, 1)</f>
        <v>0.33333333333333331</v>
      </c>
      <c r="AG44" t="str">
        <f t="shared" si="20"/>
        <v>No</v>
      </c>
      <c r="AH44" t="str">
        <f t="shared" si="17"/>
        <v>Low</v>
      </c>
      <c r="AI44" t="e">
        <f t="shared" si="18"/>
        <v>#N/A</v>
      </c>
    </row>
    <row r="45" spans="1:35" x14ac:dyDescent="0.2">
      <c r="A45">
        <v>44</v>
      </c>
      <c r="B45">
        <v>24</v>
      </c>
      <c r="C45" t="s">
        <v>15</v>
      </c>
      <c r="D45">
        <v>61</v>
      </c>
      <c r="E45">
        <v>99.18</v>
      </c>
      <c r="F45" t="s">
        <v>20</v>
      </c>
      <c r="G45" t="s">
        <v>24</v>
      </c>
      <c r="H45">
        <v>4</v>
      </c>
      <c r="I45">
        <v>74.7</v>
      </c>
      <c r="J45">
        <v>4</v>
      </c>
      <c r="K45">
        <v>6264.3</v>
      </c>
      <c r="L45">
        <v>0</v>
      </c>
      <c r="M45" t="s">
        <v>134</v>
      </c>
      <c r="N45" t="str">
        <f t="shared" si="19"/>
        <v>&gt;=24</v>
      </c>
      <c r="O45" t="str">
        <f t="shared" si="0"/>
        <v>&gt;=90</v>
      </c>
      <c r="P45" t="str">
        <f t="shared" si="1"/>
        <v>4-6</v>
      </c>
      <c r="Q45" t="str">
        <f t="shared" si="2"/>
        <v>40-80</v>
      </c>
      <c r="R45" t="str">
        <f t="shared" si="3"/>
        <v>ContractType|Month-to-Month</v>
      </c>
      <c r="S45" t="str">
        <f t="shared" si="4"/>
        <v>Tenure_Bin|&gt;=24</v>
      </c>
      <c r="T45" t="str">
        <f t="shared" si="5"/>
        <v>Satis_Bin|4-6</v>
      </c>
      <c r="U45" t="str">
        <f t="shared" si="6"/>
        <v>Monthly_Bin|&gt;=90</v>
      </c>
      <c r="V45" t="str">
        <f t="shared" si="7"/>
        <v>Usage_Bin|40-80</v>
      </c>
      <c r="W45">
        <f t="shared" si="8"/>
        <v>3</v>
      </c>
      <c r="X45">
        <f t="shared" si="9"/>
        <v>0</v>
      </c>
      <c r="Y45">
        <f t="shared" si="10"/>
        <v>2</v>
      </c>
      <c r="Z45">
        <f t="shared" si="11"/>
        <v>2</v>
      </c>
      <c r="AA45">
        <f t="shared" si="12"/>
        <v>0</v>
      </c>
      <c r="AB45" s="51">
        <f t="shared" si="13"/>
        <v>7</v>
      </c>
      <c r="AC45" t="str">
        <f t="shared" si="14"/>
        <v>High</v>
      </c>
      <c r="AD45" t="str">
        <f t="shared" si="15"/>
        <v>No</v>
      </c>
      <c r="AE45">
        <f t="shared" si="16"/>
        <v>0</v>
      </c>
      <c r="AF45">
        <f xml:space="preserve">
_xlfn.XLOOKUP(AB45, '3.3 Calibration'!$A$2:$A$14, '3.3 Calibration'!$F$2:$F$14,
        '3.3 Calibration'!$D$2, 1)</f>
        <v>0.54166666666666663</v>
      </c>
      <c r="AG45" t="str">
        <f t="shared" si="20"/>
        <v>Yes</v>
      </c>
      <c r="AH45" t="str">
        <f t="shared" si="17"/>
        <v>Medium</v>
      </c>
      <c r="AI45" t="e">
        <f t="shared" si="18"/>
        <v>#N/A</v>
      </c>
    </row>
    <row r="46" spans="1:35" x14ac:dyDescent="0.2">
      <c r="A46">
        <v>45</v>
      </c>
      <c r="B46">
        <v>38</v>
      </c>
      <c r="C46" t="s">
        <v>15</v>
      </c>
      <c r="D46">
        <v>64</v>
      </c>
      <c r="E46">
        <v>79</v>
      </c>
      <c r="F46" t="s">
        <v>20</v>
      </c>
      <c r="G46" t="s">
        <v>24</v>
      </c>
      <c r="H46">
        <v>5</v>
      </c>
      <c r="I46">
        <v>33.4</v>
      </c>
      <c r="J46">
        <v>5</v>
      </c>
      <c r="K46">
        <v>5162.96</v>
      </c>
      <c r="L46">
        <v>1</v>
      </c>
      <c r="M46" t="s">
        <v>134</v>
      </c>
      <c r="N46" t="str">
        <f t="shared" si="19"/>
        <v>&gt;=24</v>
      </c>
      <c r="O46" t="str">
        <f t="shared" si="0"/>
        <v>60-90</v>
      </c>
      <c r="P46" t="str">
        <f t="shared" si="1"/>
        <v>4-6</v>
      </c>
      <c r="Q46" t="str">
        <f t="shared" si="2"/>
        <v>20-40</v>
      </c>
      <c r="R46" t="str">
        <f t="shared" si="3"/>
        <v>ContractType|Month-to-Month</v>
      </c>
      <c r="S46" t="str">
        <f t="shared" si="4"/>
        <v>Tenure_Bin|&gt;=24</v>
      </c>
      <c r="T46" t="str">
        <f t="shared" si="5"/>
        <v>Satis_Bin|4-6</v>
      </c>
      <c r="U46" t="str">
        <f t="shared" si="6"/>
        <v>Monthly_Bin|60-90</v>
      </c>
      <c r="V46" t="str">
        <f t="shared" si="7"/>
        <v>Usage_Bin|20-40</v>
      </c>
      <c r="W46">
        <f t="shared" si="8"/>
        <v>3</v>
      </c>
      <c r="X46">
        <f t="shared" si="9"/>
        <v>0</v>
      </c>
      <c r="Y46">
        <f t="shared" si="10"/>
        <v>2</v>
      </c>
      <c r="Z46">
        <f t="shared" si="11"/>
        <v>1</v>
      </c>
      <c r="AA46">
        <f t="shared" si="12"/>
        <v>1</v>
      </c>
      <c r="AB46" s="51">
        <f t="shared" si="13"/>
        <v>7</v>
      </c>
      <c r="AC46" t="str">
        <f t="shared" si="14"/>
        <v>High</v>
      </c>
      <c r="AD46" t="str">
        <f t="shared" si="15"/>
        <v>No</v>
      </c>
      <c r="AE46">
        <f t="shared" si="16"/>
        <v>0</v>
      </c>
      <c r="AF46">
        <f xml:space="preserve">
_xlfn.XLOOKUP(AB46, '3.3 Calibration'!$A$2:$A$14, '3.3 Calibration'!$F$2:$F$14,
        '3.3 Calibration'!$D$2, 1)</f>
        <v>0.54166666666666663</v>
      </c>
      <c r="AG46" t="str">
        <f t="shared" si="20"/>
        <v>Yes</v>
      </c>
      <c r="AH46" t="str">
        <f t="shared" si="17"/>
        <v>Medium</v>
      </c>
      <c r="AI46" t="e">
        <f t="shared" si="18"/>
        <v>#N/A</v>
      </c>
    </row>
    <row r="47" spans="1:35" x14ac:dyDescent="0.2">
      <c r="A47">
        <v>46</v>
      </c>
      <c r="B47">
        <v>26</v>
      </c>
      <c r="C47" t="s">
        <v>16</v>
      </c>
      <c r="D47">
        <v>63</v>
      </c>
      <c r="E47">
        <v>68</v>
      </c>
      <c r="F47" t="s">
        <v>18</v>
      </c>
      <c r="G47" t="s">
        <v>24</v>
      </c>
      <c r="H47">
        <v>4</v>
      </c>
      <c r="I47">
        <v>21.5</v>
      </c>
      <c r="J47">
        <v>8</v>
      </c>
      <c r="K47">
        <v>4167.9799999999996</v>
      </c>
      <c r="L47">
        <v>0</v>
      </c>
      <c r="M47" t="s">
        <v>134</v>
      </c>
      <c r="N47" t="str">
        <f t="shared" si="19"/>
        <v>&gt;=24</v>
      </c>
      <c r="O47" t="str">
        <f t="shared" si="0"/>
        <v>60-90</v>
      </c>
      <c r="P47" t="str">
        <f t="shared" si="1"/>
        <v>7-10</v>
      </c>
      <c r="Q47" t="str">
        <f t="shared" si="2"/>
        <v>20-40</v>
      </c>
      <c r="R47" t="str">
        <f t="shared" si="3"/>
        <v>ContractType|1-Year</v>
      </c>
      <c r="S47" t="str">
        <f t="shared" si="4"/>
        <v>Tenure_Bin|&gt;=24</v>
      </c>
      <c r="T47" t="str">
        <f t="shared" si="5"/>
        <v>Satis_Bin|7-10</v>
      </c>
      <c r="U47" t="str">
        <f t="shared" si="6"/>
        <v>Monthly_Bin|60-90</v>
      </c>
      <c r="V47" t="str">
        <f t="shared" si="7"/>
        <v>Usage_Bin|20-40</v>
      </c>
      <c r="W47">
        <f t="shared" si="8"/>
        <v>1</v>
      </c>
      <c r="X47">
        <f t="shared" si="9"/>
        <v>0</v>
      </c>
      <c r="Y47">
        <f t="shared" si="10"/>
        <v>0</v>
      </c>
      <c r="Z47">
        <f t="shared" si="11"/>
        <v>1</v>
      </c>
      <c r="AA47">
        <f t="shared" si="12"/>
        <v>1</v>
      </c>
      <c r="AB47" s="51">
        <f t="shared" si="13"/>
        <v>3</v>
      </c>
      <c r="AC47" t="str">
        <f t="shared" si="14"/>
        <v>Low</v>
      </c>
      <c r="AD47" t="str">
        <f t="shared" si="15"/>
        <v>No</v>
      </c>
      <c r="AE47">
        <f t="shared" si="16"/>
        <v>0</v>
      </c>
      <c r="AF47">
        <f xml:space="preserve">
_xlfn.XLOOKUP(AB47, '3.3 Calibration'!$A$2:$A$14, '3.3 Calibration'!$F$2:$F$14,
        '3.3 Calibration'!$D$2, 1)</f>
        <v>0.42105263157894735</v>
      </c>
      <c r="AG47" t="str">
        <f t="shared" si="20"/>
        <v>No</v>
      </c>
      <c r="AH47" t="str">
        <f t="shared" si="17"/>
        <v>Medium</v>
      </c>
      <c r="AI47" t="e">
        <f t="shared" si="18"/>
        <v>#N/A</v>
      </c>
    </row>
    <row r="48" spans="1:35" x14ac:dyDescent="0.2">
      <c r="A48">
        <v>47</v>
      </c>
      <c r="B48">
        <v>56</v>
      </c>
      <c r="C48" t="s">
        <v>16</v>
      </c>
      <c r="D48">
        <v>69</v>
      </c>
      <c r="E48">
        <v>62.05</v>
      </c>
      <c r="F48" t="s">
        <v>19</v>
      </c>
      <c r="G48" t="s">
        <v>23</v>
      </c>
      <c r="H48">
        <v>0</v>
      </c>
      <c r="I48">
        <v>65.599999999999994</v>
      </c>
      <c r="J48">
        <v>3</v>
      </c>
      <c r="K48">
        <v>4039.88</v>
      </c>
      <c r="L48">
        <v>0</v>
      </c>
      <c r="M48" t="s">
        <v>133</v>
      </c>
      <c r="N48" t="str">
        <f t="shared" si="19"/>
        <v>&gt;=24</v>
      </c>
      <c r="O48" t="str">
        <f t="shared" si="0"/>
        <v>60-90</v>
      </c>
      <c r="P48" t="str">
        <f t="shared" si="1"/>
        <v>1-3</v>
      </c>
      <c r="Q48" t="str">
        <f t="shared" si="2"/>
        <v>40-80</v>
      </c>
      <c r="R48" t="str">
        <f t="shared" si="3"/>
        <v>ContractType|2-Year</v>
      </c>
      <c r="S48" t="str">
        <f t="shared" si="4"/>
        <v>Tenure_Bin|&gt;=24</v>
      </c>
      <c r="T48" t="str">
        <f t="shared" si="5"/>
        <v>Satis_Bin|1-3</v>
      </c>
      <c r="U48" t="str">
        <f t="shared" si="6"/>
        <v>Monthly_Bin|60-90</v>
      </c>
      <c r="V48" t="str">
        <f t="shared" si="7"/>
        <v>Usage_Bin|40-80</v>
      </c>
      <c r="W48">
        <f t="shared" si="8"/>
        <v>0</v>
      </c>
      <c r="X48">
        <f t="shared" si="9"/>
        <v>0</v>
      </c>
      <c r="Y48">
        <f t="shared" si="10"/>
        <v>4</v>
      </c>
      <c r="Z48">
        <f t="shared" si="11"/>
        <v>1</v>
      </c>
      <c r="AA48">
        <f t="shared" si="12"/>
        <v>0</v>
      </c>
      <c r="AB48" s="51">
        <f t="shared" si="13"/>
        <v>5</v>
      </c>
      <c r="AC48" t="str">
        <f t="shared" si="14"/>
        <v>Medium</v>
      </c>
      <c r="AD48" t="str">
        <f t="shared" si="15"/>
        <v>No</v>
      </c>
      <c r="AE48">
        <f t="shared" si="16"/>
        <v>0</v>
      </c>
      <c r="AF48">
        <f xml:space="preserve">
_xlfn.XLOOKUP(AB48, '3.3 Calibration'!$A$2:$A$14, '3.3 Calibration'!$F$2:$F$14,
        '3.3 Calibration'!$D$2, 1)</f>
        <v>0.33333333333333331</v>
      </c>
      <c r="AG48" t="str">
        <f t="shared" si="20"/>
        <v>No</v>
      </c>
      <c r="AH48" t="str">
        <f t="shared" si="17"/>
        <v>Low</v>
      </c>
      <c r="AI48" t="e">
        <f t="shared" si="18"/>
        <v>#N/A</v>
      </c>
    </row>
    <row r="49" spans="1:35" x14ac:dyDescent="0.2">
      <c r="A49">
        <v>48</v>
      </c>
      <c r="B49">
        <v>35</v>
      </c>
      <c r="C49" t="s">
        <v>15</v>
      </c>
      <c r="D49">
        <v>22</v>
      </c>
      <c r="E49">
        <v>98.47</v>
      </c>
      <c r="F49" t="s">
        <v>20</v>
      </c>
      <c r="G49" t="s">
        <v>23</v>
      </c>
      <c r="H49">
        <v>1</v>
      </c>
      <c r="I49">
        <v>52.1</v>
      </c>
      <c r="J49">
        <v>3</v>
      </c>
      <c r="K49">
        <v>2377.79</v>
      </c>
      <c r="L49">
        <v>1</v>
      </c>
      <c r="M49" t="s">
        <v>134</v>
      </c>
      <c r="N49" t="str">
        <f t="shared" si="19"/>
        <v>12-24</v>
      </c>
      <c r="O49" t="str">
        <f t="shared" si="0"/>
        <v>&gt;=90</v>
      </c>
      <c r="P49" t="str">
        <f t="shared" si="1"/>
        <v>1-3</v>
      </c>
      <c r="Q49" t="str">
        <f t="shared" si="2"/>
        <v>40-80</v>
      </c>
      <c r="R49" t="str">
        <f t="shared" si="3"/>
        <v>ContractType|Month-to-Month</v>
      </c>
      <c r="S49" t="str">
        <f t="shared" si="4"/>
        <v>Tenure_Bin|12-24</v>
      </c>
      <c r="T49" t="str">
        <f t="shared" si="5"/>
        <v>Satis_Bin|1-3</v>
      </c>
      <c r="U49" t="str">
        <f t="shared" si="6"/>
        <v>Monthly_Bin|&gt;=90</v>
      </c>
      <c r="V49" t="str">
        <f t="shared" si="7"/>
        <v>Usage_Bin|40-80</v>
      </c>
      <c r="W49">
        <f t="shared" si="8"/>
        <v>3</v>
      </c>
      <c r="X49">
        <f t="shared" si="9"/>
        <v>1</v>
      </c>
      <c r="Y49">
        <f t="shared" si="10"/>
        <v>4</v>
      </c>
      <c r="Z49">
        <f t="shared" si="11"/>
        <v>2</v>
      </c>
      <c r="AA49">
        <f t="shared" si="12"/>
        <v>0</v>
      </c>
      <c r="AB49" s="51">
        <f t="shared" si="13"/>
        <v>10</v>
      </c>
      <c r="AC49" t="str">
        <f t="shared" si="14"/>
        <v>High</v>
      </c>
      <c r="AD49" t="str">
        <f t="shared" si="15"/>
        <v>No</v>
      </c>
      <c r="AE49">
        <f t="shared" si="16"/>
        <v>0</v>
      </c>
      <c r="AF49">
        <f xml:space="preserve">
_xlfn.XLOOKUP(AB49, '3.3 Calibration'!$A$2:$A$14, '3.3 Calibration'!$F$2:$F$14,
        '3.3 Calibration'!$D$2, 1)</f>
        <v>0.5</v>
      </c>
      <c r="AG49" t="str">
        <f t="shared" si="20"/>
        <v>Yes</v>
      </c>
      <c r="AH49" t="str">
        <f t="shared" si="17"/>
        <v>Medium</v>
      </c>
      <c r="AI49" t="e">
        <f t="shared" si="18"/>
        <v>#N/A</v>
      </c>
    </row>
    <row r="50" spans="1:35" x14ac:dyDescent="0.2">
      <c r="A50">
        <v>49</v>
      </c>
      <c r="B50">
        <v>21</v>
      </c>
      <c r="C50" t="s">
        <v>15</v>
      </c>
      <c r="D50">
        <v>67</v>
      </c>
      <c r="E50">
        <v>83.94</v>
      </c>
      <c r="F50" t="s">
        <v>20</v>
      </c>
      <c r="G50" t="s">
        <v>22</v>
      </c>
      <c r="H50">
        <v>3</v>
      </c>
      <c r="I50">
        <v>21.9</v>
      </c>
      <c r="J50">
        <v>4</v>
      </c>
      <c r="K50">
        <v>5572.24</v>
      </c>
      <c r="L50">
        <v>0</v>
      </c>
      <c r="M50" t="s">
        <v>134</v>
      </c>
      <c r="N50" t="str">
        <f t="shared" si="19"/>
        <v>&gt;=24</v>
      </c>
      <c r="O50" t="str">
        <f t="shared" si="0"/>
        <v>60-90</v>
      </c>
      <c r="P50" t="str">
        <f t="shared" si="1"/>
        <v>4-6</v>
      </c>
      <c r="Q50" t="str">
        <f t="shared" si="2"/>
        <v>20-40</v>
      </c>
      <c r="R50" t="str">
        <f t="shared" si="3"/>
        <v>ContractType|Month-to-Month</v>
      </c>
      <c r="S50" t="str">
        <f t="shared" si="4"/>
        <v>Tenure_Bin|&gt;=24</v>
      </c>
      <c r="T50" t="str">
        <f t="shared" si="5"/>
        <v>Satis_Bin|4-6</v>
      </c>
      <c r="U50" t="str">
        <f t="shared" si="6"/>
        <v>Monthly_Bin|60-90</v>
      </c>
      <c r="V50" t="str">
        <f t="shared" si="7"/>
        <v>Usage_Bin|20-40</v>
      </c>
      <c r="W50">
        <f t="shared" si="8"/>
        <v>3</v>
      </c>
      <c r="X50">
        <f t="shared" si="9"/>
        <v>0</v>
      </c>
      <c r="Y50">
        <f t="shared" si="10"/>
        <v>2</v>
      </c>
      <c r="Z50">
        <f t="shared" si="11"/>
        <v>1</v>
      </c>
      <c r="AA50">
        <f t="shared" si="12"/>
        <v>1</v>
      </c>
      <c r="AB50" s="51">
        <f t="shared" si="13"/>
        <v>7</v>
      </c>
      <c r="AC50" t="str">
        <f t="shared" si="14"/>
        <v>High</v>
      </c>
      <c r="AD50" t="str">
        <f t="shared" si="15"/>
        <v>No</v>
      </c>
      <c r="AE50">
        <f t="shared" si="16"/>
        <v>0</v>
      </c>
      <c r="AF50">
        <f xml:space="preserve">
_xlfn.XLOOKUP(AB50, '3.3 Calibration'!$A$2:$A$14, '3.3 Calibration'!$F$2:$F$14,
        '3.3 Calibration'!$D$2, 1)</f>
        <v>0.54166666666666663</v>
      </c>
      <c r="AG50" t="str">
        <f t="shared" si="20"/>
        <v>Yes</v>
      </c>
      <c r="AH50" t="str">
        <f t="shared" si="17"/>
        <v>Medium</v>
      </c>
      <c r="AI50" t="e">
        <f t="shared" si="18"/>
        <v>#N/A</v>
      </c>
    </row>
    <row r="51" spans="1:35" x14ac:dyDescent="0.2">
      <c r="A51">
        <v>50</v>
      </c>
      <c r="B51">
        <v>42</v>
      </c>
      <c r="C51" t="s">
        <v>15</v>
      </c>
      <c r="D51">
        <v>26</v>
      </c>
      <c r="E51">
        <v>100.5</v>
      </c>
      <c r="F51" t="s">
        <v>20</v>
      </c>
      <c r="G51" t="s">
        <v>23</v>
      </c>
      <c r="H51">
        <v>2</v>
      </c>
      <c r="I51">
        <v>70.2</v>
      </c>
      <c r="J51">
        <v>1</v>
      </c>
      <c r="K51">
        <v>2711.39</v>
      </c>
      <c r="L51">
        <v>1</v>
      </c>
      <c r="M51" t="s">
        <v>134</v>
      </c>
      <c r="N51" t="str">
        <f t="shared" si="19"/>
        <v>&gt;=24</v>
      </c>
      <c r="O51" t="str">
        <f t="shared" si="0"/>
        <v>&gt;=90</v>
      </c>
      <c r="P51" t="str">
        <f t="shared" si="1"/>
        <v>1-3</v>
      </c>
      <c r="Q51" t="str">
        <f t="shared" si="2"/>
        <v>40-80</v>
      </c>
      <c r="R51" t="str">
        <f t="shared" si="3"/>
        <v>ContractType|Month-to-Month</v>
      </c>
      <c r="S51" t="str">
        <f t="shared" si="4"/>
        <v>Tenure_Bin|&gt;=24</v>
      </c>
      <c r="T51" t="str">
        <f t="shared" si="5"/>
        <v>Satis_Bin|1-3</v>
      </c>
      <c r="U51" t="str">
        <f t="shared" si="6"/>
        <v>Monthly_Bin|&gt;=90</v>
      </c>
      <c r="V51" t="str">
        <f t="shared" si="7"/>
        <v>Usage_Bin|40-80</v>
      </c>
      <c r="W51">
        <f t="shared" si="8"/>
        <v>3</v>
      </c>
      <c r="X51">
        <f t="shared" si="9"/>
        <v>0</v>
      </c>
      <c r="Y51">
        <f t="shared" si="10"/>
        <v>4</v>
      </c>
      <c r="Z51">
        <f t="shared" si="11"/>
        <v>2</v>
      </c>
      <c r="AA51">
        <f t="shared" si="12"/>
        <v>0</v>
      </c>
      <c r="AB51" s="51">
        <f t="shared" si="13"/>
        <v>9</v>
      </c>
      <c r="AC51" t="str">
        <f t="shared" si="14"/>
        <v>High</v>
      </c>
      <c r="AD51" t="str">
        <f t="shared" si="15"/>
        <v>No</v>
      </c>
      <c r="AE51">
        <f t="shared" si="16"/>
        <v>0</v>
      </c>
      <c r="AF51">
        <f xml:space="preserve">
_xlfn.XLOOKUP(AB51, '3.3 Calibration'!$A$2:$A$14, '3.3 Calibration'!$F$2:$F$14,
        '3.3 Calibration'!$D$2, 1)</f>
        <v>0.54545454545454541</v>
      </c>
      <c r="AG51" t="str">
        <f t="shared" si="20"/>
        <v>Yes</v>
      </c>
      <c r="AH51" t="str">
        <f t="shared" si="17"/>
        <v>Medium</v>
      </c>
      <c r="AI51" t="e">
        <f t="shared" si="18"/>
        <v>#N/A</v>
      </c>
    </row>
    <row r="52" spans="1:35" x14ac:dyDescent="0.2">
      <c r="A52">
        <v>51</v>
      </c>
      <c r="B52">
        <v>31</v>
      </c>
      <c r="C52" t="s">
        <v>15</v>
      </c>
      <c r="D52">
        <v>16</v>
      </c>
      <c r="E52">
        <v>110.32</v>
      </c>
      <c r="F52" t="s">
        <v>20</v>
      </c>
      <c r="G52" t="s">
        <v>23</v>
      </c>
      <c r="H52">
        <v>3</v>
      </c>
      <c r="I52">
        <v>99.2</v>
      </c>
      <c r="J52">
        <v>9</v>
      </c>
      <c r="K52">
        <v>1638.23</v>
      </c>
      <c r="L52">
        <v>0</v>
      </c>
      <c r="M52" t="s">
        <v>133</v>
      </c>
      <c r="N52" t="str">
        <f t="shared" si="19"/>
        <v>12-24</v>
      </c>
      <c r="O52" t="str">
        <f t="shared" si="0"/>
        <v>&gt;=90</v>
      </c>
      <c r="P52" t="str">
        <f t="shared" si="1"/>
        <v>7-10</v>
      </c>
      <c r="Q52" t="str">
        <f t="shared" si="2"/>
        <v>&gt;=80</v>
      </c>
      <c r="R52" t="str">
        <f t="shared" si="3"/>
        <v>ContractType|Month-to-Month</v>
      </c>
      <c r="S52" t="str">
        <f t="shared" si="4"/>
        <v>Tenure_Bin|12-24</v>
      </c>
      <c r="T52" t="str">
        <f t="shared" si="5"/>
        <v>Satis_Bin|7-10</v>
      </c>
      <c r="U52" t="str">
        <f t="shared" si="6"/>
        <v>Monthly_Bin|&gt;=90</v>
      </c>
      <c r="V52" t="str">
        <f t="shared" si="7"/>
        <v>Usage_Bin|&gt;=80</v>
      </c>
      <c r="W52">
        <f t="shared" si="8"/>
        <v>3</v>
      </c>
      <c r="X52">
        <f t="shared" si="9"/>
        <v>1</v>
      </c>
      <c r="Y52">
        <f t="shared" si="10"/>
        <v>0</v>
      </c>
      <c r="Z52">
        <f t="shared" si="11"/>
        <v>2</v>
      </c>
      <c r="AA52">
        <f t="shared" si="12"/>
        <v>0</v>
      </c>
      <c r="AB52" s="51">
        <f t="shared" si="13"/>
        <v>6</v>
      </c>
      <c r="AC52" t="str">
        <f t="shared" si="14"/>
        <v>Medium</v>
      </c>
      <c r="AD52" t="str">
        <f t="shared" si="15"/>
        <v>No</v>
      </c>
      <c r="AE52">
        <f t="shared" si="16"/>
        <v>0</v>
      </c>
      <c r="AF52">
        <f xml:space="preserve">
_xlfn.XLOOKUP(AB52, '3.3 Calibration'!$A$2:$A$14, '3.3 Calibration'!$F$2:$F$14,
        '3.3 Calibration'!$D$2, 1)</f>
        <v>0.33333333333333331</v>
      </c>
      <c r="AG52" t="str">
        <f t="shared" si="20"/>
        <v>No</v>
      </c>
      <c r="AH52" t="str">
        <f t="shared" si="17"/>
        <v>Low</v>
      </c>
      <c r="AI52" t="e">
        <f t="shared" si="18"/>
        <v>#N/A</v>
      </c>
    </row>
    <row r="53" spans="1:35" x14ac:dyDescent="0.2">
      <c r="A53">
        <v>52</v>
      </c>
      <c r="B53">
        <v>67</v>
      </c>
      <c r="C53" t="s">
        <v>16</v>
      </c>
      <c r="D53">
        <v>51</v>
      </c>
      <c r="E53">
        <v>81.73</v>
      </c>
      <c r="F53" t="s">
        <v>18</v>
      </c>
      <c r="G53" t="s">
        <v>22</v>
      </c>
      <c r="H53">
        <v>1</v>
      </c>
      <c r="I53">
        <v>76</v>
      </c>
      <c r="J53">
        <v>8</v>
      </c>
      <c r="K53">
        <v>4156.22</v>
      </c>
      <c r="L53">
        <v>0</v>
      </c>
      <c r="M53" t="s">
        <v>133</v>
      </c>
      <c r="N53" t="str">
        <f t="shared" si="19"/>
        <v>&gt;=24</v>
      </c>
      <c r="O53" t="str">
        <f t="shared" si="0"/>
        <v>60-90</v>
      </c>
      <c r="P53" t="str">
        <f t="shared" si="1"/>
        <v>7-10</v>
      </c>
      <c r="Q53" t="str">
        <f t="shared" si="2"/>
        <v>40-80</v>
      </c>
      <c r="R53" t="str">
        <f t="shared" si="3"/>
        <v>ContractType|1-Year</v>
      </c>
      <c r="S53" t="str">
        <f t="shared" si="4"/>
        <v>Tenure_Bin|&gt;=24</v>
      </c>
      <c r="T53" t="str">
        <f t="shared" si="5"/>
        <v>Satis_Bin|7-10</v>
      </c>
      <c r="U53" t="str">
        <f t="shared" si="6"/>
        <v>Monthly_Bin|60-90</v>
      </c>
      <c r="V53" t="str">
        <f t="shared" si="7"/>
        <v>Usage_Bin|40-80</v>
      </c>
      <c r="W53">
        <f t="shared" si="8"/>
        <v>1</v>
      </c>
      <c r="X53">
        <f t="shared" si="9"/>
        <v>0</v>
      </c>
      <c r="Y53">
        <f t="shared" si="10"/>
        <v>0</v>
      </c>
      <c r="Z53">
        <f t="shared" si="11"/>
        <v>1</v>
      </c>
      <c r="AA53">
        <f t="shared" si="12"/>
        <v>0</v>
      </c>
      <c r="AB53" s="51">
        <f t="shared" si="13"/>
        <v>2</v>
      </c>
      <c r="AC53" t="str">
        <f t="shared" si="14"/>
        <v>Low</v>
      </c>
      <c r="AD53" t="str">
        <f t="shared" si="15"/>
        <v>No</v>
      </c>
      <c r="AE53">
        <f t="shared" si="16"/>
        <v>0</v>
      </c>
      <c r="AF53">
        <f xml:space="preserve">
_xlfn.XLOOKUP(AB53, '3.3 Calibration'!$A$2:$A$14, '3.3 Calibration'!$F$2:$F$14,
        '3.3 Calibration'!$D$2, 1)</f>
        <v>0.6</v>
      </c>
      <c r="AG53" t="str">
        <f t="shared" si="20"/>
        <v>Yes</v>
      </c>
      <c r="AH53" t="str">
        <f t="shared" si="17"/>
        <v>High</v>
      </c>
      <c r="AI53" t="str">
        <f t="shared" si="18"/>
        <v>&gt;=24</v>
      </c>
    </row>
    <row r="54" spans="1:35" x14ac:dyDescent="0.2">
      <c r="A54">
        <v>53</v>
      </c>
      <c r="B54">
        <v>26</v>
      </c>
      <c r="C54" t="s">
        <v>15</v>
      </c>
      <c r="D54">
        <v>57</v>
      </c>
      <c r="E54">
        <v>118.05</v>
      </c>
      <c r="F54" t="s">
        <v>20</v>
      </c>
      <c r="G54" t="s">
        <v>23</v>
      </c>
      <c r="H54">
        <v>2</v>
      </c>
      <c r="I54">
        <v>75.3</v>
      </c>
      <c r="J54">
        <v>8</v>
      </c>
      <c r="K54">
        <v>6093.02</v>
      </c>
      <c r="L54">
        <v>0</v>
      </c>
      <c r="M54" t="s">
        <v>134</v>
      </c>
      <c r="N54" t="str">
        <f t="shared" si="19"/>
        <v>&gt;=24</v>
      </c>
      <c r="O54" t="str">
        <f t="shared" si="0"/>
        <v>&gt;=90</v>
      </c>
      <c r="P54" t="str">
        <f t="shared" si="1"/>
        <v>7-10</v>
      </c>
      <c r="Q54" t="str">
        <f t="shared" si="2"/>
        <v>40-80</v>
      </c>
      <c r="R54" t="str">
        <f t="shared" si="3"/>
        <v>ContractType|Month-to-Month</v>
      </c>
      <c r="S54" t="str">
        <f t="shared" si="4"/>
        <v>Tenure_Bin|&gt;=24</v>
      </c>
      <c r="T54" t="str">
        <f t="shared" si="5"/>
        <v>Satis_Bin|7-10</v>
      </c>
      <c r="U54" t="str">
        <f t="shared" si="6"/>
        <v>Monthly_Bin|&gt;=90</v>
      </c>
      <c r="V54" t="str">
        <f t="shared" si="7"/>
        <v>Usage_Bin|40-80</v>
      </c>
      <c r="W54">
        <f t="shared" si="8"/>
        <v>3</v>
      </c>
      <c r="X54">
        <f t="shared" si="9"/>
        <v>0</v>
      </c>
      <c r="Y54">
        <f t="shared" si="10"/>
        <v>0</v>
      </c>
      <c r="Z54">
        <f t="shared" si="11"/>
        <v>2</v>
      </c>
      <c r="AA54">
        <f t="shared" si="12"/>
        <v>0</v>
      </c>
      <c r="AB54" s="51">
        <f t="shared" si="13"/>
        <v>5</v>
      </c>
      <c r="AC54" t="str">
        <f t="shared" si="14"/>
        <v>Medium</v>
      </c>
      <c r="AD54" t="str">
        <f t="shared" si="15"/>
        <v>No</v>
      </c>
      <c r="AE54">
        <f t="shared" si="16"/>
        <v>0</v>
      </c>
      <c r="AF54">
        <f xml:space="preserve">
_xlfn.XLOOKUP(AB54, '3.3 Calibration'!$A$2:$A$14, '3.3 Calibration'!$F$2:$F$14,
        '3.3 Calibration'!$D$2, 1)</f>
        <v>0.33333333333333331</v>
      </c>
      <c r="AG54" t="str">
        <f t="shared" si="20"/>
        <v>No</v>
      </c>
      <c r="AH54" t="str">
        <f t="shared" si="17"/>
        <v>Low</v>
      </c>
      <c r="AI54" t="e">
        <f t="shared" si="18"/>
        <v>#N/A</v>
      </c>
    </row>
    <row r="55" spans="1:35" x14ac:dyDescent="0.2">
      <c r="A55">
        <v>54</v>
      </c>
      <c r="B55">
        <v>43</v>
      </c>
      <c r="C55" t="s">
        <v>15</v>
      </c>
      <c r="D55">
        <v>29</v>
      </c>
      <c r="E55">
        <v>80.81</v>
      </c>
      <c r="F55" t="s">
        <v>20</v>
      </c>
      <c r="G55" t="s">
        <v>23</v>
      </c>
      <c r="H55">
        <v>1</v>
      </c>
      <c r="I55">
        <v>95.3</v>
      </c>
      <c r="J55">
        <v>10</v>
      </c>
      <c r="K55">
        <v>2346.0500000000002</v>
      </c>
      <c r="L55">
        <v>0</v>
      </c>
      <c r="M55" t="s">
        <v>134</v>
      </c>
      <c r="N55" t="str">
        <f t="shared" si="19"/>
        <v>&gt;=24</v>
      </c>
      <c r="O55" t="str">
        <f t="shared" si="0"/>
        <v>60-90</v>
      </c>
      <c r="P55" t="str">
        <f t="shared" si="1"/>
        <v>7-10</v>
      </c>
      <c r="Q55" t="str">
        <f t="shared" si="2"/>
        <v>&gt;=80</v>
      </c>
      <c r="R55" t="str">
        <f t="shared" si="3"/>
        <v>ContractType|Month-to-Month</v>
      </c>
      <c r="S55" t="str">
        <f t="shared" si="4"/>
        <v>Tenure_Bin|&gt;=24</v>
      </c>
      <c r="T55" t="str">
        <f t="shared" si="5"/>
        <v>Satis_Bin|7-10</v>
      </c>
      <c r="U55" t="str">
        <f t="shared" si="6"/>
        <v>Monthly_Bin|60-90</v>
      </c>
      <c r="V55" t="str">
        <f t="shared" si="7"/>
        <v>Usage_Bin|&gt;=80</v>
      </c>
      <c r="W55">
        <f t="shared" si="8"/>
        <v>3</v>
      </c>
      <c r="X55">
        <f t="shared" si="9"/>
        <v>0</v>
      </c>
      <c r="Y55">
        <f t="shared" si="10"/>
        <v>0</v>
      </c>
      <c r="Z55">
        <f t="shared" si="11"/>
        <v>1</v>
      </c>
      <c r="AA55">
        <f t="shared" si="12"/>
        <v>0</v>
      </c>
      <c r="AB55" s="51">
        <f t="shared" si="13"/>
        <v>4</v>
      </c>
      <c r="AC55" t="str">
        <f t="shared" si="14"/>
        <v>Medium</v>
      </c>
      <c r="AD55" t="str">
        <f t="shared" si="15"/>
        <v>No</v>
      </c>
      <c r="AE55">
        <f t="shared" si="16"/>
        <v>0</v>
      </c>
      <c r="AF55">
        <f xml:space="preserve">
_xlfn.XLOOKUP(AB55, '3.3 Calibration'!$A$2:$A$14, '3.3 Calibration'!$F$2:$F$14,
        '3.3 Calibration'!$D$2, 1)</f>
        <v>0.40740740740740738</v>
      </c>
      <c r="AG55" t="str">
        <f t="shared" si="20"/>
        <v>No</v>
      </c>
      <c r="AH55" t="str">
        <f t="shared" si="17"/>
        <v>Medium</v>
      </c>
      <c r="AI55" t="e">
        <f t="shared" si="18"/>
        <v>#N/A</v>
      </c>
    </row>
    <row r="56" spans="1:35" x14ac:dyDescent="0.2">
      <c r="A56">
        <v>55</v>
      </c>
      <c r="B56">
        <v>19</v>
      </c>
      <c r="C56" t="s">
        <v>16</v>
      </c>
      <c r="D56">
        <v>69</v>
      </c>
      <c r="E56">
        <v>83.66</v>
      </c>
      <c r="F56" t="s">
        <v>20</v>
      </c>
      <c r="G56" t="s">
        <v>22</v>
      </c>
      <c r="H56">
        <v>1</v>
      </c>
      <c r="I56">
        <v>24.3</v>
      </c>
      <c r="J56">
        <v>6</v>
      </c>
      <c r="K56">
        <v>6308.25</v>
      </c>
      <c r="L56">
        <v>1</v>
      </c>
      <c r="M56" t="s">
        <v>133</v>
      </c>
      <c r="N56" t="str">
        <f t="shared" si="19"/>
        <v>&gt;=24</v>
      </c>
      <c r="O56" t="str">
        <f t="shared" si="0"/>
        <v>60-90</v>
      </c>
      <c r="P56" t="str">
        <f t="shared" si="1"/>
        <v>4-6</v>
      </c>
      <c r="Q56" t="str">
        <f t="shared" si="2"/>
        <v>20-40</v>
      </c>
      <c r="R56" t="str">
        <f t="shared" si="3"/>
        <v>ContractType|Month-to-Month</v>
      </c>
      <c r="S56" t="str">
        <f t="shared" si="4"/>
        <v>Tenure_Bin|&gt;=24</v>
      </c>
      <c r="T56" t="str">
        <f t="shared" si="5"/>
        <v>Satis_Bin|4-6</v>
      </c>
      <c r="U56" t="str">
        <f t="shared" si="6"/>
        <v>Monthly_Bin|60-90</v>
      </c>
      <c r="V56" t="str">
        <f t="shared" si="7"/>
        <v>Usage_Bin|20-40</v>
      </c>
      <c r="W56">
        <f t="shared" si="8"/>
        <v>3</v>
      </c>
      <c r="X56">
        <f t="shared" si="9"/>
        <v>0</v>
      </c>
      <c r="Y56">
        <f t="shared" si="10"/>
        <v>2</v>
      </c>
      <c r="Z56">
        <f t="shared" si="11"/>
        <v>1</v>
      </c>
      <c r="AA56">
        <f t="shared" si="12"/>
        <v>1</v>
      </c>
      <c r="AB56" s="51">
        <f t="shared" si="13"/>
        <v>7</v>
      </c>
      <c r="AC56" t="str">
        <f t="shared" si="14"/>
        <v>High</v>
      </c>
      <c r="AD56" t="str">
        <f t="shared" si="15"/>
        <v>No</v>
      </c>
      <c r="AE56">
        <f t="shared" si="16"/>
        <v>0</v>
      </c>
      <c r="AF56">
        <f xml:space="preserve">
_xlfn.XLOOKUP(AB56, '3.3 Calibration'!$A$2:$A$14, '3.3 Calibration'!$F$2:$F$14,
        '3.3 Calibration'!$D$2, 1)</f>
        <v>0.54166666666666663</v>
      </c>
      <c r="AG56" t="str">
        <f t="shared" si="20"/>
        <v>Yes</v>
      </c>
      <c r="AH56" t="str">
        <f t="shared" si="17"/>
        <v>Medium</v>
      </c>
      <c r="AI56" t="e">
        <f t="shared" si="18"/>
        <v>#N/A</v>
      </c>
    </row>
    <row r="57" spans="1:35" x14ac:dyDescent="0.2">
      <c r="A57">
        <v>56</v>
      </c>
      <c r="B57">
        <v>37</v>
      </c>
      <c r="C57" t="s">
        <v>15</v>
      </c>
      <c r="D57">
        <v>47</v>
      </c>
      <c r="E57">
        <v>75.48</v>
      </c>
      <c r="F57" t="s">
        <v>18</v>
      </c>
      <c r="G57" t="s">
        <v>22</v>
      </c>
      <c r="H57">
        <v>1</v>
      </c>
      <c r="I57">
        <v>58.7</v>
      </c>
      <c r="J57">
        <v>7</v>
      </c>
      <c r="K57">
        <v>3465.4</v>
      </c>
      <c r="L57">
        <v>1</v>
      </c>
      <c r="M57" t="s">
        <v>133</v>
      </c>
      <c r="N57" t="str">
        <f t="shared" si="19"/>
        <v>&gt;=24</v>
      </c>
      <c r="O57" t="str">
        <f t="shared" si="0"/>
        <v>60-90</v>
      </c>
      <c r="P57" t="str">
        <f t="shared" si="1"/>
        <v>7-10</v>
      </c>
      <c r="Q57" t="str">
        <f t="shared" si="2"/>
        <v>40-80</v>
      </c>
      <c r="R57" t="str">
        <f t="shared" si="3"/>
        <v>ContractType|1-Year</v>
      </c>
      <c r="S57" t="str">
        <f t="shared" si="4"/>
        <v>Tenure_Bin|&gt;=24</v>
      </c>
      <c r="T57" t="str">
        <f t="shared" si="5"/>
        <v>Satis_Bin|7-10</v>
      </c>
      <c r="U57" t="str">
        <f t="shared" si="6"/>
        <v>Monthly_Bin|60-90</v>
      </c>
      <c r="V57" t="str">
        <f t="shared" si="7"/>
        <v>Usage_Bin|40-80</v>
      </c>
      <c r="W57">
        <f t="shared" si="8"/>
        <v>1</v>
      </c>
      <c r="X57">
        <f t="shared" si="9"/>
        <v>0</v>
      </c>
      <c r="Y57">
        <f t="shared" si="10"/>
        <v>0</v>
      </c>
      <c r="Z57">
        <f t="shared" si="11"/>
        <v>1</v>
      </c>
      <c r="AA57">
        <f t="shared" si="12"/>
        <v>0</v>
      </c>
      <c r="AB57" s="51">
        <f t="shared" si="13"/>
        <v>2</v>
      </c>
      <c r="AC57" t="str">
        <f t="shared" si="14"/>
        <v>Low</v>
      </c>
      <c r="AD57" t="str">
        <f t="shared" si="15"/>
        <v>No</v>
      </c>
      <c r="AE57">
        <f t="shared" si="16"/>
        <v>0</v>
      </c>
      <c r="AF57">
        <f xml:space="preserve">
_xlfn.XLOOKUP(AB57, '3.3 Calibration'!$A$2:$A$14, '3.3 Calibration'!$F$2:$F$14,
        '3.3 Calibration'!$D$2, 1)</f>
        <v>0.6</v>
      </c>
      <c r="AG57" t="str">
        <f t="shared" si="20"/>
        <v>Yes</v>
      </c>
      <c r="AH57" t="str">
        <f t="shared" si="17"/>
        <v>High</v>
      </c>
      <c r="AI57" t="str">
        <f t="shared" si="18"/>
        <v>&gt;=24</v>
      </c>
    </row>
    <row r="58" spans="1:35" x14ac:dyDescent="0.2">
      <c r="A58">
        <v>57</v>
      </c>
      <c r="B58">
        <v>45</v>
      </c>
      <c r="C58" t="s">
        <v>16</v>
      </c>
      <c r="D58">
        <v>62</v>
      </c>
      <c r="E58">
        <v>29.1</v>
      </c>
      <c r="F58" t="s">
        <v>20</v>
      </c>
      <c r="G58" t="s">
        <v>22</v>
      </c>
      <c r="H58">
        <v>3</v>
      </c>
      <c r="I58">
        <v>98.1</v>
      </c>
      <c r="J58">
        <v>6</v>
      </c>
      <c r="K58">
        <v>1637.85</v>
      </c>
      <c r="L58">
        <v>0</v>
      </c>
      <c r="M58" t="s">
        <v>134</v>
      </c>
      <c r="N58" t="str">
        <f t="shared" si="19"/>
        <v>&gt;=24</v>
      </c>
      <c r="O58" t="str">
        <f t="shared" si="0"/>
        <v>&lt;30</v>
      </c>
      <c r="P58" t="str">
        <f t="shared" si="1"/>
        <v>4-6</v>
      </c>
      <c r="Q58" t="str">
        <f t="shared" si="2"/>
        <v>&gt;=80</v>
      </c>
      <c r="R58" t="str">
        <f t="shared" si="3"/>
        <v>ContractType|Month-to-Month</v>
      </c>
      <c r="S58" t="str">
        <f t="shared" si="4"/>
        <v>Tenure_Bin|&gt;=24</v>
      </c>
      <c r="T58" t="str">
        <f t="shared" si="5"/>
        <v>Satis_Bin|4-6</v>
      </c>
      <c r="U58" t="str">
        <f t="shared" si="6"/>
        <v>Monthly_Bin|&lt;30</v>
      </c>
      <c r="V58" t="str">
        <f t="shared" si="7"/>
        <v>Usage_Bin|&gt;=80</v>
      </c>
      <c r="W58">
        <f t="shared" si="8"/>
        <v>3</v>
      </c>
      <c r="X58">
        <f t="shared" si="9"/>
        <v>0</v>
      </c>
      <c r="Y58">
        <f t="shared" si="10"/>
        <v>2</v>
      </c>
      <c r="Z58">
        <f t="shared" si="11"/>
        <v>0</v>
      </c>
      <c r="AA58">
        <f t="shared" si="12"/>
        <v>0</v>
      </c>
      <c r="AB58" s="51">
        <f t="shared" si="13"/>
        <v>5</v>
      </c>
      <c r="AC58" t="str">
        <f t="shared" si="14"/>
        <v>Medium</v>
      </c>
      <c r="AD58" t="str">
        <f t="shared" si="15"/>
        <v>No</v>
      </c>
      <c r="AE58">
        <f t="shared" si="16"/>
        <v>0</v>
      </c>
      <c r="AF58">
        <f xml:space="preserve">
_xlfn.XLOOKUP(AB58, '3.3 Calibration'!$A$2:$A$14, '3.3 Calibration'!$F$2:$F$14,
        '3.3 Calibration'!$D$2, 1)</f>
        <v>0.33333333333333331</v>
      </c>
      <c r="AG58" t="str">
        <f t="shared" si="20"/>
        <v>No</v>
      </c>
      <c r="AH58" t="str">
        <f t="shared" si="17"/>
        <v>Low</v>
      </c>
      <c r="AI58" t="e">
        <f t="shared" si="18"/>
        <v>#N/A</v>
      </c>
    </row>
    <row r="59" spans="1:35" x14ac:dyDescent="0.2">
      <c r="A59">
        <v>58</v>
      </c>
      <c r="B59">
        <v>64</v>
      </c>
      <c r="C59" t="s">
        <v>15</v>
      </c>
      <c r="D59">
        <v>69</v>
      </c>
      <c r="E59">
        <v>92.64</v>
      </c>
      <c r="F59" t="s">
        <v>18</v>
      </c>
      <c r="G59" t="s">
        <v>24</v>
      </c>
      <c r="H59">
        <v>5</v>
      </c>
      <c r="I59">
        <v>20.7</v>
      </c>
      <c r="J59">
        <v>9</v>
      </c>
      <c r="K59">
        <v>5792.52</v>
      </c>
      <c r="L59">
        <v>0</v>
      </c>
      <c r="M59" t="s">
        <v>133</v>
      </c>
      <c r="N59" t="str">
        <f t="shared" si="19"/>
        <v>&gt;=24</v>
      </c>
      <c r="O59" t="str">
        <f t="shared" si="0"/>
        <v>&gt;=90</v>
      </c>
      <c r="P59" t="str">
        <f t="shared" si="1"/>
        <v>7-10</v>
      </c>
      <c r="Q59" t="str">
        <f t="shared" si="2"/>
        <v>20-40</v>
      </c>
      <c r="R59" t="str">
        <f t="shared" si="3"/>
        <v>ContractType|1-Year</v>
      </c>
      <c r="S59" t="str">
        <f t="shared" si="4"/>
        <v>Tenure_Bin|&gt;=24</v>
      </c>
      <c r="T59" t="str">
        <f t="shared" si="5"/>
        <v>Satis_Bin|7-10</v>
      </c>
      <c r="U59" t="str">
        <f t="shared" si="6"/>
        <v>Monthly_Bin|&gt;=90</v>
      </c>
      <c r="V59" t="str">
        <f t="shared" si="7"/>
        <v>Usage_Bin|20-40</v>
      </c>
      <c r="W59">
        <f t="shared" si="8"/>
        <v>1</v>
      </c>
      <c r="X59">
        <f t="shared" si="9"/>
        <v>0</v>
      </c>
      <c r="Y59">
        <f t="shared" si="10"/>
        <v>0</v>
      </c>
      <c r="Z59">
        <f t="shared" si="11"/>
        <v>2</v>
      </c>
      <c r="AA59">
        <f t="shared" si="12"/>
        <v>1</v>
      </c>
      <c r="AB59" s="51">
        <f t="shared" si="13"/>
        <v>4</v>
      </c>
      <c r="AC59" t="str">
        <f t="shared" si="14"/>
        <v>Medium</v>
      </c>
      <c r="AD59" t="str">
        <f t="shared" si="15"/>
        <v>No</v>
      </c>
      <c r="AE59">
        <f t="shared" si="16"/>
        <v>0</v>
      </c>
      <c r="AF59">
        <f xml:space="preserve">
_xlfn.XLOOKUP(AB59, '3.3 Calibration'!$A$2:$A$14, '3.3 Calibration'!$F$2:$F$14,
        '3.3 Calibration'!$D$2, 1)</f>
        <v>0.40740740740740738</v>
      </c>
      <c r="AG59" t="str">
        <f t="shared" si="20"/>
        <v>No</v>
      </c>
      <c r="AH59" t="str">
        <f t="shared" si="17"/>
        <v>Medium</v>
      </c>
      <c r="AI59" t="e">
        <f t="shared" si="18"/>
        <v>#N/A</v>
      </c>
    </row>
    <row r="60" spans="1:35" x14ac:dyDescent="0.2">
      <c r="A60">
        <v>59</v>
      </c>
      <c r="B60">
        <v>24</v>
      </c>
      <c r="C60" t="s">
        <v>15</v>
      </c>
      <c r="D60">
        <v>16</v>
      </c>
      <c r="E60">
        <v>74.739999999999995</v>
      </c>
      <c r="F60" t="s">
        <v>20</v>
      </c>
      <c r="G60" t="s">
        <v>24</v>
      </c>
      <c r="H60">
        <v>2</v>
      </c>
      <c r="I60">
        <v>71.5</v>
      </c>
      <c r="J60">
        <v>3</v>
      </c>
      <c r="K60">
        <v>1169.05</v>
      </c>
      <c r="L60">
        <v>1</v>
      </c>
      <c r="M60" t="s">
        <v>134</v>
      </c>
      <c r="N60" t="str">
        <f t="shared" si="19"/>
        <v>12-24</v>
      </c>
      <c r="O60" t="str">
        <f t="shared" si="0"/>
        <v>60-90</v>
      </c>
      <c r="P60" t="str">
        <f t="shared" si="1"/>
        <v>1-3</v>
      </c>
      <c r="Q60" t="str">
        <f t="shared" si="2"/>
        <v>40-80</v>
      </c>
      <c r="R60" t="str">
        <f t="shared" si="3"/>
        <v>ContractType|Month-to-Month</v>
      </c>
      <c r="S60" t="str">
        <f t="shared" si="4"/>
        <v>Tenure_Bin|12-24</v>
      </c>
      <c r="T60" t="str">
        <f t="shared" si="5"/>
        <v>Satis_Bin|1-3</v>
      </c>
      <c r="U60" t="str">
        <f t="shared" si="6"/>
        <v>Monthly_Bin|60-90</v>
      </c>
      <c r="V60" t="str">
        <f t="shared" si="7"/>
        <v>Usage_Bin|40-80</v>
      </c>
      <c r="W60">
        <f t="shared" si="8"/>
        <v>3</v>
      </c>
      <c r="X60">
        <f t="shared" si="9"/>
        <v>1</v>
      </c>
      <c r="Y60">
        <f t="shared" si="10"/>
        <v>4</v>
      </c>
      <c r="Z60">
        <f t="shared" si="11"/>
        <v>1</v>
      </c>
      <c r="AA60">
        <f t="shared" si="12"/>
        <v>0</v>
      </c>
      <c r="AB60" s="51">
        <f t="shared" si="13"/>
        <v>9</v>
      </c>
      <c r="AC60" t="str">
        <f t="shared" si="14"/>
        <v>High</v>
      </c>
      <c r="AD60" t="str">
        <f t="shared" si="15"/>
        <v>No</v>
      </c>
      <c r="AE60">
        <f t="shared" si="16"/>
        <v>0</v>
      </c>
      <c r="AF60">
        <f xml:space="preserve">
_xlfn.XLOOKUP(AB60, '3.3 Calibration'!$A$2:$A$14, '3.3 Calibration'!$F$2:$F$14,
        '3.3 Calibration'!$D$2, 1)</f>
        <v>0.54545454545454541</v>
      </c>
      <c r="AG60" t="str">
        <f t="shared" si="20"/>
        <v>Yes</v>
      </c>
      <c r="AH60" t="str">
        <f t="shared" si="17"/>
        <v>Medium</v>
      </c>
      <c r="AI60" t="e">
        <f t="shared" si="18"/>
        <v>#N/A</v>
      </c>
    </row>
    <row r="61" spans="1:35" x14ac:dyDescent="0.2">
      <c r="A61">
        <v>60</v>
      </c>
      <c r="B61">
        <v>61</v>
      </c>
      <c r="C61" t="s">
        <v>15</v>
      </c>
      <c r="D61">
        <v>48</v>
      </c>
      <c r="E61">
        <v>65.09</v>
      </c>
      <c r="F61" t="s">
        <v>18</v>
      </c>
      <c r="G61" t="s">
        <v>22</v>
      </c>
      <c r="H61">
        <v>3</v>
      </c>
      <c r="I61">
        <v>60.7</v>
      </c>
      <c r="J61">
        <v>3</v>
      </c>
      <c r="K61">
        <v>2911.88</v>
      </c>
      <c r="L61">
        <v>0</v>
      </c>
      <c r="M61" t="s">
        <v>134</v>
      </c>
      <c r="N61" t="str">
        <f t="shared" si="19"/>
        <v>&gt;=24</v>
      </c>
      <c r="O61" t="str">
        <f t="shared" si="0"/>
        <v>60-90</v>
      </c>
      <c r="P61" t="str">
        <f t="shared" si="1"/>
        <v>1-3</v>
      </c>
      <c r="Q61" t="str">
        <f t="shared" si="2"/>
        <v>40-80</v>
      </c>
      <c r="R61" t="str">
        <f t="shared" si="3"/>
        <v>ContractType|1-Year</v>
      </c>
      <c r="S61" t="str">
        <f t="shared" si="4"/>
        <v>Tenure_Bin|&gt;=24</v>
      </c>
      <c r="T61" t="str">
        <f t="shared" si="5"/>
        <v>Satis_Bin|1-3</v>
      </c>
      <c r="U61" t="str">
        <f t="shared" si="6"/>
        <v>Monthly_Bin|60-90</v>
      </c>
      <c r="V61" t="str">
        <f t="shared" si="7"/>
        <v>Usage_Bin|40-80</v>
      </c>
      <c r="W61">
        <f t="shared" si="8"/>
        <v>1</v>
      </c>
      <c r="X61">
        <f t="shared" si="9"/>
        <v>0</v>
      </c>
      <c r="Y61">
        <f t="shared" si="10"/>
        <v>4</v>
      </c>
      <c r="Z61">
        <f t="shared" si="11"/>
        <v>1</v>
      </c>
      <c r="AA61">
        <f t="shared" si="12"/>
        <v>0</v>
      </c>
      <c r="AB61" s="51">
        <f t="shared" si="13"/>
        <v>6</v>
      </c>
      <c r="AC61" t="str">
        <f t="shared" si="14"/>
        <v>Medium</v>
      </c>
      <c r="AD61" t="str">
        <f t="shared" si="15"/>
        <v>No</v>
      </c>
      <c r="AE61">
        <f t="shared" si="16"/>
        <v>0</v>
      </c>
      <c r="AF61">
        <f xml:space="preserve">
_xlfn.XLOOKUP(AB61, '3.3 Calibration'!$A$2:$A$14, '3.3 Calibration'!$F$2:$F$14,
        '3.3 Calibration'!$D$2, 1)</f>
        <v>0.33333333333333331</v>
      </c>
      <c r="AG61" t="str">
        <f t="shared" si="20"/>
        <v>No</v>
      </c>
      <c r="AH61" t="str">
        <f t="shared" si="17"/>
        <v>Low</v>
      </c>
      <c r="AI61" t="e">
        <f t="shared" si="18"/>
        <v>#N/A</v>
      </c>
    </row>
    <row r="62" spans="1:35" x14ac:dyDescent="0.2">
      <c r="A62">
        <v>61</v>
      </c>
      <c r="B62">
        <v>25</v>
      </c>
      <c r="C62" t="s">
        <v>16</v>
      </c>
      <c r="D62">
        <v>39</v>
      </c>
      <c r="E62">
        <v>111.05</v>
      </c>
      <c r="F62" t="s">
        <v>18</v>
      </c>
      <c r="G62" t="s">
        <v>22</v>
      </c>
      <c r="H62">
        <v>3</v>
      </c>
      <c r="I62">
        <v>60.7</v>
      </c>
      <c r="J62">
        <v>3</v>
      </c>
      <c r="K62">
        <v>3918.08</v>
      </c>
      <c r="L62">
        <v>1</v>
      </c>
      <c r="M62" t="s">
        <v>134</v>
      </c>
      <c r="N62" t="str">
        <f t="shared" si="19"/>
        <v>&gt;=24</v>
      </c>
      <c r="O62" t="str">
        <f t="shared" si="0"/>
        <v>&gt;=90</v>
      </c>
      <c r="P62" t="str">
        <f t="shared" si="1"/>
        <v>1-3</v>
      </c>
      <c r="Q62" t="str">
        <f t="shared" si="2"/>
        <v>40-80</v>
      </c>
      <c r="R62" t="str">
        <f t="shared" si="3"/>
        <v>ContractType|1-Year</v>
      </c>
      <c r="S62" t="str">
        <f t="shared" si="4"/>
        <v>Tenure_Bin|&gt;=24</v>
      </c>
      <c r="T62" t="str">
        <f t="shared" si="5"/>
        <v>Satis_Bin|1-3</v>
      </c>
      <c r="U62" t="str">
        <f t="shared" si="6"/>
        <v>Monthly_Bin|&gt;=90</v>
      </c>
      <c r="V62" t="str">
        <f t="shared" si="7"/>
        <v>Usage_Bin|40-80</v>
      </c>
      <c r="W62">
        <f t="shared" si="8"/>
        <v>1</v>
      </c>
      <c r="X62">
        <f t="shared" si="9"/>
        <v>0</v>
      </c>
      <c r="Y62">
        <f t="shared" si="10"/>
        <v>4</v>
      </c>
      <c r="Z62">
        <f t="shared" si="11"/>
        <v>2</v>
      </c>
      <c r="AA62">
        <f t="shared" si="12"/>
        <v>0</v>
      </c>
      <c r="AB62" s="51">
        <f t="shared" si="13"/>
        <v>7</v>
      </c>
      <c r="AC62" t="str">
        <f t="shared" si="14"/>
        <v>High</v>
      </c>
      <c r="AD62" t="str">
        <f t="shared" si="15"/>
        <v>No</v>
      </c>
      <c r="AE62">
        <f t="shared" si="16"/>
        <v>0</v>
      </c>
      <c r="AF62">
        <f xml:space="preserve">
_xlfn.XLOOKUP(AB62, '3.3 Calibration'!$A$2:$A$14, '3.3 Calibration'!$F$2:$F$14,
        '3.3 Calibration'!$D$2, 1)</f>
        <v>0.54166666666666663</v>
      </c>
      <c r="AG62" t="str">
        <f t="shared" si="20"/>
        <v>Yes</v>
      </c>
      <c r="AH62" t="str">
        <f t="shared" si="17"/>
        <v>Medium</v>
      </c>
      <c r="AI62" t="e">
        <f t="shared" si="18"/>
        <v>#N/A</v>
      </c>
    </row>
    <row r="63" spans="1:35" x14ac:dyDescent="0.2">
      <c r="A63">
        <v>62</v>
      </c>
      <c r="B63">
        <v>64</v>
      </c>
      <c r="C63" t="s">
        <v>16</v>
      </c>
      <c r="D63">
        <v>33</v>
      </c>
      <c r="E63">
        <v>49.8</v>
      </c>
      <c r="F63" t="s">
        <v>20</v>
      </c>
      <c r="G63" t="s">
        <v>22</v>
      </c>
      <c r="H63">
        <v>3</v>
      </c>
      <c r="I63">
        <v>71.3</v>
      </c>
      <c r="J63">
        <v>10</v>
      </c>
      <c r="K63">
        <v>1727.61</v>
      </c>
      <c r="L63">
        <v>0</v>
      </c>
      <c r="M63" t="s">
        <v>134</v>
      </c>
      <c r="N63" t="str">
        <f t="shared" si="19"/>
        <v>&gt;=24</v>
      </c>
      <c r="O63" t="str">
        <f t="shared" si="0"/>
        <v>30-60</v>
      </c>
      <c r="P63" t="str">
        <f t="shared" si="1"/>
        <v>7-10</v>
      </c>
      <c r="Q63" t="str">
        <f t="shared" si="2"/>
        <v>40-80</v>
      </c>
      <c r="R63" t="str">
        <f t="shared" si="3"/>
        <v>ContractType|Month-to-Month</v>
      </c>
      <c r="S63" t="str">
        <f t="shared" si="4"/>
        <v>Tenure_Bin|&gt;=24</v>
      </c>
      <c r="T63" t="str">
        <f t="shared" si="5"/>
        <v>Satis_Bin|7-10</v>
      </c>
      <c r="U63" t="str">
        <f t="shared" si="6"/>
        <v>Monthly_Bin|30-60</v>
      </c>
      <c r="V63" t="str">
        <f t="shared" si="7"/>
        <v>Usage_Bin|40-80</v>
      </c>
      <c r="W63">
        <f t="shared" si="8"/>
        <v>3</v>
      </c>
      <c r="X63">
        <f t="shared" si="9"/>
        <v>0</v>
      </c>
      <c r="Y63">
        <f t="shared" si="10"/>
        <v>0</v>
      </c>
      <c r="Z63">
        <f t="shared" si="11"/>
        <v>0</v>
      </c>
      <c r="AA63">
        <f t="shared" si="12"/>
        <v>0</v>
      </c>
      <c r="AB63" s="51">
        <f t="shared" si="13"/>
        <v>3</v>
      </c>
      <c r="AC63" t="str">
        <f t="shared" si="14"/>
        <v>Low</v>
      </c>
      <c r="AD63" t="str">
        <f t="shared" si="15"/>
        <v>No</v>
      </c>
      <c r="AE63">
        <f t="shared" si="16"/>
        <v>0</v>
      </c>
      <c r="AF63">
        <f xml:space="preserve">
_xlfn.XLOOKUP(AB63, '3.3 Calibration'!$A$2:$A$14, '3.3 Calibration'!$F$2:$F$14,
        '3.3 Calibration'!$D$2, 1)</f>
        <v>0.42105263157894735</v>
      </c>
      <c r="AG63" t="str">
        <f t="shared" si="20"/>
        <v>No</v>
      </c>
      <c r="AH63" t="str">
        <f t="shared" si="17"/>
        <v>Medium</v>
      </c>
      <c r="AI63" t="e">
        <f t="shared" si="18"/>
        <v>#N/A</v>
      </c>
    </row>
    <row r="64" spans="1:35" x14ac:dyDescent="0.2">
      <c r="A64">
        <v>63</v>
      </c>
      <c r="B64">
        <v>52</v>
      </c>
      <c r="C64" t="s">
        <v>15</v>
      </c>
      <c r="D64">
        <v>23</v>
      </c>
      <c r="E64">
        <v>72.36</v>
      </c>
      <c r="F64" t="s">
        <v>20</v>
      </c>
      <c r="G64" t="s">
        <v>24</v>
      </c>
      <c r="H64">
        <v>3</v>
      </c>
      <c r="I64">
        <v>93.3</v>
      </c>
      <c r="J64">
        <v>3</v>
      </c>
      <c r="K64">
        <v>1650.47</v>
      </c>
      <c r="L64">
        <v>1</v>
      </c>
      <c r="M64" t="s">
        <v>133</v>
      </c>
      <c r="N64" t="str">
        <f t="shared" si="19"/>
        <v>12-24</v>
      </c>
      <c r="O64" t="str">
        <f t="shared" si="0"/>
        <v>60-90</v>
      </c>
      <c r="P64" t="str">
        <f t="shared" si="1"/>
        <v>1-3</v>
      </c>
      <c r="Q64" t="str">
        <f t="shared" si="2"/>
        <v>&gt;=80</v>
      </c>
      <c r="R64" t="str">
        <f t="shared" si="3"/>
        <v>ContractType|Month-to-Month</v>
      </c>
      <c r="S64" t="str">
        <f t="shared" si="4"/>
        <v>Tenure_Bin|12-24</v>
      </c>
      <c r="T64" t="str">
        <f t="shared" si="5"/>
        <v>Satis_Bin|1-3</v>
      </c>
      <c r="U64" t="str">
        <f t="shared" si="6"/>
        <v>Monthly_Bin|60-90</v>
      </c>
      <c r="V64" t="str">
        <f t="shared" si="7"/>
        <v>Usage_Bin|&gt;=80</v>
      </c>
      <c r="W64">
        <f t="shared" si="8"/>
        <v>3</v>
      </c>
      <c r="X64">
        <f t="shared" si="9"/>
        <v>1</v>
      </c>
      <c r="Y64">
        <f t="shared" si="10"/>
        <v>4</v>
      </c>
      <c r="Z64">
        <f t="shared" si="11"/>
        <v>1</v>
      </c>
      <c r="AA64">
        <f t="shared" si="12"/>
        <v>0</v>
      </c>
      <c r="AB64" s="51">
        <f t="shared" si="13"/>
        <v>9</v>
      </c>
      <c r="AC64" t="str">
        <f t="shared" si="14"/>
        <v>High</v>
      </c>
      <c r="AD64" t="str">
        <f t="shared" si="15"/>
        <v>No</v>
      </c>
      <c r="AE64">
        <f t="shared" si="16"/>
        <v>0</v>
      </c>
      <c r="AF64">
        <f xml:space="preserve">
_xlfn.XLOOKUP(AB64, '3.3 Calibration'!$A$2:$A$14, '3.3 Calibration'!$F$2:$F$14,
        '3.3 Calibration'!$D$2, 1)</f>
        <v>0.54545454545454541</v>
      </c>
      <c r="AG64" t="str">
        <f t="shared" si="20"/>
        <v>Yes</v>
      </c>
      <c r="AH64" t="str">
        <f t="shared" si="17"/>
        <v>Medium</v>
      </c>
      <c r="AI64" t="e">
        <f t="shared" si="18"/>
        <v>#N/A</v>
      </c>
    </row>
    <row r="65" spans="1:35" x14ac:dyDescent="0.2">
      <c r="A65">
        <v>64</v>
      </c>
      <c r="B65">
        <v>31</v>
      </c>
      <c r="C65" t="s">
        <v>16</v>
      </c>
      <c r="D65">
        <v>10</v>
      </c>
      <c r="E65">
        <v>89.76</v>
      </c>
      <c r="F65" t="s">
        <v>19</v>
      </c>
      <c r="G65" t="s">
        <v>24</v>
      </c>
      <c r="H65">
        <v>2</v>
      </c>
      <c r="I65">
        <v>79.3</v>
      </c>
      <c r="J65">
        <v>9</v>
      </c>
      <c r="K65">
        <v>859.77</v>
      </c>
      <c r="L65">
        <v>0</v>
      </c>
      <c r="M65" t="s">
        <v>134</v>
      </c>
      <c r="N65" t="str">
        <f t="shared" si="19"/>
        <v>6-12</v>
      </c>
      <c r="O65" t="str">
        <f t="shared" si="0"/>
        <v>60-90</v>
      </c>
      <c r="P65" t="str">
        <f t="shared" si="1"/>
        <v>7-10</v>
      </c>
      <c r="Q65" t="str">
        <f t="shared" si="2"/>
        <v>40-80</v>
      </c>
      <c r="R65" t="str">
        <f t="shared" si="3"/>
        <v>ContractType|2-Year</v>
      </c>
      <c r="S65" t="str">
        <f t="shared" si="4"/>
        <v>Tenure_Bin|6-12</v>
      </c>
      <c r="T65" t="str">
        <f t="shared" si="5"/>
        <v>Satis_Bin|7-10</v>
      </c>
      <c r="U65" t="str">
        <f t="shared" si="6"/>
        <v>Monthly_Bin|60-90</v>
      </c>
      <c r="V65" t="str">
        <f t="shared" si="7"/>
        <v>Usage_Bin|40-80</v>
      </c>
      <c r="W65">
        <f t="shared" si="8"/>
        <v>0</v>
      </c>
      <c r="X65">
        <f t="shared" si="9"/>
        <v>2</v>
      </c>
      <c r="Y65">
        <f t="shared" si="10"/>
        <v>0</v>
      </c>
      <c r="Z65">
        <f t="shared" si="11"/>
        <v>1</v>
      </c>
      <c r="AA65">
        <f t="shared" si="12"/>
        <v>0</v>
      </c>
      <c r="AB65" s="51">
        <f t="shared" si="13"/>
        <v>3</v>
      </c>
      <c r="AC65" t="str">
        <f t="shared" si="14"/>
        <v>Low</v>
      </c>
      <c r="AD65" t="str">
        <f t="shared" si="15"/>
        <v>No</v>
      </c>
      <c r="AE65">
        <f t="shared" si="16"/>
        <v>0</v>
      </c>
      <c r="AF65">
        <f xml:space="preserve">
_xlfn.XLOOKUP(AB65, '3.3 Calibration'!$A$2:$A$14, '3.3 Calibration'!$F$2:$F$14,
        '3.3 Calibration'!$D$2, 1)</f>
        <v>0.42105263157894735</v>
      </c>
      <c r="AG65" t="str">
        <f t="shared" si="20"/>
        <v>No</v>
      </c>
      <c r="AH65" t="str">
        <f t="shared" si="17"/>
        <v>Medium</v>
      </c>
      <c r="AI65" t="e">
        <f t="shared" si="18"/>
        <v>#N/A</v>
      </c>
    </row>
    <row r="66" spans="1:35" x14ac:dyDescent="0.2">
      <c r="A66">
        <v>65</v>
      </c>
      <c r="B66">
        <v>34</v>
      </c>
      <c r="C66" t="s">
        <v>16</v>
      </c>
      <c r="D66">
        <v>69</v>
      </c>
      <c r="E66">
        <v>99.65</v>
      </c>
      <c r="F66" t="s">
        <v>19</v>
      </c>
      <c r="G66" t="s">
        <v>23</v>
      </c>
      <c r="H66">
        <v>0</v>
      </c>
      <c r="I66">
        <v>10.3</v>
      </c>
      <c r="J66">
        <v>4</v>
      </c>
      <c r="K66">
        <v>7426.03</v>
      </c>
      <c r="L66">
        <v>1</v>
      </c>
      <c r="M66" t="s">
        <v>134</v>
      </c>
      <c r="N66" t="str">
        <f t="shared" si="19"/>
        <v>&gt;=24</v>
      </c>
      <c r="O66" t="str">
        <f t="shared" si="0"/>
        <v>&gt;=90</v>
      </c>
      <c r="P66" t="str">
        <f t="shared" si="1"/>
        <v>4-6</v>
      </c>
      <c r="Q66" t="str">
        <f t="shared" si="2"/>
        <v>&lt;20</v>
      </c>
      <c r="R66" t="str">
        <f t="shared" si="3"/>
        <v>ContractType|2-Year</v>
      </c>
      <c r="S66" t="str">
        <f t="shared" si="4"/>
        <v>Tenure_Bin|&gt;=24</v>
      </c>
      <c r="T66" t="str">
        <f t="shared" si="5"/>
        <v>Satis_Bin|4-6</v>
      </c>
      <c r="U66" t="str">
        <f t="shared" si="6"/>
        <v>Monthly_Bin|&gt;=90</v>
      </c>
      <c r="V66" t="str">
        <f t="shared" si="7"/>
        <v>Usage_Bin|&lt;20</v>
      </c>
      <c r="W66">
        <f t="shared" si="8"/>
        <v>0</v>
      </c>
      <c r="X66">
        <f t="shared" si="9"/>
        <v>0</v>
      </c>
      <c r="Y66">
        <f t="shared" si="10"/>
        <v>2</v>
      </c>
      <c r="Z66">
        <f t="shared" si="11"/>
        <v>2</v>
      </c>
      <c r="AA66">
        <f t="shared" si="12"/>
        <v>2</v>
      </c>
      <c r="AB66" s="51">
        <f t="shared" si="13"/>
        <v>6</v>
      </c>
      <c r="AC66" t="str">
        <f t="shared" si="14"/>
        <v>Medium</v>
      </c>
      <c r="AD66" t="str">
        <f t="shared" si="15"/>
        <v>No</v>
      </c>
      <c r="AE66">
        <f t="shared" si="16"/>
        <v>0</v>
      </c>
      <c r="AF66">
        <f xml:space="preserve">
_xlfn.XLOOKUP(AB66, '3.3 Calibration'!$A$2:$A$14, '3.3 Calibration'!$F$2:$F$14,
        '3.3 Calibration'!$D$2, 1)</f>
        <v>0.33333333333333331</v>
      </c>
      <c r="AG66" t="str">
        <f t="shared" si="20"/>
        <v>No</v>
      </c>
      <c r="AH66" t="str">
        <f t="shared" si="17"/>
        <v>Low</v>
      </c>
      <c r="AI66" t="e">
        <f t="shared" si="18"/>
        <v>#N/A</v>
      </c>
    </row>
    <row r="67" spans="1:35" x14ac:dyDescent="0.2">
      <c r="A67">
        <v>66</v>
      </c>
      <c r="B67">
        <v>53</v>
      </c>
      <c r="C67" t="s">
        <v>16</v>
      </c>
      <c r="D67">
        <v>34</v>
      </c>
      <c r="E67">
        <v>65.930000000000007</v>
      </c>
      <c r="F67" t="s">
        <v>20</v>
      </c>
      <c r="G67" t="s">
        <v>23</v>
      </c>
      <c r="H67">
        <v>1</v>
      </c>
      <c r="I67">
        <v>86</v>
      </c>
      <c r="J67">
        <v>7</v>
      </c>
      <c r="K67">
        <v>2069.5300000000002</v>
      </c>
      <c r="L67">
        <v>1</v>
      </c>
      <c r="M67" t="s">
        <v>134</v>
      </c>
      <c r="N67" t="str">
        <f t="shared" ref="N67:N130" si="21">IF(D67&lt;6,"&lt;6",
 IF(D67&lt;12,"6-12",
 IF(D67&lt;24,"12-24","&gt;=24")))</f>
        <v>&gt;=24</v>
      </c>
      <c r="O67" t="str">
        <f t="shared" ref="O67:O130" si="22">IF(E67&lt;30,"&lt;30",
 IF(E67&lt;60,"30-60",
 IF(E67&lt;90,"60-90","&gt;=90")))</f>
        <v>60-90</v>
      </c>
      <c r="P67" t="str">
        <f t="shared" ref="P67:P130" si="23">IF(J67&lt;4,"1-3",
 IF(J67&lt;7,"4-6","7-10"))</f>
        <v>7-10</v>
      </c>
      <c r="Q67" t="str">
        <f t="shared" ref="Q67:Q130" si="24">IF(I67&lt;20,"&lt;20",
 IF(I67&lt;40,"20-40",
 IF(I67&lt;80,"40-80","&gt;=80")))</f>
        <v>&gt;=80</v>
      </c>
      <c r="R67" t="str">
        <f t="shared" ref="R67:R130" si="25">"ContractType|"&amp;F67</f>
        <v>ContractType|Month-to-Month</v>
      </c>
      <c r="S67" t="str">
        <f t="shared" ref="S67:S130" si="26">"Tenure_Bin|"&amp;N67</f>
        <v>Tenure_Bin|&gt;=24</v>
      </c>
      <c r="T67" t="str">
        <f t="shared" ref="T67:T130" si="27">"Satis_Bin|"&amp;P67</f>
        <v>Satis_Bin|7-10</v>
      </c>
      <c r="U67" t="str">
        <f t="shared" ref="U67:U130" si="28">"Monthly_Bin|"&amp;O67</f>
        <v>Monthly_Bin|60-90</v>
      </c>
      <c r="V67" t="str">
        <f t="shared" ref="V67:V130" si="29">"Usage_Bin|"&amp;Q67</f>
        <v>Usage_Bin|&gt;=80</v>
      </c>
      <c r="W67">
        <f t="shared" ref="W67:W130" si="30">_xlfn.XLOOKUP(R67,$AN$2:$AN$19,$AO$2:$AO$19,0)</f>
        <v>3</v>
      </c>
      <c r="X67">
        <f t="shared" ref="X67:X130" si="31">_xlfn.XLOOKUP(N67,$AN$2:$AN$19,$AO$2:$AO$19,0)</f>
        <v>0</v>
      </c>
      <c r="Y67">
        <f t="shared" ref="Y67:Y130" si="32">_xlfn.XLOOKUP(P67,$AN$2:$AN$19,$AO$2:$AO$19,0)</f>
        <v>0</v>
      </c>
      <c r="Z67">
        <f t="shared" ref="Z67:Z130" si="33">_xlfn.XLOOKUP(O67,$AN$2:$AN$19,$AO$2:$AO$19,0)</f>
        <v>1</v>
      </c>
      <c r="AA67">
        <f t="shared" ref="AA67:AA130" si="34">_xlfn.XLOOKUP(Q67,$AN$2:$AN$19,$AO$2:$AO$19,0)</f>
        <v>0</v>
      </c>
      <c r="AB67" s="51">
        <f t="shared" ref="AB67:AB130" si="35">SUM(W67:AA67)</f>
        <v>4</v>
      </c>
      <c r="AC67" t="str">
        <f t="shared" ref="AC67:AC130" si="36">IF(AB67&gt;=7,"High",
   IF(AB67&gt;=4,"Medium","Low"))</f>
        <v>Medium</v>
      </c>
      <c r="AD67" t="str">
        <f t="shared" ref="AD67:AD130" si="37">IF(AB67&gt;=$AK$2,"Yes","No")</f>
        <v>No</v>
      </c>
      <c r="AE67">
        <f t="shared" ref="AE67:AE130" si="38">IF(AD67="Yes",1,0)</f>
        <v>0</v>
      </c>
      <c r="AF67">
        <f xml:space="preserve">
_xlfn.XLOOKUP(AB67, '3.3 Calibration'!$A$2:$A$14, '3.3 Calibration'!$F$2:$F$14,
        '3.3 Calibration'!$D$2, 1)</f>
        <v>0.40740740740740738</v>
      </c>
      <c r="AG67" t="str">
        <f t="shared" ref="AG67:AG130" si="39">IF(AF67 &gt;= 0.5, "Yes", "No")</f>
        <v>No</v>
      </c>
      <c r="AH67" t="str">
        <f t="shared" ref="AH67:AH130" si="40">IF(AF67&gt;=0.6,"High",
   IF(AF67&gt;=0.4,"Medium","Low"))</f>
        <v>Medium</v>
      </c>
      <c r="AI67" t="e">
        <f t="shared" ref="AI67:AI130" si="41">IF(AH67="High",N67,NA())</f>
        <v>#N/A</v>
      </c>
    </row>
    <row r="68" spans="1:35" x14ac:dyDescent="0.2">
      <c r="A68">
        <v>67</v>
      </c>
      <c r="B68">
        <v>67</v>
      </c>
      <c r="C68" t="s">
        <v>16</v>
      </c>
      <c r="D68">
        <v>52</v>
      </c>
      <c r="E68">
        <v>104.21</v>
      </c>
      <c r="F68" t="s">
        <v>20</v>
      </c>
      <c r="G68" t="s">
        <v>22</v>
      </c>
      <c r="H68">
        <v>3</v>
      </c>
      <c r="I68">
        <v>26.4</v>
      </c>
      <c r="J68">
        <v>9</v>
      </c>
      <c r="K68">
        <v>5913.04</v>
      </c>
      <c r="L68">
        <v>1</v>
      </c>
      <c r="M68" t="s">
        <v>134</v>
      </c>
      <c r="N68" t="str">
        <f t="shared" si="21"/>
        <v>&gt;=24</v>
      </c>
      <c r="O68" t="str">
        <f t="shared" si="22"/>
        <v>&gt;=90</v>
      </c>
      <c r="P68" t="str">
        <f t="shared" si="23"/>
        <v>7-10</v>
      </c>
      <c r="Q68" t="str">
        <f t="shared" si="24"/>
        <v>20-40</v>
      </c>
      <c r="R68" t="str">
        <f t="shared" si="25"/>
        <v>ContractType|Month-to-Month</v>
      </c>
      <c r="S68" t="str">
        <f t="shared" si="26"/>
        <v>Tenure_Bin|&gt;=24</v>
      </c>
      <c r="T68" t="str">
        <f t="shared" si="27"/>
        <v>Satis_Bin|7-10</v>
      </c>
      <c r="U68" t="str">
        <f t="shared" si="28"/>
        <v>Monthly_Bin|&gt;=90</v>
      </c>
      <c r="V68" t="str">
        <f t="shared" si="29"/>
        <v>Usage_Bin|20-40</v>
      </c>
      <c r="W68">
        <f t="shared" si="30"/>
        <v>3</v>
      </c>
      <c r="X68">
        <f t="shared" si="31"/>
        <v>0</v>
      </c>
      <c r="Y68">
        <f t="shared" si="32"/>
        <v>0</v>
      </c>
      <c r="Z68">
        <f t="shared" si="33"/>
        <v>2</v>
      </c>
      <c r="AA68">
        <f t="shared" si="34"/>
        <v>1</v>
      </c>
      <c r="AB68" s="51">
        <f t="shared" si="35"/>
        <v>6</v>
      </c>
      <c r="AC68" t="str">
        <f t="shared" si="36"/>
        <v>Medium</v>
      </c>
      <c r="AD68" t="str">
        <f t="shared" si="37"/>
        <v>No</v>
      </c>
      <c r="AE68">
        <f t="shared" si="38"/>
        <v>0</v>
      </c>
      <c r="AF68">
        <f xml:space="preserve">
_xlfn.XLOOKUP(AB68, '3.3 Calibration'!$A$2:$A$14, '3.3 Calibration'!$F$2:$F$14,
        '3.3 Calibration'!$D$2, 1)</f>
        <v>0.33333333333333331</v>
      </c>
      <c r="AG68" t="str">
        <f t="shared" si="39"/>
        <v>No</v>
      </c>
      <c r="AH68" t="str">
        <f t="shared" si="40"/>
        <v>Low</v>
      </c>
      <c r="AI68" t="e">
        <f t="shared" si="41"/>
        <v>#N/A</v>
      </c>
    </row>
    <row r="69" spans="1:35" x14ac:dyDescent="0.2">
      <c r="A69">
        <v>68</v>
      </c>
      <c r="B69">
        <v>57</v>
      </c>
      <c r="C69" t="s">
        <v>16</v>
      </c>
      <c r="D69">
        <v>10</v>
      </c>
      <c r="E69">
        <v>96.89</v>
      </c>
      <c r="F69" t="s">
        <v>19</v>
      </c>
      <c r="G69" t="s">
        <v>24</v>
      </c>
      <c r="H69">
        <v>0</v>
      </c>
      <c r="I69">
        <v>40.799999999999997</v>
      </c>
      <c r="J69">
        <v>7</v>
      </c>
      <c r="K69">
        <v>932.85</v>
      </c>
      <c r="L69">
        <v>1</v>
      </c>
      <c r="M69" t="s">
        <v>134</v>
      </c>
      <c r="N69" t="str">
        <f t="shared" si="21"/>
        <v>6-12</v>
      </c>
      <c r="O69" t="str">
        <f t="shared" si="22"/>
        <v>&gt;=90</v>
      </c>
      <c r="P69" t="str">
        <f t="shared" si="23"/>
        <v>7-10</v>
      </c>
      <c r="Q69" t="str">
        <f t="shared" si="24"/>
        <v>40-80</v>
      </c>
      <c r="R69" t="str">
        <f t="shared" si="25"/>
        <v>ContractType|2-Year</v>
      </c>
      <c r="S69" t="str">
        <f t="shared" si="26"/>
        <v>Tenure_Bin|6-12</v>
      </c>
      <c r="T69" t="str">
        <f t="shared" si="27"/>
        <v>Satis_Bin|7-10</v>
      </c>
      <c r="U69" t="str">
        <f t="shared" si="28"/>
        <v>Monthly_Bin|&gt;=90</v>
      </c>
      <c r="V69" t="str">
        <f t="shared" si="29"/>
        <v>Usage_Bin|40-80</v>
      </c>
      <c r="W69">
        <f t="shared" si="30"/>
        <v>0</v>
      </c>
      <c r="X69">
        <f t="shared" si="31"/>
        <v>2</v>
      </c>
      <c r="Y69">
        <f t="shared" si="32"/>
        <v>0</v>
      </c>
      <c r="Z69">
        <f t="shared" si="33"/>
        <v>2</v>
      </c>
      <c r="AA69">
        <f t="shared" si="34"/>
        <v>0</v>
      </c>
      <c r="AB69" s="51">
        <f t="shared" si="35"/>
        <v>4</v>
      </c>
      <c r="AC69" t="str">
        <f t="shared" si="36"/>
        <v>Medium</v>
      </c>
      <c r="AD69" t="str">
        <f t="shared" si="37"/>
        <v>No</v>
      </c>
      <c r="AE69">
        <f t="shared" si="38"/>
        <v>0</v>
      </c>
      <c r="AF69">
        <f xml:space="preserve">
_xlfn.XLOOKUP(AB69, '3.3 Calibration'!$A$2:$A$14, '3.3 Calibration'!$F$2:$F$14,
        '3.3 Calibration'!$D$2, 1)</f>
        <v>0.40740740740740738</v>
      </c>
      <c r="AG69" t="str">
        <f t="shared" si="39"/>
        <v>No</v>
      </c>
      <c r="AH69" t="str">
        <f t="shared" si="40"/>
        <v>Medium</v>
      </c>
      <c r="AI69" t="e">
        <f t="shared" si="41"/>
        <v>#N/A</v>
      </c>
    </row>
    <row r="70" spans="1:35" x14ac:dyDescent="0.2">
      <c r="A70">
        <v>69</v>
      </c>
      <c r="B70">
        <v>21</v>
      </c>
      <c r="C70" t="s">
        <v>16</v>
      </c>
      <c r="D70">
        <v>19</v>
      </c>
      <c r="E70">
        <v>26.62</v>
      </c>
      <c r="F70" t="s">
        <v>20</v>
      </c>
      <c r="G70" t="s">
        <v>24</v>
      </c>
      <c r="H70">
        <v>2</v>
      </c>
      <c r="I70">
        <v>48.9</v>
      </c>
      <c r="J70">
        <v>9</v>
      </c>
      <c r="K70">
        <v>545.07000000000005</v>
      </c>
      <c r="L70">
        <v>0</v>
      </c>
      <c r="M70" t="s">
        <v>134</v>
      </c>
      <c r="N70" t="str">
        <f t="shared" si="21"/>
        <v>12-24</v>
      </c>
      <c r="O70" t="str">
        <f t="shared" si="22"/>
        <v>&lt;30</v>
      </c>
      <c r="P70" t="str">
        <f t="shared" si="23"/>
        <v>7-10</v>
      </c>
      <c r="Q70" t="str">
        <f t="shared" si="24"/>
        <v>40-80</v>
      </c>
      <c r="R70" t="str">
        <f t="shared" si="25"/>
        <v>ContractType|Month-to-Month</v>
      </c>
      <c r="S70" t="str">
        <f t="shared" si="26"/>
        <v>Tenure_Bin|12-24</v>
      </c>
      <c r="T70" t="str">
        <f t="shared" si="27"/>
        <v>Satis_Bin|7-10</v>
      </c>
      <c r="U70" t="str">
        <f t="shared" si="28"/>
        <v>Monthly_Bin|&lt;30</v>
      </c>
      <c r="V70" t="str">
        <f t="shared" si="29"/>
        <v>Usage_Bin|40-80</v>
      </c>
      <c r="W70">
        <f t="shared" si="30"/>
        <v>3</v>
      </c>
      <c r="X70">
        <f t="shared" si="31"/>
        <v>1</v>
      </c>
      <c r="Y70">
        <f t="shared" si="32"/>
        <v>0</v>
      </c>
      <c r="Z70">
        <f t="shared" si="33"/>
        <v>0</v>
      </c>
      <c r="AA70">
        <f t="shared" si="34"/>
        <v>0</v>
      </c>
      <c r="AB70" s="51">
        <f t="shared" si="35"/>
        <v>4</v>
      </c>
      <c r="AC70" t="str">
        <f t="shared" si="36"/>
        <v>Medium</v>
      </c>
      <c r="AD70" t="str">
        <f t="shared" si="37"/>
        <v>No</v>
      </c>
      <c r="AE70">
        <f t="shared" si="38"/>
        <v>0</v>
      </c>
      <c r="AF70">
        <f xml:space="preserve">
_xlfn.XLOOKUP(AB70, '3.3 Calibration'!$A$2:$A$14, '3.3 Calibration'!$F$2:$F$14,
        '3.3 Calibration'!$D$2, 1)</f>
        <v>0.40740740740740738</v>
      </c>
      <c r="AG70" t="str">
        <f t="shared" si="39"/>
        <v>No</v>
      </c>
      <c r="AH70" t="str">
        <f t="shared" si="40"/>
        <v>Medium</v>
      </c>
      <c r="AI70" t="e">
        <f t="shared" si="41"/>
        <v>#N/A</v>
      </c>
    </row>
    <row r="71" spans="1:35" x14ac:dyDescent="0.2">
      <c r="A71">
        <v>70</v>
      </c>
      <c r="B71">
        <v>19</v>
      </c>
      <c r="C71" t="s">
        <v>15</v>
      </c>
      <c r="D71">
        <v>58</v>
      </c>
      <c r="E71">
        <v>24.59</v>
      </c>
      <c r="F71" t="s">
        <v>20</v>
      </c>
      <c r="G71" t="s">
        <v>24</v>
      </c>
      <c r="H71">
        <v>1</v>
      </c>
      <c r="I71">
        <v>50.7</v>
      </c>
      <c r="J71">
        <v>3</v>
      </c>
      <c r="K71">
        <v>1455.58</v>
      </c>
      <c r="L71">
        <v>1</v>
      </c>
      <c r="M71" t="s">
        <v>134</v>
      </c>
      <c r="N71" t="str">
        <f t="shared" si="21"/>
        <v>&gt;=24</v>
      </c>
      <c r="O71" t="str">
        <f t="shared" si="22"/>
        <v>&lt;30</v>
      </c>
      <c r="P71" t="str">
        <f t="shared" si="23"/>
        <v>1-3</v>
      </c>
      <c r="Q71" t="str">
        <f t="shared" si="24"/>
        <v>40-80</v>
      </c>
      <c r="R71" t="str">
        <f t="shared" si="25"/>
        <v>ContractType|Month-to-Month</v>
      </c>
      <c r="S71" t="str">
        <f t="shared" si="26"/>
        <v>Tenure_Bin|&gt;=24</v>
      </c>
      <c r="T71" t="str">
        <f t="shared" si="27"/>
        <v>Satis_Bin|1-3</v>
      </c>
      <c r="U71" t="str">
        <f t="shared" si="28"/>
        <v>Monthly_Bin|&lt;30</v>
      </c>
      <c r="V71" t="str">
        <f t="shared" si="29"/>
        <v>Usage_Bin|40-80</v>
      </c>
      <c r="W71">
        <f t="shared" si="30"/>
        <v>3</v>
      </c>
      <c r="X71">
        <f t="shared" si="31"/>
        <v>0</v>
      </c>
      <c r="Y71">
        <f t="shared" si="32"/>
        <v>4</v>
      </c>
      <c r="Z71">
        <f t="shared" si="33"/>
        <v>0</v>
      </c>
      <c r="AA71">
        <f t="shared" si="34"/>
        <v>0</v>
      </c>
      <c r="AB71" s="51">
        <f t="shared" si="35"/>
        <v>7</v>
      </c>
      <c r="AC71" t="str">
        <f t="shared" si="36"/>
        <v>High</v>
      </c>
      <c r="AD71" t="str">
        <f t="shared" si="37"/>
        <v>No</v>
      </c>
      <c r="AE71">
        <f t="shared" si="38"/>
        <v>0</v>
      </c>
      <c r="AF71">
        <f xml:space="preserve">
_xlfn.XLOOKUP(AB71, '3.3 Calibration'!$A$2:$A$14, '3.3 Calibration'!$F$2:$F$14,
        '3.3 Calibration'!$D$2, 1)</f>
        <v>0.54166666666666663</v>
      </c>
      <c r="AG71" t="str">
        <f t="shared" si="39"/>
        <v>Yes</v>
      </c>
      <c r="AH71" t="str">
        <f t="shared" si="40"/>
        <v>Medium</v>
      </c>
      <c r="AI71" t="e">
        <f t="shared" si="41"/>
        <v>#N/A</v>
      </c>
    </row>
    <row r="72" spans="1:35" x14ac:dyDescent="0.2">
      <c r="A72">
        <v>71</v>
      </c>
      <c r="B72">
        <v>23</v>
      </c>
      <c r="C72" t="s">
        <v>15</v>
      </c>
      <c r="D72">
        <v>1</v>
      </c>
      <c r="E72">
        <v>82.08</v>
      </c>
      <c r="F72" t="s">
        <v>19</v>
      </c>
      <c r="G72" t="s">
        <v>22</v>
      </c>
      <c r="H72">
        <v>3</v>
      </c>
      <c r="I72">
        <v>46.3</v>
      </c>
      <c r="J72">
        <v>4</v>
      </c>
      <c r="K72">
        <v>87.44</v>
      </c>
      <c r="L72">
        <v>0</v>
      </c>
      <c r="M72" t="s">
        <v>134</v>
      </c>
      <c r="N72" t="str">
        <f t="shared" si="21"/>
        <v>&lt;6</v>
      </c>
      <c r="O72" t="str">
        <f t="shared" si="22"/>
        <v>60-90</v>
      </c>
      <c r="P72" t="str">
        <f t="shared" si="23"/>
        <v>4-6</v>
      </c>
      <c r="Q72" t="str">
        <f t="shared" si="24"/>
        <v>40-80</v>
      </c>
      <c r="R72" t="str">
        <f t="shared" si="25"/>
        <v>ContractType|2-Year</v>
      </c>
      <c r="S72" t="str">
        <f t="shared" si="26"/>
        <v>Tenure_Bin|&lt;6</v>
      </c>
      <c r="T72" t="str">
        <f t="shared" si="27"/>
        <v>Satis_Bin|4-6</v>
      </c>
      <c r="U72" t="str">
        <f t="shared" si="28"/>
        <v>Monthly_Bin|60-90</v>
      </c>
      <c r="V72" t="str">
        <f t="shared" si="29"/>
        <v>Usage_Bin|40-80</v>
      </c>
      <c r="W72">
        <f t="shared" si="30"/>
        <v>0</v>
      </c>
      <c r="X72">
        <f t="shared" si="31"/>
        <v>3</v>
      </c>
      <c r="Y72">
        <f t="shared" si="32"/>
        <v>2</v>
      </c>
      <c r="Z72">
        <f t="shared" si="33"/>
        <v>1</v>
      </c>
      <c r="AA72">
        <f t="shared" si="34"/>
        <v>0</v>
      </c>
      <c r="AB72" s="51">
        <f t="shared" si="35"/>
        <v>6</v>
      </c>
      <c r="AC72" t="str">
        <f t="shared" si="36"/>
        <v>Medium</v>
      </c>
      <c r="AD72" t="str">
        <f t="shared" si="37"/>
        <v>No</v>
      </c>
      <c r="AE72">
        <f t="shared" si="38"/>
        <v>0</v>
      </c>
      <c r="AF72">
        <f xml:space="preserve">
_xlfn.XLOOKUP(AB72, '3.3 Calibration'!$A$2:$A$14, '3.3 Calibration'!$F$2:$F$14,
        '3.3 Calibration'!$D$2, 1)</f>
        <v>0.33333333333333331</v>
      </c>
      <c r="AG72" t="str">
        <f t="shared" si="39"/>
        <v>No</v>
      </c>
      <c r="AH72" t="str">
        <f t="shared" si="40"/>
        <v>Low</v>
      </c>
      <c r="AI72" t="e">
        <f t="shared" si="41"/>
        <v>#N/A</v>
      </c>
    </row>
    <row r="73" spans="1:35" x14ac:dyDescent="0.2">
      <c r="A73">
        <v>72</v>
      </c>
      <c r="B73">
        <v>59</v>
      </c>
      <c r="C73" t="s">
        <v>16</v>
      </c>
      <c r="D73">
        <v>69</v>
      </c>
      <c r="E73">
        <v>54.74</v>
      </c>
      <c r="F73" t="s">
        <v>20</v>
      </c>
      <c r="G73" t="s">
        <v>23</v>
      </c>
      <c r="H73">
        <v>2</v>
      </c>
      <c r="I73">
        <v>94</v>
      </c>
      <c r="J73">
        <v>8</v>
      </c>
      <c r="K73">
        <v>4142.6899999999996</v>
      </c>
      <c r="L73">
        <v>1</v>
      </c>
      <c r="M73" t="s">
        <v>134</v>
      </c>
      <c r="N73" t="str">
        <f t="shared" si="21"/>
        <v>&gt;=24</v>
      </c>
      <c r="O73" t="str">
        <f t="shared" si="22"/>
        <v>30-60</v>
      </c>
      <c r="P73" t="str">
        <f t="shared" si="23"/>
        <v>7-10</v>
      </c>
      <c r="Q73" t="str">
        <f t="shared" si="24"/>
        <v>&gt;=80</v>
      </c>
      <c r="R73" t="str">
        <f t="shared" si="25"/>
        <v>ContractType|Month-to-Month</v>
      </c>
      <c r="S73" t="str">
        <f t="shared" si="26"/>
        <v>Tenure_Bin|&gt;=24</v>
      </c>
      <c r="T73" t="str">
        <f t="shared" si="27"/>
        <v>Satis_Bin|7-10</v>
      </c>
      <c r="U73" t="str">
        <f t="shared" si="28"/>
        <v>Monthly_Bin|30-60</v>
      </c>
      <c r="V73" t="str">
        <f t="shared" si="29"/>
        <v>Usage_Bin|&gt;=80</v>
      </c>
      <c r="W73">
        <f t="shared" si="30"/>
        <v>3</v>
      </c>
      <c r="X73">
        <f t="shared" si="31"/>
        <v>0</v>
      </c>
      <c r="Y73">
        <f t="shared" si="32"/>
        <v>0</v>
      </c>
      <c r="Z73">
        <f t="shared" si="33"/>
        <v>0</v>
      </c>
      <c r="AA73">
        <f t="shared" si="34"/>
        <v>0</v>
      </c>
      <c r="AB73" s="51">
        <f t="shared" si="35"/>
        <v>3</v>
      </c>
      <c r="AC73" t="str">
        <f t="shared" si="36"/>
        <v>Low</v>
      </c>
      <c r="AD73" t="str">
        <f t="shared" si="37"/>
        <v>No</v>
      </c>
      <c r="AE73">
        <f t="shared" si="38"/>
        <v>0</v>
      </c>
      <c r="AF73">
        <f xml:space="preserve">
_xlfn.XLOOKUP(AB73, '3.3 Calibration'!$A$2:$A$14, '3.3 Calibration'!$F$2:$F$14,
        '3.3 Calibration'!$D$2, 1)</f>
        <v>0.42105263157894735</v>
      </c>
      <c r="AG73" t="str">
        <f t="shared" si="39"/>
        <v>No</v>
      </c>
      <c r="AH73" t="str">
        <f t="shared" si="40"/>
        <v>Medium</v>
      </c>
      <c r="AI73" t="e">
        <f t="shared" si="41"/>
        <v>#N/A</v>
      </c>
    </row>
    <row r="74" spans="1:35" x14ac:dyDescent="0.2">
      <c r="A74">
        <v>73</v>
      </c>
      <c r="B74">
        <v>21</v>
      </c>
      <c r="C74" t="s">
        <v>15</v>
      </c>
      <c r="D74">
        <v>4</v>
      </c>
      <c r="E74">
        <v>40.909999999999997</v>
      </c>
      <c r="F74" t="s">
        <v>20</v>
      </c>
      <c r="G74" t="s">
        <v>22</v>
      </c>
      <c r="H74">
        <v>2</v>
      </c>
      <c r="I74">
        <v>72.099999999999994</v>
      </c>
      <c r="J74">
        <v>6</v>
      </c>
      <c r="K74">
        <v>156.71</v>
      </c>
      <c r="L74">
        <v>1</v>
      </c>
      <c r="M74" t="s">
        <v>134</v>
      </c>
      <c r="N74" t="str">
        <f t="shared" si="21"/>
        <v>&lt;6</v>
      </c>
      <c r="O74" t="str">
        <f t="shared" si="22"/>
        <v>30-60</v>
      </c>
      <c r="P74" t="str">
        <f t="shared" si="23"/>
        <v>4-6</v>
      </c>
      <c r="Q74" t="str">
        <f t="shared" si="24"/>
        <v>40-80</v>
      </c>
      <c r="R74" t="str">
        <f t="shared" si="25"/>
        <v>ContractType|Month-to-Month</v>
      </c>
      <c r="S74" t="str">
        <f t="shared" si="26"/>
        <v>Tenure_Bin|&lt;6</v>
      </c>
      <c r="T74" t="str">
        <f t="shared" si="27"/>
        <v>Satis_Bin|4-6</v>
      </c>
      <c r="U74" t="str">
        <f t="shared" si="28"/>
        <v>Monthly_Bin|30-60</v>
      </c>
      <c r="V74" t="str">
        <f t="shared" si="29"/>
        <v>Usage_Bin|40-80</v>
      </c>
      <c r="W74">
        <f t="shared" si="30"/>
        <v>3</v>
      </c>
      <c r="X74">
        <f t="shared" si="31"/>
        <v>3</v>
      </c>
      <c r="Y74">
        <f t="shared" si="32"/>
        <v>2</v>
      </c>
      <c r="Z74">
        <f t="shared" si="33"/>
        <v>0</v>
      </c>
      <c r="AA74">
        <f t="shared" si="34"/>
        <v>0</v>
      </c>
      <c r="AB74" s="51">
        <f t="shared" si="35"/>
        <v>8</v>
      </c>
      <c r="AC74" t="str">
        <f t="shared" si="36"/>
        <v>High</v>
      </c>
      <c r="AD74" t="str">
        <f t="shared" si="37"/>
        <v>No</v>
      </c>
      <c r="AE74">
        <f t="shared" si="38"/>
        <v>0</v>
      </c>
      <c r="AF74">
        <f xml:space="preserve">
_xlfn.XLOOKUP(AB74, '3.3 Calibration'!$A$2:$A$14, '3.3 Calibration'!$F$2:$F$14,
        '3.3 Calibration'!$D$2, 1)</f>
        <v>0.73684210526315785</v>
      </c>
      <c r="AG74" t="str">
        <f t="shared" si="39"/>
        <v>Yes</v>
      </c>
      <c r="AH74" t="str">
        <f t="shared" si="40"/>
        <v>High</v>
      </c>
      <c r="AI74" t="str">
        <f t="shared" si="41"/>
        <v>&lt;6</v>
      </c>
    </row>
    <row r="75" spans="1:35" x14ac:dyDescent="0.2">
      <c r="A75">
        <v>74</v>
      </c>
      <c r="B75">
        <v>46</v>
      </c>
      <c r="C75" t="s">
        <v>15</v>
      </c>
      <c r="D75">
        <v>16</v>
      </c>
      <c r="E75">
        <v>77.959999999999994</v>
      </c>
      <c r="F75" t="s">
        <v>20</v>
      </c>
      <c r="G75" t="s">
        <v>23</v>
      </c>
      <c r="H75">
        <v>1</v>
      </c>
      <c r="I75">
        <v>65</v>
      </c>
      <c r="J75">
        <v>5</v>
      </c>
      <c r="K75">
        <v>1362.4</v>
      </c>
      <c r="L75">
        <v>1</v>
      </c>
      <c r="M75" t="s">
        <v>133</v>
      </c>
      <c r="N75" t="str">
        <f t="shared" si="21"/>
        <v>12-24</v>
      </c>
      <c r="O75" t="str">
        <f t="shared" si="22"/>
        <v>60-90</v>
      </c>
      <c r="P75" t="str">
        <f t="shared" si="23"/>
        <v>4-6</v>
      </c>
      <c r="Q75" t="str">
        <f t="shared" si="24"/>
        <v>40-80</v>
      </c>
      <c r="R75" t="str">
        <f t="shared" si="25"/>
        <v>ContractType|Month-to-Month</v>
      </c>
      <c r="S75" t="str">
        <f t="shared" si="26"/>
        <v>Tenure_Bin|12-24</v>
      </c>
      <c r="T75" t="str">
        <f t="shared" si="27"/>
        <v>Satis_Bin|4-6</v>
      </c>
      <c r="U75" t="str">
        <f t="shared" si="28"/>
        <v>Monthly_Bin|60-90</v>
      </c>
      <c r="V75" t="str">
        <f t="shared" si="29"/>
        <v>Usage_Bin|40-80</v>
      </c>
      <c r="W75">
        <f t="shared" si="30"/>
        <v>3</v>
      </c>
      <c r="X75">
        <f t="shared" si="31"/>
        <v>1</v>
      </c>
      <c r="Y75">
        <f t="shared" si="32"/>
        <v>2</v>
      </c>
      <c r="Z75">
        <f t="shared" si="33"/>
        <v>1</v>
      </c>
      <c r="AA75">
        <f t="shared" si="34"/>
        <v>0</v>
      </c>
      <c r="AB75" s="51">
        <f t="shared" si="35"/>
        <v>7</v>
      </c>
      <c r="AC75" t="str">
        <f t="shared" si="36"/>
        <v>High</v>
      </c>
      <c r="AD75" t="str">
        <f t="shared" si="37"/>
        <v>No</v>
      </c>
      <c r="AE75">
        <f t="shared" si="38"/>
        <v>0</v>
      </c>
      <c r="AF75">
        <f xml:space="preserve">
_xlfn.XLOOKUP(AB75, '3.3 Calibration'!$A$2:$A$14, '3.3 Calibration'!$F$2:$F$14,
        '3.3 Calibration'!$D$2, 1)</f>
        <v>0.54166666666666663</v>
      </c>
      <c r="AG75" t="str">
        <f t="shared" si="39"/>
        <v>Yes</v>
      </c>
      <c r="AH75" t="str">
        <f t="shared" si="40"/>
        <v>Medium</v>
      </c>
      <c r="AI75" t="e">
        <f t="shared" si="41"/>
        <v>#N/A</v>
      </c>
    </row>
    <row r="76" spans="1:35" x14ac:dyDescent="0.2">
      <c r="A76">
        <v>75</v>
      </c>
      <c r="B76">
        <v>35</v>
      </c>
      <c r="C76" t="s">
        <v>15</v>
      </c>
      <c r="D76">
        <v>24</v>
      </c>
      <c r="E76">
        <v>54.16</v>
      </c>
      <c r="F76" t="s">
        <v>20</v>
      </c>
      <c r="G76" t="s">
        <v>23</v>
      </c>
      <c r="H76">
        <v>3</v>
      </c>
      <c r="I76">
        <v>9.6999999999999993</v>
      </c>
      <c r="J76">
        <v>4</v>
      </c>
      <c r="K76">
        <v>1271.1099999999999</v>
      </c>
      <c r="L76">
        <v>1</v>
      </c>
      <c r="M76" t="s">
        <v>133</v>
      </c>
      <c r="N76" t="str">
        <f t="shared" si="21"/>
        <v>&gt;=24</v>
      </c>
      <c r="O76" t="str">
        <f t="shared" si="22"/>
        <v>30-60</v>
      </c>
      <c r="P76" t="str">
        <f t="shared" si="23"/>
        <v>4-6</v>
      </c>
      <c r="Q76" t="str">
        <f t="shared" si="24"/>
        <v>&lt;20</v>
      </c>
      <c r="R76" t="str">
        <f t="shared" si="25"/>
        <v>ContractType|Month-to-Month</v>
      </c>
      <c r="S76" t="str">
        <f t="shared" si="26"/>
        <v>Tenure_Bin|&gt;=24</v>
      </c>
      <c r="T76" t="str">
        <f t="shared" si="27"/>
        <v>Satis_Bin|4-6</v>
      </c>
      <c r="U76" t="str">
        <f t="shared" si="28"/>
        <v>Monthly_Bin|30-60</v>
      </c>
      <c r="V76" t="str">
        <f t="shared" si="29"/>
        <v>Usage_Bin|&lt;20</v>
      </c>
      <c r="W76">
        <f t="shared" si="30"/>
        <v>3</v>
      </c>
      <c r="X76">
        <f t="shared" si="31"/>
        <v>0</v>
      </c>
      <c r="Y76">
        <f t="shared" si="32"/>
        <v>2</v>
      </c>
      <c r="Z76">
        <f t="shared" si="33"/>
        <v>0</v>
      </c>
      <c r="AA76">
        <f t="shared" si="34"/>
        <v>2</v>
      </c>
      <c r="AB76" s="51">
        <f t="shared" si="35"/>
        <v>7</v>
      </c>
      <c r="AC76" t="str">
        <f t="shared" si="36"/>
        <v>High</v>
      </c>
      <c r="AD76" t="str">
        <f t="shared" si="37"/>
        <v>No</v>
      </c>
      <c r="AE76">
        <f t="shared" si="38"/>
        <v>0</v>
      </c>
      <c r="AF76">
        <f xml:space="preserve">
_xlfn.XLOOKUP(AB76, '3.3 Calibration'!$A$2:$A$14, '3.3 Calibration'!$F$2:$F$14,
        '3.3 Calibration'!$D$2, 1)</f>
        <v>0.54166666666666663</v>
      </c>
      <c r="AG76" t="str">
        <f t="shared" si="39"/>
        <v>Yes</v>
      </c>
      <c r="AH76" t="str">
        <f t="shared" si="40"/>
        <v>Medium</v>
      </c>
      <c r="AI76" t="e">
        <f t="shared" si="41"/>
        <v>#N/A</v>
      </c>
    </row>
    <row r="77" spans="1:35" x14ac:dyDescent="0.2">
      <c r="A77">
        <v>76</v>
      </c>
      <c r="B77">
        <v>43</v>
      </c>
      <c r="C77" t="s">
        <v>15</v>
      </c>
      <c r="D77">
        <v>2</v>
      </c>
      <c r="E77">
        <v>73.73</v>
      </c>
      <c r="F77" t="s">
        <v>20</v>
      </c>
      <c r="G77" t="s">
        <v>22</v>
      </c>
      <c r="H77">
        <v>2</v>
      </c>
      <c r="I77">
        <v>90.9</v>
      </c>
      <c r="J77">
        <v>8</v>
      </c>
      <c r="K77">
        <v>144.08000000000001</v>
      </c>
      <c r="L77">
        <v>1</v>
      </c>
      <c r="M77" t="s">
        <v>134</v>
      </c>
      <c r="N77" t="str">
        <f t="shared" si="21"/>
        <v>&lt;6</v>
      </c>
      <c r="O77" t="str">
        <f t="shared" si="22"/>
        <v>60-90</v>
      </c>
      <c r="P77" t="str">
        <f t="shared" si="23"/>
        <v>7-10</v>
      </c>
      <c r="Q77" t="str">
        <f t="shared" si="24"/>
        <v>&gt;=80</v>
      </c>
      <c r="R77" t="str">
        <f t="shared" si="25"/>
        <v>ContractType|Month-to-Month</v>
      </c>
      <c r="S77" t="str">
        <f t="shared" si="26"/>
        <v>Tenure_Bin|&lt;6</v>
      </c>
      <c r="T77" t="str">
        <f t="shared" si="27"/>
        <v>Satis_Bin|7-10</v>
      </c>
      <c r="U77" t="str">
        <f t="shared" si="28"/>
        <v>Monthly_Bin|60-90</v>
      </c>
      <c r="V77" t="str">
        <f t="shared" si="29"/>
        <v>Usage_Bin|&gt;=80</v>
      </c>
      <c r="W77">
        <f t="shared" si="30"/>
        <v>3</v>
      </c>
      <c r="X77">
        <f t="shared" si="31"/>
        <v>3</v>
      </c>
      <c r="Y77">
        <f t="shared" si="32"/>
        <v>0</v>
      </c>
      <c r="Z77">
        <f t="shared" si="33"/>
        <v>1</v>
      </c>
      <c r="AA77">
        <f t="shared" si="34"/>
        <v>0</v>
      </c>
      <c r="AB77" s="51">
        <f t="shared" si="35"/>
        <v>7</v>
      </c>
      <c r="AC77" t="str">
        <f t="shared" si="36"/>
        <v>High</v>
      </c>
      <c r="AD77" t="str">
        <f t="shared" si="37"/>
        <v>No</v>
      </c>
      <c r="AE77">
        <f t="shared" si="38"/>
        <v>0</v>
      </c>
      <c r="AF77">
        <f xml:space="preserve">
_xlfn.XLOOKUP(AB77, '3.3 Calibration'!$A$2:$A$14, '3.3 Calibration'!$F$2:$F$14,
        '3.3 Calibration'!$D$2, 1)</f>
        <v>0.54166666666666663</v>
      </c>
      <c r="AG77" t="str">
        <f t="shared" si="39"/>
        <v>Yes</v>
      </c>
      <c r="AH77" t="str">
        <f t="shared" si="40"/>
        <v>Medium</v>
      </c>
      <c r="AI77" t="e">
        <f t="shared" si="41"/>
        <v>#N/A</v>
      </c>
    </row>
    <row r="78" spans="1:35" x14ac:dyDescent="0.2">
      <c r="A78">
        <v>77</v>
      </c>
      <c r="B78">
        <v>61</v>
      </c>
      <c r="C78" t="s">
        <v>16</v>
      </c>
      <c r="D78">
        <v>32</v>
      </c>
      <c r="E78">
        <v>66.010000000000005</v>
      </c>
      <c r="F78" t="s">
        <v>18</v>
      </c>
      <c r="G78" t="s">
        <v>23</v>
      </c>
      <c r="H78">
        <v>3</v>
      </c>
      <c r="I78">
        <v>91.4</v>
      </c>
      <c r="J78">
        <v>1</v>
      </c>
      <c r="K78">
        <v>2044.89</v>
      </c>
      <c r="L78">
        <v>0</v>
      </c>
      <c r="M78" t="s">
        <v>134</v>
      </c>
      <c r="N78" t="str">
        <f t="shared" si="21"/>
        <v>&gt;=24</v>
      </c>
      <c r="O78" t="str">
        <f t="shared" si="22"/>
        <v>60-90</v>
      </c>
      <c r="P78" t="str">
        <f t="shared" si="23"/>
        <v>1-3</v>
      </c>
      <c r="Q78" t="str">
        <f t="shared" si="24"/>
        <v>&gt;=80</v>
      </c>
      <c r="R78" t="str">
        <f t="shared" si="25"/>
        <v>ContractType|1-Year</v>
      </c>
      <c r="S78" t="str">
        <f t="shared" si="26"/>
        <v>Tenure_Bin|&gt;=24</v>
      </c>
      <c r="T78" t="str">
        <f t="shared" si="27"/>
        <v>Satis_Bin|1-3</v>
      </c>
      <c r="U78" t="str">
        <f t="shared" si="28"/>
        <v>Monthly_Bin|60-90</v>
      </c>
      <c r="V78" t="str">
        <f t="shared" si="29"/>
        <v>Usage_Bin|&gt;=80</v>
      </c>
      <c r="W78">
        <f t="shared" si="30"/>
        <v>1</v>
      </c>
      <c r="X78">
        <f t="shared" si="31"/>
        <v>0</v>
      </c>
      <c r="Y78">
        <f t="shared" si="32"/>
        <v>4</v>
      </c>
      <c r="Z78">
        <f t="shared" si="33"/>
        <v>1</v>
      </c>
      <c r="AA78">
        <f t="shared" si="34"/>
        <v>0</v>
      </c>
      <c r="AB78" s="51">
        <f t="shared" si="35"/>
        <v>6</v>
      </c>
      <c r="AC78" t="str">
        <f t="shared" si="36"/>
        <v>Medium</v>
      </c>
      <c r="AD78" t="str">
        <f t="shared" si="37"/>
        <v>No</v>
      </c>
      <c r="AE78">
        <f t="shared" si="38"/>
        <v>0</v>
      </c>
      <c r="AF78">
        <f xml:space="preserve">
_xlfn.XLOOKUP(AB78, '3.3 Calibration'!$A$2:$A$14, '3.3 Calibration'!$F$2:$F$14,
        '3.3 Calibration'!$D$2, 1)</f>
        <v>0.33333333333333331</v>
      </c>
      <c r="AG78" t="str">
        <f t="shared" si="39"/>
        <v>No</v>
      </c>
      <c r="AH78" t="str">
        <f t="shared" si="40"/>
        <v>Low</v>
      </c>
      <c r="AI78" t="e">
        <f t="shared" si="41"/>
        <v>#N/A</v>
      </c>
    </row>
    <row r="79" spans="1:35" x14ac:dyDescent="0.2">
      <c r="A79">
        <v>78</v>
      </c>
      <c r="B79">
        <v>51</v>
      </c>
      <c r="C79" t="s">
        <v>15</v>
      </c>
      <c r="D79">
        <v>24</v>
      </c>
      <c r="E79">
        <v>78.48</v>
      </c>
      <c r="F79" t="s">
        <v>20</v>
      </c>
      <c r="G79" t="s">
        <v>23</v>
      </c>
      <c r="H79">
        <v>3</v>
      </c>
      <c r="I79">
        <v>79.099999999999994</v>
      </c>
      <c r="J79">
        <v>9</v>
      </c>
      <c r="K79">
        <v>1899.12</v>
      </c>
      <c r="L79">
        <v>0</v>
      </c>
      <c r="M79" t="s">
        <v>134</v>
      </c>
      <c r="N79" t="str">
        <f t="shared" si="21"/>
        <v>&gt;=24</v>
      </c>
      <c r="O79" t="str">
        <f t="shared" si="22"/>
        <v>60-90</v>
      </c>
      <c r="P79" t="str">
        <f t="shared" si="23"/>
        <v>7-10</v>
      </c>
      <c r="Q79" t="str">
        <f t="shared" si="24"/>
        <v>40-80</v>
      </c>
      <c r="R79" t="str">
        <f t="shared" si="25"/>
        <v>ContractType|Month-to-Month</v>
      </c>
      <c r="S79" t="str">
        <f t="shared" si="26"/>
        <v>Tenure_Bin|&gt;=24</v>
      </c>
      <c r="T79" t="str">
        <f t="shared" si="27"/>
        <v>Satis_Bin|7-10</v>
      </c>
      <c r="U79" t="str">
        <f t="shared" si="28"/>
        <v>Monthly_Bin|60-90</v>
      </c>
      <c r="V79" t="str">
        <f t="shared" si="29"/>
        <v>Usage_Bin|40-80</v>
      </c>
      <c r="W79">
        <f t="shared" si="30"/>
        <v>3</v>
      </c>
      <c r="X79">
        <f t="shared" si="31"/>
        <v>0</v>
      </c>
      <c r="Y79">
        <f t="shared" si="32"/>
        <v>0</v>
      </c>
      <c r="Z79">
        <f t="shared" si="33"/>
        <v>1</v>
      </c>
      <c r="AA79">
        <f t="shared" si="34"/>
        <v>0</v>
      </c>
      <c r="AB79" s="51">
        <f t="shared" si="35"/>
        <v>4</v>
      </c>
      <c r="AC79" t="str">
        <f t="shared" si="36"/>
        <v>Medium</v>
      </c>
      <c r="AD79" t="str">
        <f t="shared" si="37"/>
        <v>No</v>
      </c>
      <c r="AE79">
        <f t="shared" si="38"/>
        <v>0</v>
      </c>
      <c r="AF79">
        <f xml:space="preserve">
_xlfn.XLOOKUP(AB79, '3.3 Calibration'!$A$2:$A$14, '3.3 Calibration'!$F$2:$F$14,
        '3.3 Calibration'!$D$2, 1)</f>
        <v>0.40740740740740738</v>
      </c>
      <c r="AG79" t="str">
        <f t="shared" si="39"/>
        <v>No</v>
      </c>
      <c r="AH79" t="str">
        <f t="shared" si="40"/>
        <v>Medium</v>
      </c>
      <c r="AI79" t="e">
        <f t="shared" si="41"/>
        <v>#N/A</v>
      </c>
    </row>
    <row r="80" spans="1:35" x14ac:dyDescent="0.2">
      <c r="A80">
        <v>79</v>
      </c>
      <c r="B80">
        <v>27</v>
      </c>
      <c r="C80" t="s">
        <v>15</v>
      </c>
      <c r="D80">
        <v>12</v>
      </c>
      <c r="E80">
        <v>60.03</v>
      </c>
      <c r="F80" t="s">
        <v>20</v>
      </c>
      <c r="G80" t="s">
        <v>24</v>
      </c>
      <c r="H80">
        <v>1</v>
      </c>
      <c r="I80">
        <v>5.7</v>
      </c>
      <c r="J80">
        <v>1</v>
      </c>
      <c r="K80">
        <v>670.53</v>
      </c>
      <c r="L80">
        <v>1</v>
      </c>
      <c r="M80" t="s">
        <v>134</v>
      </c>
      <c r="N80" t="str">
        <f t="shared" si="21"/>
        <v>12-24</v>
      </c>
      <c r="O80" t="str">
        <f t="shared" si="22"/>
        <v>60-90</v>
      </c>
      <c r="P80" t="str">
        <f t="shared" si="23"/>
        <v>1-3</v>
      </c>
      <c r="Q80" t="str">
        <f t="shared" si="24"/>
        <v>&lt;20</v>
      </c>
      <c r="R80" t="str">
        <f t="shared" si="25"/>
        <v>ContractType|Month-to-Month</v>
      </c>
      <c r="S80" t="str">
        <f t="shared" si="26"/>
        <v>Tenure_Bin|12-24</v>
      </c>
      <c r="T80" t="str">
        <f t="shared" si="27"/>
        <v>Satis_Bin|1-3</v>
      </c>
      <c r="U80" t="str">
        <f t="shared" si="28"/>
        <v>Monthly_Bin|60-90</v>
      </c>
      <c r="V80" t="str">
        <f t="shared" si="29"/>
        <v>Usage_Bin|&lt;20</v>
      </c>
      <c r="W80">
        <f t="shared" si="30"/>
        <v>3</v>
      </c>
      <c r="X80">
        <f t="shared" si="31"/>
        <v>1</v>
      </c>
      <c r="Y80">
        <f t="shared" si="32"/>
        <v>4</v>
      </c>
      <c r="Z80">
        <f t="shared" si="33"/>
        <v>1</v>
      </c>
      <c r="AA80">
        <f t="shared" si="34"/>
        <v>2</v>
      </c>
      <c r="AB80" s="51">
        <f t="shared" si="35"/>
        <v>11</v>
      </c>
      <c r="AC80" t="str">
        <f t="shared" si="36"/>
        <v>High</v>
      </c>
      <c r="AD80" t="str">
        <f t="shared" si="37"/>
        <v>No</v>
      </c>
      <c r="AE80">
        <f t="shared" si="38"/>
        <v>0</v>
      </c>
      <c r="AF80">
        <f xml:space="preserve">
_xlfn.XLOOKUP(AB80, '3.3 Calibration'!$A$2:$A$14, '3.3 Calibration'!$F$2:$F$14,
        '3.3 Calibration'!$D$2, 1)</f>
        <v>0.6</v>
      </c>
      <c r="AG80" t="str">
        <f t="shared" si="39"/>
        <v>Yes</v>
      </c>
      <c r="AH80" t="str">
        <f t="shared" si="40"/>
        <v>High</v>
      </c>
      <c r="AI80" t="str">
        <f t="shared" si="41"/>
        <v>12-24</v>
      </c>
    </row>
    <row r="81" spans="1:35" x14ac:dyDescent="0.2">
      <c r="A81">
        <v>80</v>
      </c>
      <c r="B81">
        <v>53</v>
      </c>
      <c r="C81" t="s">
        <v>16</v>
      </c>
      <c r="D81">
        <v>50</v>
      </c>
      <c r="E81">
        <v>89.77</v>
      </c>
      <c r="F81" t="s">
        <v>20</v>
      </c>
      <c r="G81" t="s">
        <v>23</v>
      </c>
      <c r="H81">
        <v>1</v>
      </c>
      <c r="I81">
        <v>10.4</v>
      </c>
      <c r="J81">
        <v>8</v>
      </c>
      <c r="K81">
        <v>4536.72</v>
      </c>
      <c r="L81">
        <v>0</v>
      </c>
      <c r="M81" t="s">
        <v>133</v>
      </c>
      <c r="N81" t="str">
        <f t="shared" si="21"/>
        <v>&gt;=24</v>
      </c>
      <c r="O81" t="str">
        <f t="shared" si="22"/>
        <v>60-90</v>
      </c>
      <c r="P81" t="str">
        <f t="shared" si="23"/>
        <v>7-10</v>
      </c>
      <c r="Q81" t="str">
        <f t="shared" si="24"/>
        <v>&lt;20</v>
      </c>
      <c r="R81" t="str">
        <f t="shared" si="25"/>
        <v>ContractType|Month-to-Month</v>
      </c>
      <c r="S81" t="str">
        <f t="shared" si="26"/>
        <v>Tenure_Bin|&gt;=24</v>
      </c>
      <c r="T81" t="str">
        <f t="shared" si="27"/>
        <v>Satis_Bin|7-10</v>
      </c>
      <c r="U81" t="str">
        <f t="shared" si="28"/>
        <v>Monthly_Bin|60-90</v>
      </c>
      <c r="V81" t="str">
        <f t="shared" si="29"/>
        <v>Usage_Bin|&lt;20</v>
      </c>
      <c r="W81">
        <f t="shared" si="30"/>
        <v>3</v>
      </c>
      <c r="X81">
        <f t="shared" si="31"/>
        <v>0</v>
      </c>
      <c r="Y81">
        <f t="shared" si="32"/>
        <v>0</v>
      </c>
      <c r="Z81">
        <f t="shared" si="33"/>
        <v>1</v>
      </c>
      <c r="AA81">
        <f t="shared" si="34"/>
        <v>2</v>
      </c>
      <c r="AB81" s="51">
        <f t="shared" si="35"/>
        <v>6</v>
      </c>
      <c r="AC81" t="str">
        <f t="shared" si="36"/>
        <v>Medium</v>
      </c>
      <c r="AD81" t="str">
        <f t="shared" si="37"/>
        <v>No</v>
      </c>
      <c r="AE81">
        <f t="shared" si="38"/>
        <v>0</v>
      </c>
      <c r="AF81">
        <f xml:space="preserve">
_xlfn.XLOOKUP(AB81, '3.3 Calibration'!$A$2:$A$14, '3.3 Calibration'!$F$2:$F$14,
        '3.3 Calibration'!$D$2, 1)</f>
        <v>0.33333333333333331</v>
      </c>
      <c r="AG81" t="str">
        <f t="shared" si="39"/>
        <v>No</v>
      </c>
      <c r="AH81" t="str">
        <f t="shared" si="40"/>
        <v>Low</v>
      </c>
      <c r="AI81" t="e">
        <f t="shared" si="41"/>
        <v>#N/A</v>
      </c>
    </row>
    <row r="82" spans="1:35" x14ac:dyDescent="0.2">
      <c r="A82">
        <v>81</v>
      </c>
      <c r="B82">
        <v>31</v>
      </c>
      <c r="C82" t="s">
        <v>16</v>
      </c>
      <c r="D82">
        <v>35</v>
      </c>
      <c r="E82">
        <v>38.01</v>
      </c>
      <c r="F82" t="s">
        <v>20</v>
      </c>
      <c r="G82" t="s">
        <v>22</v>
      </c>
      <c r="H82">
        <v>2</v>
      </c>
      <c r="I82">
        <v>26.4</v>
      </c>
      <c r="J82">
        <v>4</v>
      </c>
      <c r="K82">
        <v>1341.45</v>
      </c>
      <c r="L82">
        <v>1</v>
      </c>
      <c r="M82" t="s">
        <v>133</v>
      </c>
      <c r="N82" t="str">
        <f t="shared" si="21"/>
        <v>&gt;=24</v>
      </c>
      <c r="O82" t="str">
        <f t="shared" si="22"/>
        <v>30-60</v>
      </c>
      <c r="P82" t="str">
        <f t="shared" si="23"/>
        <v>4-6</v>
      </c>
      <c r="Q82" t="str">
        <f t="shared" si="24"/>
        <v>20-40</v>
      </c>
      <c r="R82" t="str">
        <f t="shared" si="25"/>
        <v>ContractType|Month-to-Month</v>
      </c>
      <c r="S82" t="str">
        <f t="shared" si="26"/>
        <v>Tenure_Bin|&gt;=24</v>
      </c>
      <c r="T82" t="str">
        <f t="shared" si="27"/>
        <v>Satis_Bin|4-6</v>
      </c>
      <c r="U82" t="str">
        <f t="shared" si="28"/>
        <v>Monthly_Bin|30-60</v>
      </c>
      <c r="V82" t="str">
        <f t="shared" si="29"/>
        <v>Usage_Bin|20-40</v>
      </c>
      <c r="W82">
        <f t="shared" si="30"/>
        <v>3</v>
      </c>
      <c r="X82">
        <f t="shared" si="31"/>
        <v>0</v>
      </c>
      <c r="Y82">
        <f t="shared" si="32"/>
        <v>2</v>
      </c>
      <c r="Z82">
        <f t="shared" si="33"/>
        <v>0</v>
      </c>
      <c r="AA82">
        <f t="shared" si="34"/>
        <v>1</v>
      </c>
      <c r="AB82" s="51">
        <f t="shared" si="35"/>
        <v>6</v>
      </c>
      <c r="AC82" t="str">
        <f t="shared" si="36"/>
        <v>Medium</v>
      </c>
      <c r="AD82" t="str">
        <f t="shared" si="37"/>
        <v>No</v>
      </c>
      <c r="AE82">
        <f t="shared" si="38"/>
        <v>0</v>
      </c>
      <c r="AF82">
        <f xml:space="preserve">
_xlfn.XLOOKUP(AB82, '3.3 Calibration'!$A$2:$A$14, '3.3 Calibration'!$F$2:$F$14,
        '3.3 Calibration'!$D$2, 1)</f>
        <v>0.33333333333333331</v>
      </c>
      <c r="AG82" t="str">
        <f t="shared" si="39"/>
        <v>No</v>
      </c>
      <c r="AH82" t="str">
        <f t="shared" si="40"/>
        <v>Low</v>
      </c>
      <c r="AI82" t="e">
        <f t="shared" si="41"/>
        <v>#N/A</v>
      </c>
    </row>
    <row r="83" spans="1:35" x14ac:dyDescent="0.2">
      <c r="A83">
        <v>82</v>
      </c>
      <c r="B83">
        <v>48</v>
      </c>
      <c r="C83" t="s">
        <v>15</v>
      </c>
      <c r="D83">
        <v>33</v>
      </c>
      <c r="E83">
        <v>89.65</v>
      </c>
      <c r="F83" t="s">
        <v>19</v>
      </c>
      <c r="G83" t="s">
        <v>22</v>
      </c>
      <c r="H83">
        <v>0</v>
      </c>
      <c r="I83">
        <v>17.5</v>
      </c>
      <c r="J83">
        <v>9</v>
      </c>
      <c r="K83">
        <v>3113.41</v>
      </c>
      <c r="L83">
        <v>1</v>
      </c>
      <c r="M83" t="s">
        <v>133</v>
      </c>
      <c r="N83" t="str">
        <f t="shared" si="21"/>
        <v>&gt;=24</v>
      </c>
      <c r="O83" t="str">
        <f t="shared" si="22"/>
        <v>60-90</v>
      </c>
      <c r="P83" t="str">
        <f t="shared" si="23"/>
        <v>7-10</v>
      </c>
      <c r="Q83" t="str">
        <f t="shared" si="24"/>
        <v>&lt;20</v>
      </c>
      <c r="R83" t="str">
        <f t="shared" si="25"/>
        <v>ContractType|2-Year</v>
      </c>
      <c r="S83" t="str">
        <f t="shared" si="26"/>
        <v>Tenure_Bin|&gt;=24</v>
      </c>
      <c r="T83" t="str">
        <f t="shared" si="27"/>
        <v>Satis_Bin|7-10</v>
      </c>
      <c r="U83" t="str">
        <f t="shared" si="28"/>
        <v>Monthly_Bin|60-90</v>
      </c>
      <c r="V83" t="str">
        <f t="shared" si="29"/>
        <v>Usage_Bin|&lt;20</v>
      </c>
      <c r="W83">
        <f t="shared" si="30"/>
        <v>0</v>
      </c>
      <c r="X83">
        <f t="shared" si="31"/>
        <v>0</v>
      </c>
      <c r="Y83">
        <f t="shared" si="32"/>
        <v>0</v>
      </c>
      <c r="Z83">
        <f t="shared" si="33"/>
        <v>1</v>
      </c>
      <c r="AA83">
        <f t="shared" si="34"/>
        <v>2</v>
      </c>
      <c r="AB83" s="51">
        <f t="shared" si="35"/>
        <v>3</v>
      </c>
      <c r="AC83" t="str">
        <f t="shared" si="36"/>
        <v>Low</v>
      </c>
      <c r="AD83" t="str">
        <f t="shared" si="37"/>
        <v>No</v>
      </c>
      <c r="AE83">
        <f t="shared" si="38"/>
        <v>0</v>
      </c>
      <c r="AF83">
        <f xml:space="preserve">
_xlfn.XLOOKUP(AB83, '3.3 Calibration'!$A$2:$A$14, '3.3 Calibration'!$F$2:$F$14,
        '3.3 Calibration'!$D$2, 1)</f>
        <v>0.42105263157894735</v>
      </c>
      <c r="AG83" t="str">
        <f t="shared" si="39"/>
        <v>No</v>
      </c>
      <c r="AH83" t="str">
        <f t="shared" si="40"/>
        <v>Medium</v>
      </c>
      <c r="AI83" t="e">
        <f t="shared" si="41"/>
        <v>#N/A</v>
      </c>
    </row>
    <row r="84" spans="1:35" x14ac:dyDescent="0.2">
      <c r="A84">
        <v>83</v>
      </c>
      <c r="B84">
        <v>65</v>
      </c>
      <c r="C84" t="s">
        <v>15</v>
      </c>
      <c r="D84">
        <v>33</v>
      </c>
      <c r="E84">
        <v>61.17</v>
      </c>
      <c r="F84" t="s">
        <v>20</v>
      </c>
      <c r="G84" t="s">
        <v>23</v>
      </c>
      <c r="H84">
        <v>0</v>
      </c>
      <c r="I84">
        <v>42.9</v>
      </c>
      <c r="J84">
        <v>5</v>
      </c>
      <c r="K84">
        <v>2153.31</v>
      </c>
      <c r="L84">
        <v>0</v>
      </c>
      <c r="M84" t="s">
        <v>134</v>
      </c>
      <c r="N84" t="str">
        <f t="shared" si="21"/>
        <v>&gt;=24</v>
      </c>
      <c r="O84" t="str">
        <f t="shared" si="22"/>
        <v>60-90</v>
      </c>
      <c r="P84" t="str">
        <f t="shared" si="23"/>
        <v>4-6</v>
      </c>
      <c r="Q84" t="str">
        <f t="shared" si="24"/>
        <v>40-80</v>
      </c>
      <c r="R84" t="str">
        <f t="shared" si="25"/>
        <v>ContractType|Month-to-Month</v>
      </c>
      <c r="S84" t="str">
        <f t="shared" si="26"/>
        <v>Tenure_Bin|&gt;=24</v>
      </c>
      <c r="T84" t="str">
        <f t="shared" si="27"/>
        <v>Satis_Bin|4-6</v>
      </c>
      <c r="U84" t="str">
        <f t="shared" si="28"/>
        <v>Monthly_Bin|60-90</v>
      </c>
      <c r="V84" t="str">
        <f t="shared" si="29"/>
        <v>Usage_Bin|40-80</v>
      </c>
      <c r="W84">
        <f t="shared" si="30"/>
        <v>3</v>
      </c>
      <c r="X84">
        <f t="shared" si="31"/>
        <v>0</v>
      </c>
      <c r="Y84">
        <f t="shared" si="32"/>
        <v>2</v>
      </c>
      <c r="Z84">
        <f t="shared" si="33"/>
        <v>1</v>
      </c>
      <c r="AA84">
        <f t="shared" si="34"/>
        <v>0</v>
      </c>
      <c r="AB84" s="51">
        <f t="shared" si="35"/>
        <v>6</v>
      </c>
      <c r="AC84" t="str">
        <f t="shared" si="36"/>
        <v>Medium</v>
      </c>
      <c r="AD84" t="str">
        <f t="shared" si="37"/>
        <v>No</v>
      </c>
      <c r="AE84">
        <f t="shared" si="38"/>
        <v>0</v>
      </c>
      <c r="AF84">
        <f xml:space="preserve">
_xlfn.XLOOKUP(AB84, '3.3 Calibration'!$A$2:$A$14, '3.3 Calibration'!$F$2:$F$14,
        '3.3 Calibration'!$D$2, 1)</f>
        <v>0.33333333333333331</v>
      </c>
      <c r="AG84" t="str">
        <f t="shared" si="39"/>
        <v>No</v>
      </c>
      <c r="AH84" t="str">
        <f t="shared" si="40"/>
        <v>Low</v>
      </c>
      <c r="AI84" t="e">
        <f t="shared" si="41"/>
        <v>#N/A</v>
      </c>
    </row>
    <row r="85" spans="1:35" x14ac:dyDescent="0.2">
      <c r="A85">
        <v>84</v>
      </c>
      <c r="B85">
        <v>32</v>
      </c>
      <c r="C85" t="s">
        <v>15</v>
      </c>
      <c r="D85">
        <v>61</v>
      </c>
      <c r="E85">
        <v>107.43</v>
      </c>
      <c r="F85" t="s">
        <v>20</v>
      </c>
      <c r="G85" t="s">
        <v>24</v>
      </c>
      <c r="H85">
        <v>3</v>
      </c>
      <c r="I85">
        <v>92.6</v>
      </c>
      <c r="J85">
        <v>3</v>
      </c>
      <c r="K85">
        <v>6475.17</v>
      </c>
      <c r="L85">
        <v>0</v>
      </c>
      <c r="M85" t="s">
        <v>134</v>
      </c>
      <c r="N85" t="str">
        <f t="shared" si="21"/>
        <v>&gt;=24</v>
      </c>
      <c r="O85" t="str">
        <f t="shared" si="22"/>
        <v>&gt;=90</v>
      </c>
      <c r="P85" t="str">
        <f t="shared" si="23"/>
        <v>1-3</v>
      </c>
      <c r="Q85" t="str">
        <f t="shared" si="24"/>
        <v>&gt;=80</v>
      </c>
      <c r="R85" t="str">
        <f t="shared" si="25"/>
        <v>ContractType|Month-to-Month</v>
      </c>
      <c r="S85" t="str">
        <f t="shared" si="26"/>
        <v>Tenure_Bin|&gt;=24</v>
      </c>
      <c r="T85" t="str">
        <f t="shared" si="27"/>
        <v>Satis_Bin|1-3</v>
      </c>
      <c r="U85" t="str">
        <f t="shared" si="28"/>
        <v>Monthly_Bin|&gt;=90</v>
      </c>
      <c r="V85" t="str">
        <f t="shared" si="29"/>
        <v>Usage_Bin|&gt;=80</v>
      </c>
      <c r="W85">
        <f t="shared" si="30"/>
        <v>3</v>
      </c>
      <c r="X85">
        <f t="shared" si="31"/>
        <v>0</v>
      </c>
      <c r="Y85">
        <f t="shared" si="32"/>
        <v>4</v>
      </c>
      <c r="Z85">
        <f t="shared" si="33"/>
        <v>2</v>
      </c>
      <c r="AA85">
        <f t="shared" si="34"/>
        <v>0</v>
      </c>
      <c r="AB85" s="51">
        <f t="shared" si="35"/>
        <v>9</v>
      </c>
      <c r="AC85" t="str">
        <f t="shared" si="36"/>
        <v>High</v>
      </c>
      <c r="AD85" t="str">
        <f t="shared" si="37"/>
        <v>No</v>
      </c>
      <c r="AE85">
        <f t="shared" si="38"/>
        <v>0</v>
      </c>
      <c r="AF85">
        <f xml:space="preserve">
_xlfn.XLOOKUP(AB85, '3.3 Calibration'!$A$2:$A$14, '3.3 Calibration'!$F$2:$F$14,
        '3.3 Calibration'!$D$2, 1)</f>
        <v>0.54545454545454541</v>
      </c>
      <c r="AG85" t="str">
        <f t="shared" si="39"/>
        <v>Yes</v>
      </c>
      <c r="AH85" t="str">
        <f t="shared" si="40"/>
        <v>Medium</v>
      </c>
      <c r="AI85" t="e">
        <f t="shared" si="41"/>
        <v>#N/A</v>
      </c>
    </row>
    <row r="86" spans="1:35" x14ac:dyDescent="0.2">
      <c r="A86">
        <v>85</v>
      </c>
      <c r="B86">
        <v>25</v>
      </c>
      <c r="C86" t="s">
        <v>15</v>
      </c>
      <c r="D86">
        <v>51</v>
      </c>
      <c r="E86">
        <v>71.52</v>
      </c>
      <c r="F86" t="s">
        <v>19</v>
      </c>
      <c r="G86" t="s">
        <v>24</v>
      </c>
      <c r="H86">
        <v>1</v>
      </c>
      <c r="I86">
        <v>49.8</v>
      </c>
      <c r="J86">
        <v>9</v>
      </c>
      <c r="K86">
        <v>3503.32</v>
      </c>
      <c r="L86">
        <v>0</v>
      </c>
      <c r="M86" t="s">
        <v>134</v>
      </c>
      <c r="N86" t="str">
        <f t="shared" si="21"/>
        <v>&gt;=24</v>
      </c>
      <c r="O86" t="str">
        <f t="shared" si="22"/>
        <v>60-90</v>
      </c>
      <c r="P86" t="str">
        <f t="shared" si="23"/>
        <v>7-10</v>
      </c>
      <c r="Q86" t="str">
        <f t="shared" si="24"/>
        <v>40-80</v>
      </c>
      <c r="R86" t="str">
        <f t="shared" si="25"/>
        <v>ContractType|2-Year</v>
      </c>
      <c r="S86" t="str">
        <f t="shared" si="26"/>
        <v>Tenure_Bin|&gt;=24</v>
      </c>
      <c r="T86" t="str">
        <f t="shared" si="27"/>
        <v>Satis_Bin|7-10</v>
      </c>
      <c r="U86" t="str">
        <f t="shared" si="28"/>
        <v>Monthly_Bin|60-90</v>
      </c>
      <c r="V86" t="str">
        <f t="shared" si="29"/>
        <v>Usage_Bin|40-80</v>
      </c>
      <c r="W86">
        <f t="shared" si="30"/>
        <v>0</v>
      </c>
      <c r="X86">
        <f t="shared" si="31"/>
        <v>0</v>
      </c>
      <c r="Y86">
        <f t="shared" si="32"/>
        <v>0</v>
      </c>
      <c r="Z86">
        <f t="shared" si="33"/>
        <v>1</v>
      </c>
      <c r="AA86">
        <f t="shared" si="34"/>
        <v>0</v>
      </c>
      <c r="AB86" s="51">
        <f t="shared" si="35"/>
        <v>1</v>
      </c>
      <c r="AC86" t="str">
        <f t="shared" si="36"/>
        <v>Low</v>
      </c>
      <c r="AD86" t="str">
        <f t="shared" si="37"/>
        <v>No</v>
      </c>
      <c r="AE86">
        <f t="shared" si="38"/>
        <v>0</v>
      </c>
      <c r="AF86">
        <f xml:space="preserve">
_xlfn.XLOOKUP(AB86, '3.3 Calibration'!$A$2:$A$14, '3.3 Calibration'!$F$2:$F$14,
        '3.3 Calibration'!$D$2, 1)</f>
        <v>0.25</v>
      </c>
      <c r="AG86" t="str">
        <f t="shared" si="39"/>
        <v>No</v>
      </c>
      <c r="AH86" t="str">
        <f t="shared" si="40"/>
        <v>Low</v>
      </c>
      <c r="AI86" t="e">
        <f t="shared" si="41"/>
        <v>#N/A</v>
      </c>
    </row>
    <row r="87" spans="1:35" x14ac:dyDescent="0.2">
      <c r="A87">
        <v>86</v>
      </c>
      <c r="B87">
        <v>31</v>
      </c>
      <c r="C87" t="s">
        <v>15</v>
      </c>
      <c r="D87">
        <v>43</v>
      </c>
      <c r="E87">
        <v>117.31</v>
      </c>
      <c r="F87" t="s">
        <v>20</v>
      </c>
      <c r="G87" t="s">
        <v>23</v>
      </c>
      <c r="H87">
        <v>3</v>
      </c>
      <c r="I87">
        <v>6.3</v>
      </c>
      <c r="J87">
        <v>9</v>
      </c>
      <c r="K87">
        <v>4801.53</v>
      </c>
      <c r="L87">
        <v>0</v>
      </c>
      <c r="M87" t="s">
        <v>133</v>
      </c>
      <c r="N87" t="str">
        <f t="shared" si="21"/>
        <v>&gt;=24</v>
      </c>
      <c r="O87" t="str">
        <f t="shared" si="22"/>
        <v>&gt;=90</v>
      </c>
      <c r="P87" t="str">
        <f t="shared" si="23"/>
        <v>7-10</v>
      </c>
      <c r="Q87" t="str">
        <f t="shared" si="24"/>
        <v>&lt;20</v>
      </c>
      <c r="R87" t="str">
        <f t="shared" si="25"/>
        <v>ContractType|Month-to-Month</v>
      </c>
      <c r="S87" t="str">
        <f t="shared" si="26"/>
        <v>Tenure_Bin|&gt;=24</v>
      </c>
      <c r="T87" t="str">
        <f t="shared" si="27"/>
        <v>Satis_Bin|7-10</v>
      </c>
      <c r="U87" t="str">
        <f t="shared" si="28"/>
        <v>Monthly_Bin|&gt;=90</v>
      </c>
      <c r="V87" t="str">
        <f t="shared" si="29"/>
        <v>Usage_Bin|&lt;20</v>
      </c>
      <c r="W87">
        <f t="shared" si="30"/>
        <v>3</v>
      </c>
      <c r="X87">
        <f t="shared" si="31"/>
        <v>0</v>
      </c>
      <c r="Y87">
        <f t="shared" si="32"/>
        <v>0</v>
      </c>
      <c r="Z87">
        <f t="shared" si="33"/>
        <v>2</v>
      </c>
      <c r="AA87">
        <f t="shared" si="34"/>
        <v>2</v>
      </c>
      <c r="AB87" s="51">
        <f t="shared" si="35"/>
        <v>7</v>
      </c>
      <c r="AC87" t="str">
        <f t="shared" si="36"/>
        <v>High</v>
      </c>
      <c r="AD87" t="str">
        <f t="shared" si="37"/>
        <v>No</v>
      </c>
      <c r="AE87">
        <f t="shared" si="38"/>
        <v>0</v>
      </c>
      <c r="AF87">
        <f xml:space="preserve">
_xlfn.XLOOKUP(AB87, '3.3 Calibration'!$A$2:$A$14, '3.3 Calibration'!$F$2:$F$14,
        '3.3 Calibration'!$D$2, 1)</f>
        <v>0.54166666666666663</v>
      </c>
      <c r="AG87" t="str">
        <f t="shared" si="39"/>
        <v>Yes</v>
      </c>
      <c r="AH87" t="str">
        <f t="shared" si="40"/>
        <v>Medium</v>
      </c>
      <c r="AI87" t="e">
        <f t="shared" si="41"/>
        <v>#N/A</v>
      </c>
    </row>
    <row r="88" spans="1:35" x14ac:dyDescent="0.2">
      <c r="A88">
        <v>87</v>
      </c>
      <c r="B88">
        <v>40</v>
      </c>
      <c r="C88" t="s">
        <v>15</v>
      </c>
      <c r="D88">
        <v>12</v>
      </c>
      <c r="E88">
        <v>80.19</v>
      </c>
      <c r="F88" t="s">
        <v>20</v>
      </c>
      <c r="G88" t="s">
        <v>23</v>
      </c>
      <c r="H88">
        <v>2</v>
      </c>
      <c r="I88">
        <v>31.9</v>
      </c>
      <c r="J88">
        <v>4</v>
      </c>
      <c r="K88">
        <v>903.51</v>
      </c>
      <c r="L88">
        <v>1</v>
      </c>
      <c r="M88" t="s">
        <v>134</v>
      </c>
      <c r="N88" t="str">
        <f t="shared" si="21"/>
        <v>12-24</v>
      </c>
      <c r="O88" t="str">
        <f t="shared" si="22"/>
        <v>60-90</v>
      </c>
      <c r="P88" t="str">
        <f t="shared" si="23"/>
        <v>4-6</v>
      </c>
      <c r="Q88" t="str">
        <f t="shared" si="24"/>
        <v>20-40</v>
      </c>
      <c r="R88" t="str">
        <f t="shared" si="25"/>
        <v>ContractType|Month-to-Month</v>
      </c>
      <c r="S88" t="str">
        <f t="shared" si="26"/>
        <v>Tenure_Bin|12-24</v>
      </c>
      <c r="T88" t="str">
        <f t="shared" si="27"/>
        <v>Satis_Bin|4-6</v>
      </c>
      <c r="U88" t="str">
        <f t="shared" si="28"/>
        <v>Monthly_Bin|60-90</v>
      </c>
      <c r="V88" t="str">
        <f t="shared" si="29"/>
        <v>Usage_Bin|20-40</v>
      </c>
      <c r="W88">
        <f t="shared" si="30"/>
        <v>3</v>
      </c>
      <c r="X88">
        <f t="shared" si="31"/>
        <v>1</v>
      </c>
      <c r="Y88">
        <f t="shared" si="32"/>
        <v>2</v>
      </c>
      <c r="Z88">
        <f t="shared" si="33"/>
        <v>1</v>
      </c>
      <c r="AA88">
        <f t="shared" si="34"/>
        <v>1</v>
      </c>
      <c r="AB88" s="51">
        <f t="shared" si="35"/>
        <v>8</v>
      </c>
      <c r="AC88" t="str">
        <f t="shared" si="36"/>
        <v>High</v>
      </c>
      <c r="AD88" t="str">
        <f t="shared" si="37"/>
        <v>No</v>
      </c>
      <c r="AE88">
        <f t="shared" si="38"/>
        <v>0</v>
      </c>
      <c r="AF88">
        <f xml:space="preserve">
_xlfn.XLOOKUP(AB88, '3.3 Calibration'!$A$2:$A$14, '3.3 Calibration'!$F$2:$F$14,
        '3.3 Calibration'!$D$2, 1)</f>
        <v>0.73684210526315785</v>
      </c>
      <c r="AG88" t="str">
        <f t="shared" si="39"/>
        <v>Yes</v>
      </c>
      <c r="AH88" t="str">
        <f t="shared" si="40"/>
        <v>High</v>
      </c>
      <c r="AI88" t="str">
        <f t="shared" si="41"/>
        <v>12-24</v>
      </c>
    </row>
    <row r="89" spans="1:35" x14ac:dyDescent="0.2">
      <c r="A89">
        <v>88</v>
      </c>
      <c r="B89">
        <v>57</v>
      </c>
      <c r="C89" t="s">
        <v>16</v>
      </c>
      <c r="D89">
        <v>67</v>
      </c>
      <c r="E89">
        <v>42.38</v>
      </c>
      <c r="F89" t="s">
        <v>20</v>
      </c>
      <c r="G89" t="s">
        <v>22</v>
      </c>
      <c r="H89">
        <v>0</v>
      </c>
      <c r="I89">
        <v>9.1999999999999993</v>
      </c>
      <c r="J89">
        <v>4</v>
      </c>
      <c r="K89">
        <v>2588.25</v>
      </c>
      <c r="L89">
        <v>0</v>
      </c>
      <c r="M89" t="s">
        <v>133</v>
      </c>
      <c r="N89" t="str">
        <f t="shared" si="21"/>
        <v>&gt;=24</v>
      </c>
      <c r="O89" t="str">
        <f t="shared" si="22"/>
        <v>30-60</v>
      </c>
      <c r="P89" t="str">
        <f t="shared" si="23"/>
        <v>4-6</v>
      </c>
      <c r="Q89" t="str">
        <f t="shared" si="24"/>
        <v>&lt;20</v>
      </c>
      <c r="R89" t="str">
        <f t="shared" si="25"/>
        <v>ContractType|Month-to-Month</v>
      </c>
      <c r="S89" t="str">
        <f t="shared" si="26"/>
        <v>Tenure_Bin|&gt;=24</v>
      </c>
      <c r="T89" t="str">
        <f t="shared" si="27"/>
        <v>Satis_Bin|4-6</v>
      </c>
      <c r="U89" t="str">
        <f t="shared" si="28"/>
        <v>Monthly_Bin|30-60</v>
      </c>
      <c r="V89" t="str">
        <f t="shared" si="29"/>
        <v>Usage_Bin|&lt;20</v>
      </c>
      <c r="W89">
        <f t="shared" si="30"/>
        <v>3</v>
      </c>
      <c r="X89">
        <f t="shared" si="31"/>
        <v>0</v>
      </c>
      <c r="Y89">
        <f t="shared" si="32"/>
        <v>2</v>
      </c>
      <c r="Z89">
        <f t="shared" si="33"/>
        <v>0</v>
      </c>
      <c r="AA89">
        <f t="shared" si="34"/>
        <v>2</v>
      </c>
      <c r="AB89" s="51">
        <f t="shared" si="35"/>
        <v>7</v>
      </c>
      <c r="AC89" t="str">
        <f t="shared" si="36"/>
        <v>High</v>
      </c>
      <c r="AD89" t="str">
        <f t="shared" si="37"/>
        <v>No</v>
      </c>
      <c r="AE89">
        <f t="shared" si="38"/>
        <v>0</v>
      </c>
      <c r="AF89">
        <f xml:space="preserve">
_xlfn.XLOOKUP(AB89, '3.3 Calibration'!$A$2:$A$14, '3.3 Calibration'!$F$2:$F$14,
        '3.3 Calibration'!$D$2, 1)</f>
        <v>0.54166666666666663</v>
      </c>
      <c r="AG89" t="str">
        <f t="shared" si="39"/>
        <v>Yes</v>
      </c>
      <c r="AH89" t="str">
        <f t="shared" si="40"/>
        <v>Medium</v>
      </c>
      <c r="AI89" t="e">
        <f t="shared" si="41"/>
        <v>#N/A</v>
      </c>
    </row>
    <row r="90" spans="1:35" x14ac:dyDescent="0.2">
      <c r="A90">
        <v>89</v>
      </c>
      <c r="B90">
        <v>38</v>
      </c>
      <c r="C90" t="s">
        <v>15</v>
      </c>
      <c r="D90">
        <v>65</v>
      </c>
      <c r="E90">
        <v>102.18</v>
      </c>
      <c r="F90" t="s">
        <v>20</v>
      </c>
      <c r="G90" t="s">
        <v>23</v>
      </c>
      <c r="H90">
        <v>0</v>
      </c>
      <c r="I90">
        <v>8.4</v>
      </c>
      <c r="J90">
        <v>8</v>
      </c>
      <c r="K90">
        <v>6432.42</v>
      </c>
      <c r="L90">
        <v>0</v>
      </c>
      <c r="M90" t="s">
        <v>134</v>
      </c>
      <c r="N90" t="str">
        <f t="shared" si="21"/>
        <v>&gt;=24</v>
      </c>
      <c r="O90" t="str">
        <f t="shared" si="22"/>
        <v>&gt;=90</v>
      </c>
      <c r="P90" t="str">
        <f t="shared" si="23"/>
        <v>7-10</v>
      </c>
      <c r="Q90" t="str">
        <f t="shared" si="24"/>
        <v>&lt;20</v>
      </c>
      <c r="R90" t="str">
        <f t="shared" si="25"/>
        <v>ContractType|Month-to-Month</v>
      </c>
      <c r="S90" t="str">
        <f t="shared" si="26"/>
        <v>Tenure_Bin|&gt;=24</v>
      </c>
      <c r="T90" t="str">
        <f t="shared" si="27"/>
        <v>Satis_Bin|7-10</v>
      </c>
      <c r="U90" t="str">
        <f t="shared" si="28"/>
        <v>Monthly_Bin|&gt;=90</v>
      </c>
      <c r="V90" t="str">
        <f t="shared" si="29"/>
        <v>Usage_Bin|&lt;20</v>
      </c>
      <c r="W90">
        <f t="shared" si="30"/>
        <v>3</v>
      </c>
      <c r="X90">
        <f t="shared" si="31"/>
        <v>0</v>
      </c>
      <c r="Y90">
        <f t="shared" si="32"/>
        <v>0</v>
      </c>
      <c r="Z90">
        <f t="shared" si="33"/>
        <v>2</v>
      </c>
      <c r="AA90">
        <f t="shared" si="34"/>
        <v>2</v>
      </c>
      <c r="AB90" s="51">
        <f t="shared" si="35"/>
        <v>7</v>
      </c>
      <c r="AC90" t="str">
        <f t="shared" si="36"/>
        <v>High</v>
      </c>
      <c r="AD90" t="str">
        <f t="shared" si="37"/>
        <v>No</v>
      </c>
      <c r="AE90">
        <f t="shared" si="38"/>
        <v>0</v>
      </c>
      <c r="AF90">
        <f xml:space="preserve">
_xlfn.XLOOKUP(AB90, '3.3 Calibration'!$A$2:$A$14, '3.3 Calibration'!$F$2:$F$14,
        '3.3 Calibration'!$D$2, 1)</f>
        <v>0.54166666666666663</v>
      </c>
      <c r="AG90" t="str">
        <f t="shared" si="39"/>
        <v>Yes</v>
      </c>
      <c r="AH90" t="str">
        <f t="shared" si="40"/>
        <v>Medium</v>
      </c>
      <c r="AI90" t="e">
        <f t="shared" si="41"/>
        <v>#N/A</v>
      </c>
    </row>
    <row r="91" spans="1:35" x14ac:dyDescent="0.2">
      <c r="A91">
        <v>90</v>
      </c>
      <c r="B91">
        <v>33</v>
      </c>
      <c r="C91" t="s">
        <v>15</v>
      </c>
      <c r="D91">
        <v>33</v>
      </c>
      <c r="E91">
        <v>54.51</v>
      </c>
      <c r="F91" t="s">
        <v>20</v>
      </c>
      <c r="G91" t="s">
        <v>24</v>
      </c>
      <c r="H91">
        <v>1</v>
      </c>
      <c r="I91">
        <v>31.2</v>
      </c>
      <c r="J91">
        <v>2</v>
      </c>
      <c r="K91">
        <v>1716.17</v>
      </c>
      <c r="L91">
        <v>1</v>
      </c>
      <c r="M91" t="s">
        <v>134</v>
      </c>
      <c r="N91" t="str">
        <f t="shared" si="21"/>
        <v>&gt;=24</v>
      </c>
      <c r="O91" t="str">
        <f t="shared" si="22"/>
        <v>30-60</v>
      </c>
      <c r="P91" t="str">
        <f t="shared" si="23"/>
        <v>1-3</v>
      </c>
      <c r="Q91" t="str">
        <f t="shared" si="24"/>
        <v>20-40</v>
      </c>
      <c r="R91" t="str">
        <f t="shared" si="25"/>
        <v>ContractType|Month-to-Month</v>
      </c>
      <c r="S91" t="str">
        <f t="shared" si="26"/>
        <v>Tenure_Bin|&gt;=24</v>
      </c>
      <c r="T91" t="str">
        <f t="shared" si="27"/>
        <v>Satis_Bin|1-3</v>
      </c>
      <c r="U91" t="str">
        <f t="shared" si="28"/>
        <v>Monthly_Bin|30-60</v>
      </c>
      <c r="V91" t="str">
        <f t="shared" si="29"/>
        <v>Usage_Bin|20-40</v>
      </c>
      <c r="W91">
        <f t="shared" si="30"/>
        <v>3</v>
      </c>
      <c r="X91">
        <f t="shared" si="31"/>
        <v>0</v>
      </c>
      <c r="Y91">
        <f t="shared" si="32"/>
        <v>4</v>
      </c>
      <c r="Z91">
        <f t="shared" si="33"/>
        <v>0</v>
      </c>
      <c r="AA91">
        <f t="shared" si="34"/>
        <v>1</v>
      </c>
      <c r="AB91" s="51">
        <f t="shared" si="35"/>
        <v>8</v>
      </c>
      <c r="AC91" t="str">
        <f t="shared" si="36"/>
        <v>High</v>
      </c>
      <c r="AD91" t="str">
        <f t="shared" si="37"/>
        <v>No</v>
      </c>
      <c r="AE91">
        <f t="shared" si="38"/>
        <v>0</v>
      </c>
      <c r="AF91">
        <f xml:space="preserve">
_xlfn.XLOOKUP(AB91, '3.3 Calibration'!$A$2:$A$14, '3.3 Calibration'!$F$2:$F$14,
        '3.3 Calibration'!$D$2, 1)</f>
        <v>0.73684210526315785</v>
      </c>
      <c r="AG91" t="str">
        <f t="shared" si="39"/>
        <v>Yes</v>
      </c>
      <c r="AH91" t="str">
        <f t="shared" si="40"/>
        <v>High</v>
      </c>
      <c r="AI91" t="str">
        <f t="shared" si="41"/>
        <v>&gt;=24</v>
      </c>
    </row>
    <row r="92" spans="1:35" x14ac:dyDescent="0.2">
      <c r="A92">
        <v>91</v>
      </c>
      <c r="B92">
        <v>62</v>
      </c>
      <c r="C92" t="s">
        <v>16</v>
      </c>
      <c r="D92">
        <v>40</v>
      </c>
      <c r="E92">
        <v>54.76</v>
      </c>
      <c r="F92" t="s">
        <v>20</v>
      </c>
      <c r="G92" t="s">
        <v>23</v>
      </c>
      <c r="H92">
        <v>1</v>
      </c>
      <c r="I92">
        <v>31.2</v>
      </c>
      <c r="J92">
        <v>9</v>
      </c>
      <c r="K92">
        <v>2394.73</v>
      </c>
      <c r="L92">
        <v>0</v>
      </c>
      <c r="M92" t="s">
        <v>133</v>
      </c>
      <c r="N92" t="str">
        <f t="shared" si="21"/>
        <v>&gt;=24</v>
      </c>
      <c r="O92" t="str">
        <f t="shared" si="22"/>
        <v>30-60</v>
      </c>
      <c r="P92" t="str">
        <f t="shared" si="23"/>
        <v>7-10</v>
      </c>
      <c r="Q92" t="str">
        <f t="shared" si="24"/>
        <v>20-40</v>
      </c>
      <c r="R92" t="str">
        <f t="shared" si="25"/>
        <v>ContractType|Month-to-Month</v>
      </c>
      <c r="S92" t="str">
        <f t="shared" si="26"/>
        <v>Tenure_Bin|&gt;=24</v>
      </c>
      <c r="T92" t="str">
        <f t="shared" si="27"/>
        <v>Satis_Bin|7-10</v>
      </c>
      <c r="U92" t="str">
        <f t="shared" si="28"/>
        <v>Monthly_Bin|30-60</v>
      </c>
      <c r="V92" t="str">
        <f t="shared" si="29"/>
        <v>Usage_Bin|20-40</v>
      </c>
      <c r="W92">
        <f t="shared" si="30"/>
        <v>3</v>
      </c>
      <c r="X92">
        <f t="shared" si="31"/>
        <v>0</v>
      </c>
      <c r="Y92">
        <f t="shared" si="32"/>
        <v>0</v>
      </c>
      <c r="Z92">
        <f t="shared" si="33"/>
        <v>0</v>
      </c>
      <c r="AA92">
        <f t="shared" si="34"/>
        <v>1</v>
      </c>
      <c r="AB92" s="51">
        <f t="shared" si="35"/>
        <v>4</v>
      </c>
      <c r="AC92" t="str">
        <f t="shared" si="36"/>
        <v>Medium</v>
      </c>
      <c r="AD92" t="str">
        <f t="shared" si="37"/>
        <v>No</v>
      </c>
      <c r="AE92">
        <f t="shared" si="38"/>
        <v>0</v>
      </c>
      <c r="AF92">
        <f xml:space="preserve">
_xlfn.XLOOKUP(AB92, '3.3 Calibration'!$A$2:$A$14, '3.3 Calibration'!$F$2:$F$14,
        '3.3 Calibration'!$D$2, 1)</f>
        <v>0.40740740740740738</v>
      </c>
      <c r="AG92" t="str">
        <f t="shared" si="39"/>
        <v>No</v>
      </c>
      <c r="AH92" t="str">
        <f t="shared" si="40"/>
        <v>Medium</v>
      </c>
      <c r="AI92" t="e">
        <f t="shared" si="41"/>
        <v>#N/A</v>
      </c>
    </row>
    <row r="93" spans="1:35" x14ac:dyDescent="0.2">
      <c r="A93">
        <v>92</v>
      </c>
      <c r="B93">
        <v>35</v>
      </c>
      <c r="C93" t="s">
        <v>16</v>
      </c>
      <c r="D93">
        <v>43</v>
      </c>
      <c r="E93">
        <v>23.18</v>
      </c>
      <c r="F93" t="s">
        <v>18</v>
      </c>
      <c r="G93" t="s">
        <v>22</v>
      </c>
      <c r="H93">
        <v>2</v>
      </c>
      <c r="I93">
        <v>79.8</v>
      </c>
      <c r="J93">
        <v>6</v>
      </c>
      <c r="K93">
        <v>1008.24</v>
      </c>
      <c r="L93">
        <v>1</v>
      </c>
      <c r="M93" t="s">
        <v>133</v>
      </c>
      <c r="N93" t="str">
        <f t="shared" si="21"/>
        <v>&gt;=24</v>
      </c>
      <c r="O93" t="str">
        <f t="shared" si="22"/>
        <v>&lt;30</v>
      </c>
      <c r="P93" t="str">
        <f t="shared" si="23"/>
        <v>4-6</v>
      </c>
      <c r="Q93" t="str">
        <f t="shared" si="24"/>
        <v>40-80</v>
      </c>
      <c r="R93" t="str">
        <f t="shared" si="25"/>
        <v>ContractType|1-Year</v>
      </c>
      <c r="S93" t="str">
        <f t="shared" si="26"/>
        <v>Tenure_Bin|&gt;=24</v>
      </c>
      <c r="T93" t="str">
        <f t="shared" si="27"/>
        <v>Satis_Bin|4-6</v>
      </c>
      <c r="U93" t="str">
        <f t="shared" si="28"/>
        <v>Monthly_Bin|&lt;30</v>
      </c>
      <c r="V93" t="str">
        <f t="shared" si="29"/>
        <v>Usage_Bin|40-80</v>
      </c>
      <c r="W93">
        <f t="shared" si="30"/>
        <v>1</v>
      </c>
      <c r="X93">
        <f t="shared" si="31"/>
        <v>0</v>
      </c>
      <c r="Y93">
        <f t="shared" si="32"/>
        <v>2</v>
      </c>
      <c r="Z93">
        <f t="shared" si="33"/>
        <v>0</v>
      </c>
      <c r="AA93">
        <f t="shared" si="34"/>
        <v>0</v>
      </c>
      <c r="AB93" s="51">
        <f t="shared" si="35"/>
        <v>3</v>
      </c>
      <c r="AC93" t="str">
        <f t="shared" si="36"/>
        <v>Low</v>
      </c>
      <c r="AD93" t="str">
        <f t="shared" si="37"/>
        <v>No</v>
      </c>
      <c r="AE93">
        <f t="shared" si="38"/>
        <v>0</v>
      </c>
      <c r="AF93">
        <f xml:space="preserve">
_xlfn.XLOOKUP(AB93, '3.3 Calibration'!$A$2:$A$14, '3.3 Calibration'!$F$2:$F$14,
        '3.3 Calibration'!$D$2, 1)</f>
        <v>0.42105263157894735</v>
      </c>
      <c r="AG93" t="str">
        <f t="shared" si="39"/>
        <v>No</v>
      </c>
      <c r="AH93" t="str">
        <f t="shared" si="40"/>
        <v>Medium</v>
      </c>
      <c r="AI93" t="e">
        <f t="shared" si="41"/>
        <v>#N/A</v>
      </c>
    </row>
    <row r="94" spans="1:35" x14ac:dyDescent="0.2">
      <c r="A94">
        <v>93</v>
      </c>
      <c r="B94">
        <v>64</v>
      </c>
      <c r="C94" t="s">
        <v>16</v>
      </c>
      <c r="D94">
        <v>44</v>
      </c>
      <c r="E94">
        <v>74.87</v>
      </c>
      <c r="F94" t="s">
        <v>20</v>
      </c>
      <c r="G94" t="s">
        <v>22</v>
      </c>
      <c r="H94">
        <v>2</v>
      </c>
      <c r="I94">
        <v>97.6</v>
      </c>
      <c r="J94">
        <v>9</v>
      </c>
      <c r="K94">
        <v>3193.66</v>
      </c>
      <c r="L94">
        <v>1</v>
      </c>
      <c r="M94" t="s">
        <v>133</v>
      </c>
      <c r="N94" t="str">
        <f t="shared" si="21"/>
        <v>&gt;=24</v>
      </c>
      <c r="O94" t="str">
        <f t="shared" si="22"/>
        <v>60-90</v>
      </c>
      <c r="P94" t="str">
        <f t="shared" si="23"/>
        <v>7-10</v>
      </c>
      <c r="Q94" t="str">
        <f t="shared" si="24"/>
        <v>&gt;=80</v>
      </c>
      <c r="R94" t="str">
        <f t="shared" si="25"/>
        <v>ContractType|Month-to-Month</v>
      </c>
      <c r="S94" t="str">
        <f t="shared" si="26"/>
        <v>Tenure_Bin|&gt;=24</v>
      </c>
      <c r="T94" t="str">
        <f t="shared" si="27"/>
        <v>Satis_Bin|7-10</v>
      </c>
      <c r="U94" t="str">
        <f t="shared" si="28"/>
        <v>Monthly_Bin|60-90</v>
      </c>
      <c r="V94" t="str">
        <f t="shared" si="29"/>
        <v>Usage_Bin|&gt;=80</v>
      </c>
      <c r="W94">
        <f t="shared" si="30"/>
        <v>3</v>
      </c>
      <c r="X94">
        <f t="shared" si="31"/>
        <v>0</v>
      </c>
      <c r="Y94">
        <f t="shared" si="32"/>
        <v>0</v>
      </c>
      <c r="Z94">
        <f t="shared" si="33"/>
        <v>1</v>
      </c>
      <c r="AA94">
        <f t="shared" si="34"/>
        <v>0</v>
      </c>
      <c r="AB94" s="51">
        <f t="shared" si="35"/>
        <v>4</v>
      </c>
      <c r="AC94" t="str">
        <f t="shared" si="36"/>
        <v>Medium</v>
      </c>
      <c r="AD94" t="str">
        <f t="shared" si="37"/>
        <v>No</v>
      </c>
      <c r="AE94">
        <f t="shared" si="38"/>
        <v>0</v>
      </c>
      <c r="AF94">
        <f xml:space="preserve">
_xlfn.XLOOKUP(AB94, '3.3 Calibration'!$A$2:$A$14, '3.3 Calibration'!$F$2:$F$14,
        '3.3 Calibration'!$D$2, 1)</f>
        <v>0.40740740740740738</v>
      </c>
      <c r="AG94" t="str">
        <f t="shared" si="39"/>
        <v>No</v>
      </c>
      <c r="AH94" t="str">
        <f t="shared" si="40"/>
        <v>Medium</v>
      </c>
      <c r="AI94" t="e">
        <f t="shared" si="41"/>
        <v>#N/A</v>
      </c>
    </row>
    <row r="95" spans="1:35" x14ac:dyDescent="0.2">
      <c r="A95">
        <v>94</v>
      </c>
      <c r="B95">
        <v>41</v>
      </c>
      <c r="C95" t="s">
        <v>16</v>
      </c>
      <c r="D95">
        <v>29</v>
      </c>
      <c r="E95">
        <v>73.44</v>
      </c>
      <c r="F95" t="s">
        <v>20</v>
      </c>
      <c r="G95" t="s">
        <v>22</v>
      </c>
      <c r="H95">
        <v>3</v>
      </c>
      <c r="I95">
        <v>40.299999999999997</v>
      </c>
      <c r="J95">
        <v>8</v>
      </c>
      <c r="K95">
        <v>2164.04</v>
      </c>
      <c r="L95">
        <v>0</v>
      </c>
      <c r="M95" t="s">
        <v>134</v>
      </c>
      <c r="N95" t="str">
        <f t="shared" si="21"/>
        <v>&gt;=24</v>
      </c>
      <c r="O95" t="str">
        <f t="shared" si="22"/>
        <v>60-90</v>
      </c>
      <c r="P95" t="str">
        <f t="shared" si="23"/>
        <v>7-10</v>
      </c>
      <c r="Q95" t="str">
        <f t="shared" si="24"/>
        <v>40-80</v>
      </c>
      <c r="R95" t="str">
        <f t="shared" si="25"/>
        <v>ContractType|Month-to-Month</v>
      </c>
      <c r="S95" t="str">
        <f t="shared" si="26"/>
        <v>Tenure_Bin|&gt;=24</v>
      </c>
      <c r="T95" t="str">
        <f t="shared" si="27"/>
        <v>Satis_Bin|7-10</v>
      </c>
      <c r="U95" t="str">
        <f t="shared" si="28"/>
        <v>Monthly_Bin|60-90</v>
      </c>
      <c r="V95" t="str">
        <f t="shared" si="29"/>
        <v>Usage_Bin|40-80</v>
      </c>
      <c r="W95">
        <f t="shared" si="30"/>
        <v>3</v>
      </c>
      <c r="X95">
        <f t="shared" si="31"/>
        <v>0</v>
      </c>
      <c r="Y95">
        <f t="shared" si="32"/>
        <v>0</v>
      </c>
      <c r="Z95">
        <f t="shared" si="33"/>
        <v>1</v>
      </c>
      <c r="AA95">
        <f t="shared" si="34"/>
        <v>0</v>
      </c>
      <c r="AB95" s="51">
        <f t="shared" si="35"/>
        <v>4</v>
      </c>
      <c r="AC95" t="str">
        <f t="shared" si="36"/>
        <v>Medium</v>
      </c>
      <c r="AD95" t="str">
        <f t="shared" si="37"/>
        <v>No</v>
      </c>
      <c r="AE95">
        <f t="shared" si="38"/>
        <v>0</v>
      </c>
      <c r="AF95">
        <f xml:space="preserve">
_xlfn.XLOOKUP(AB95, '3.3 Calibration'!$A$2:$A$14, '3.3 Calibration'!$F$2:$F$14,
        '3.3 Calibration'!$D$2, 1)</f>
        <v>0.40740740740740738</v>
      </c>
      <c r="AG95" t="str">
        <f t="shared" si="39"/>
        <v>No</v>
      </c>
      <c r="AH95" t="str">
        <f t="shared" si="40"/>
        <v>Medium</v>
      </c>
      <c r="AI95" t="e">
        <f t="shared" si="41"/>
        <v>#N/A</v>
      </c>
    </row>
    <row r="96" spans="1:35" x14ac:dyDescent="0.2">
      <c r="A96">
        <v>95</v>
      </c>
      <c r="B96">
        <v>43</v>
      </c>
      <c r="C96" t="s">
        <v>15</v>
      </c>
      <c r="D96">
        <v>13</v>
      </c>
      <c r="E96">
        <v>55.6</v>
      </c>
      <c r="F96" t="s">
        <v>18</v>
      </c>
      <c r="G96" t="s">
        <v>22</v>
      </c>
      <c r="H96">
        <v>3</v>
      </c>
      <c r="I96">
        <v>45.7</v>
      </c>
      <c r="J96">
        <v>7</v>
      </c>
      <c r="K96">
        <v>670.64</v>
      </c>
      <c r="L96">
        <v>0</v>
      </c>
      <c r="M96" t="s">
        <v>133</v>
      </c>
      <c r="N96" t="str">
        <f t="shared" si="21"/>
        <v>12-24</v>
      </c>
      <c r="O96" t="str">
        <f t="shared" si="22"/>
        <v>30-60</v>
      </c>
      <c r="P96" t="str">
        <f t="shared" si="23"/>
        <v>7-10</v>
      </c>
      <c r="Q96" t="str">
        <f t="shared" si="24"/>
        <v>40-80</v>
      </c>
      <c r="R96" t="str">
        <f t="shared" si="25"/>
        <v>ContractType|1-Year</v>
      </c>
      <c r="S96" t="str">
        <f t="shared" si="26"/>
        <v>Tenure_Bin|12-24</v>
      </c>
      <c r="T96" t="str">
        <f t="shared" si="27"/>
        <v>Satis_Bin|7-10</v>
      </c>
      <c r="U96" t="str">
        <f t="shared" si="28"/>
        <v>Monthly_Bin|30-60</v>
      </c>
      <c r="V96" t="str">
        <f t="shared" si="29"/>
        <v>Usage_Bin|40-80</v>
      </c>
      <c r="W96">
        <f t="shared" si="30"/>
        <v>1</v>
      </c>
      <c r="X96">
        <f t="shared" si="31"/>
        <v>1</v>
      </c>
      <c r="Y96">
        <f t="shared" si="32"/>
        <v>0</v>
      </c>
      <c r="Z96">
        <f t="shared" si="33"/>
        <v>0</v>
      </c>
      <c r="AA96">
        <f t="shared" si="34"/>
        <v>0</v>
      </c>
      <c r="AB96" s="51">
        <f t="shared" si="35"/>
        <v>2</v>
      </c>
      <c r="AC96" t="str">
        <f t="shared" si="36"/>
        <v>Low</v>
      </c>
      <c r="AD96" t="str">
        <f t="shared" si="37"/>
        <v>No</v>
      </c>
      <c r="AE96">
        <f t="shared" si="38"/>
        <v>0</v>
      </c>
      <c r="AF96">
        <f xml:space="preserve">
_xlfn.XLOOKUP(AB96, '3.3 Calibration'!$A$2:$A$14, '3.3 Calibration'!$F$2:$F$14,
        '3.3 Calibration'!$D$2, 1)</f>
        <v>0.6</v>
      </c>
      <c r="AG96" t="str">
        <f t="shared" si="39"/>
        <v>Yes</v>
      </c>
      <c r="AH96" t="str">
        <f t="shared" si="40"/>
        <v>High</v>
      </c>
      <c r="AI96" t="str">
        <f t="shared" si="41"/>
        <v>12-24</v>
      </c>
    </row>
    <row r="97" spans="1:35" x14ac:dyDescent="0.2">
      <c r="A97">
        <v>96</v>
      </c>
      <c r="B97">
        <v>42</v>
      </c>
      <c r="C97" t="s">
        <v>15</v>
      </c>
      <c r="D97">
        <v>12</v>
      </c>
      <c r="E97">
        <v>109.42</v>
      </c>
      <c r="F97" t="s">
        <v>20</v>
      </c>
      <c r="G97" t="s">
        <v>22</v>
      </c>
      <c r="H97">
        <v>0</v>
      </c>
      <c r="I97">
        <v>85.3</v>
      </c>
      <c r="J97">
        <v>1</v>
      </c>
      <c r="K97">
        <v>1298.3499999999999</v>
      </c>
      <c r="L97">
        <v>1</v>
      </c>
      <c r="M97" t="s">
        <v>134</v>
      </c>
      <c r="N97" t="str">
        <f t="shared" si="21"/>
        <v>12-24</v>
      </c>
      <c r="O97" t="str">
        <f t="shared" si="22"/>
        <v>&gt;=90</v>
      </c>
      <c r="P97" t="str">
        <f t="shared" si="23"/>
        <v>1-3</v>
      </c>
      <c r="Q97" t="str">
        <f t="shared" si="24"/>
        <v>&gt;=80</v>
      </c>
      <c r="R97" t="str">
        <f t="shared" si="25"/>
        <v>ContractType|Month-to-Month</v>
      </c>
      <c r="S97" t="str">
        <f t="shared" si="26"/>
        <v>Tenure_Bin|12-24</v>
      </c>
      <c r="T97" t="str">
        <f t="shared" si="27"/>
        <v>Satis_Bin|1-3</v>
      </c>
      <c r="U97" t="str">
        <f t="shared" si="28"/>
        <v>Monthly_Bin|&gt;=90</v>
      </c>
      <c r="V97" t="str">
        <f t="shared" si="29"/>
        <v>Usage_Bin|&gt;=80</v>
      </c>
      <c r="W97">
        <f t="shared" si="30"/>
        <v>3</v>
      </c>
      <c r="X97">
        <f t="shared" si="31"/>
        <v>1</v>
      </c>
      <c r="Y97">
        <f t="shared" si="32"/>
        <v>4</v>
      </c>
      <c r="Z97">
        <f t="shared" si="33"/>
        <v>2</v>
      </c>
      <c r="AA97">
        <f t="shared" si="34"/>
        <v>0</v>
      </c>
      <c r="AB97" s="51">
        <f t="shared" si="35"/>
        <v>10</v>
      </c>
      <c r="AC97" t="str">
        <f t="shared" si="36"/>
        <v>High</v>
      </c>
      <c r="AD97" t="str">
        <f t="shared" si="37"/>
        <v>No</v>
      </c>
      <c r="AE97">
        <f t="shared" si="38"/>
        <v>0</v>
      </c>
      <c r="AF97">
        <f xml:space="preserve">
_xlfn.XLOOKUP(AB97, '3.3 Calibration'!$A$2:$A$14, '3.3 Calibration'!$F$2:$F$14,
        '3.3 Calibration'!$D$2, 1)</f>
        <v>0.5</v>
      </c>
      <c r="AG97" t="str">
        <f t="shared" si="39"/>
        <v>Yes</v>
      </c>
      <c r="AH97" t="str">
        <f t="shared" si="40"/>
        <v>Medium</v>
      </c>
      <c r="AI97" t="e">
        <f t="shared" si="41"/>
        <v>#N/A</v>
      </c>
    </row>
    <row r="98" spans="1:35" x14ac:dyDescent="0.2">
      <c r="A98">
        <v>97</v>
      </c>
      <c r="B98">
        <v>62</v>
      </c>
      <c r="C98" t="s">
        <v>15</v>
      </c>
      <c r="D98">
        <v>46</v>
      </c>
      <c r="E98">
        <v>32.869999999999997</v>
      </c>
      <c r="F98" t="s">
        <v>18</v>
      </c>
      <c r="G98" t="s">
        <v>23</v>
      </c>
      <c r="H98">
        <v>6</v>
      </c>
      <c r="I98">
        <v>30.5</v>
      </c>
      <c r="J98">
        <v>3</v>
      </c>
      <c r="K98">
        <v>1550.19</v>
      </c>
      <c r="L98">
        <v>1</v>
      </c>
      <c r="M98" t="s">
        <v>134</v>
      </c>
      <c r="N98" t="str">
        <f t="shared" si="21"/>
        <v>&gt;=24</v>
      </c>
      <c r="O98" t="str">
        <f t="shared" si="22"/>
        <v>30-60</v>
      </c>
      <c r="P98" t="str">
        <f t="shared" si="23"/>
        <v>1-3</v>
      </c>
      <c r="Q98" t="str">
        <f t="shared" si="24"/>
        <v>20-40</v>
      </c>
      <c r="R98" t="str">
        <f t="shared" si="25"/>
        <v>ContractType|1-Year</v>
      </c>
      <c r="S98" t="str">
        <f t="shared" si="26"/>
        <v>Tenure_Bin|&gt;=24</v>
      </c>
      <c r="T98" t="str">
        <f t="shared" si="27"/>
        <v>Satis_Bin|1-3</v>
      </c>
      <c r="U98" t="str">
        <f t="shared" si="28"/>
        <v>Monthly_Bin|30-60</v>
      </c>
      <c r="V98" t="str">
        <f t="shared" si="29"/>
        <v>Usage_Bin|20-40</v>
      </c>
      <c r="W98">
        <f t="shared" si="30"/>
        <v>1</v>
      </c>
      <c r="X98">
        <f t="shared" si="31"/>
        <v>0</v>
      </c>
      <c r="Y98">
        <f t="shared" si="32"/>
        <v>4</v>
      </c>
      <c r="Z98">
        <f t="shared" si="33"/>
        <v>0</v>
      </c>
      <c r="AA98">
        <f t="shared" si="34"/>
        <v>1</v>
      </c>
      <c r="AB98" s="51">
        <f t="shared" si="35"/>
        <v>6</v>
      </c>
      <c r="AC98" t="str">
        <f t="shared" si="36"/>
        <v>Medium</v>
      </c>
      <c r="AD98" t="str">
        <f t="shared" si="37"/>
        <v>No</v>
      </c>
      <c r="AE98">
        <f t="shared" si="38"/>
        <v>0</v>
      </c>
      <c r="AF98">
        <f xml:space="preserve">
_xlfn.XLOOKUP(AB98, '3.3 Calibration'!$A$2:$A$14, '3.3 Calibration'!$F$2:$F$14,
        '3.3 Calibration'!$D$2, 1)</f>
        <v>0.33333333333333331</v>
      </c>
      <c r="AG98" t="str">
        <f t="shared" si="39"/>
        <v>No</v>
      </c>
      <c r="AH98" t="str">
        <f t="shared" si="40"/>
        <v>Low</v>
      </c>
      <c r="AI98" t="e">
        <f t="shared" si="41"/>
        <v>#N/A</v>
      </c>
    </row>
    <row r="99" spans="1:35" x14ac:dyDescent="0.2">
      <c r="A99">
        <v>98</v>
      </c>
      <c r="B99">
        <v>58</v>
      </c>
      <c r="C99" t="s">
        <v>15</v>
      </c>
      <c r="D99">
        <v>2</v>
      </c>
      <c r="E99">
        <v>53.01</v>
      </c>
      <c r="F99" t="s">
        <v>20</v>
      </c>
      <c r="G99" t="s">
        <v>23</v>
      </c>
      <c r="H99">
        <v>1</v>
      </c>
      <c r="I99">
        <v>19.899999999999999</v>
      </c>
      <c r="J99">
        <v>2</v>
      </c>
      <c r="K99">
        <v>105.78</v>
      </c>
      <c r="L99">
        <v>1</v>
      </c>
      <c r="M99" t="s">
        <v>134</v>
      </c>
      <c r="N99" t="str">
        <f t="shared" si="21"/>
        <v>&lt;6</v>
      </c>
      <c r="O99" t="str">
        <f t="shared" si="22"/>
        <v>30-60</v>
      </c>
      <c r="P99" t="str">
        <f t="shared" si="23"/>
        <v>1-3</v>
      </c>
      <c r="Q99" t="str">
        <f t="shared" si="24"/>
        <v>&lt;20</v>
      </c>
      <c r="R99" t="str">
        <f t="shared" si="25"/>
        <v>ContractType|Month-to-Month</v>
      </c>
      <c r="S99" t="str">
        <f t="shared" si="26"/>
        <v>Tenure_Bin|&lt;6</v>
      </c>
      <c r="T99" t="str">
        <f t="shared" si="27"/>
        <v>Satis_Bin|1-3</v>
      </c>
      <c r="U99" t="str">
        <f t="shared" si="28"/>
        <v>Monthly_Bin|30-60</v>
      </c>
      <c r="V99" t="str">
        <f t="shared" si="29"/>
        <v>Usage_Bin|&lt;20</v>
      </c>
      <c r="W99">
        <f t="shared" si="30"/>
        <v>3</v>
      </c>
      <c r="X99">
        <f t="shared" si="31"/>
        <v>3</v>
      </c>
      <c r="Y99">
        <f t="shared" si="32"/>
        <v>4</v>
      </c>
      <c r="Z99">
        <f t="shared" si="33"/>
        <v>0</v>
      </c>
      <c r="AA99">
        <f t="shared" si="34"/>
        <v>2</v>
      </c>
      <c r="AB99" s="51">
        <f t="shared" si="35"/>
        <v>12</v>
      </c>
      <c r="AC99" t="str">
        <f t="shared" si="36"/>
        <v>High</v>
      </c>
      <c r="AD99" t="str">
        <f t="shared" si="37"/>
        <v>No</v>
      </c>
      <c r="AE99">
        <f t="shared" si="38"/>
        <v>0</v>
      </c>
      <c r="AF99">
        <f xml:space="preserve">
_xlfn.XLOOKUP(AB99, '3.3 Calibration'!$A$2:$A$14, '3.3 Calibration'!$F$2:$F$14,
        '3.3 Calibration'!$D$2, 1)</f>
        <v>0.8</v>
      </c>
      <c r="AG99" t="str">
        <f t="shared" si="39"/>
        <v>Yes</v>
      </c>
      <c r="AH99" t="str">
        <f t="shared" si="40"/>
        <v>High</v>
      </c>
      <c r="AI99" t="str">
        <f t="shared" si="41"/>
        <v>&lt;6</v>
      </c>
    </row>
    <row r="100" spans="1:35" x14ac:dyDescent="0.2">
      <c r="A100">
        <v>99</v>
      </c>
      <c r="B100">
        <v>46</v>
      </c>
      <c r="C100" t="s">
        <v>15</v>
      </c>
      <c r="D100">
        <v>35</v>
      </c>
      <c r="E100">
        <v>52.16</v>
      </c>
      <c r="F100" t="s">
        <v>20</v>
      </c>
      <c r="G100" t="s">
        <v>23</v>
      </c>
      <c r="H100">
        <v>4</v>
      </c>
      <c r="I100">
        <v>86</v>
      </c>
      <c r="J100">
        <v>5</v>
      </c>
      <c r="K100">
        <v>1789.74</v>
      </c>
      <c r="L100">
        <v>1</v>
      </c>
      <c r="M100" t="s">
        <v>133</v>
      </c>
      <c r="N100" t="str">
        <f t="shared" si="21"/>
        <v>&gt;=24</v>
      </c>
      <c r="O100" t="str">
        <f t="shared" si="22"/>
        <v>30-60</v>
      </c>
      <c r="P100" t="str">
        <f t="shared" si="23"/>
        <v>4-6</v>
      </c>
      <c r="Q100" t="str">
        <f t="shared" si="24"/>
        <v>&gt;=80</v>
      </c>
      <c r="R100" t="str">
        <f t="shared" si="25"/>
        <v>ContractType|Month-to-Month</v>
      </c>
      <c r="S100" t="str">
        <f t="shared" si="26"/>
        <v>Tenure_Bin|&gt;=24</v>
      </c>
      <c r="T100" t="str">
        <f t="shared" si="27"/>
        <v>Satis_Bin|4-6</v>
      </c>
      <c r="U100" t="str">
        <f t="shared" si="28"/>
        <v>Monthly_Bin|30-60</v>
      </c>
      <c r="V100" t="str">
        <f t="shared" si="29"/>
        <v>Usage_Bin|&gt;=80</v>
      </c>
      <c r="W100">
        <f t="shared" si="30"/>
        <v>3</v>
      </c>
      <c r="X100">
        <f t="shared" si="31"/>
        <v>0</v>
      </c>
      <c r="Y100">
        <f t="shared" si="32"/>
        <v>2</v>
      </c>
      <c r="Z100">
        <f t="shared" si="33"/>
        <v>0</v>
      </c>
      <c r="AA100">
        <f t="shared" si="34"/>
        <v>0</v>
      </c>
      <c r="AB100" s="51">
        <f t="shared" si="35"/>
        <v>5</v>
      </c>
      <c r="AC100" t="str">
        <f t="shared" si="36"/>
        <v>Medium</v>
      </c>
      <c r="AD100" t="str">
        <f t="shared" si="37"/>
        <v>No</v>
      </c>
      <c r="AE100">
        <f t="shared" si="38"/>
        <v>0</v>
      </c>
      <c r="AF100">
        <f xml:space="preserve">
_xlfn.XLOOKUP(AB100, '3.3 Calibration'!$A$2:$A$14, '3.3 Calibration'!$F$2:$F$14,
        '3.3 Calibration'!$D$2, 1)</f>
        <v>0.33333333333333331</v>
      </c>
      <c r="AG100" t="str">
        <f t="shared" si="39"/>
        <v>No</v>
      </c>
      <c r="AH100" t="str">
        <f t="shared" si="40"/>
        <v>Low</v>
      </c>
      <c r="AI100" t="e">
        <f t="shared" si="41"/>
        <v>#N/A</v>
      </c>
    </row>
    <row r="101" spans="1:35" x14ac:dyDescent="0.2">
      <c r="A101">
        <v>100</v>
      </c>
      <c r="B101">
        <v>32</v>
      </c>
      <c r="C101" t="s">
        <v>15</v>
      </c>
      <c r="D101">
        <v>8</v>
      </c>
      <c r="E101">
        <v>29.23</v>
      </c>
      <c r="F101" t="s">
        <v>18</v>
      </c>
      <c r="G101" t="s">
        <v>23</v>
      </c>
      <c r="H101">
        <v>0</v>
      </c>
      <c r="I101">
        <v>9.4</v>
      </c>
      <c r="J101">
        <v>5</v>
      </c>
      <c r="K101">
        <v>256.94</v>
      </c>
      <c r="L101">
        <v>0</v>
      </c>
      <c r="M101" t="s">
        <v>133</v>
      </c>
      <c r="N101" t="str">
        <f t="shared" si="21"/>
        <v>6-12</v>
      </c>
      <c r="O101" t="str">
        <f t="shared" si="22"/>
        <v>&lt;30</v>
      </c>
      <c r="P101" t="str">
        <f t="shared" si="23"/>
        <v>4-6</v>
      </c>
      <c r="Q101" t="str">
        <f t="shared" si="24"/>
        <v>&lt;20</v>
      </c>
      <c r="R101" t="str">
        <f t="shared" si="25"/>
        <v>ContractType|1-Year</v>
      </c>
      <c r="S101" t="str">
        <f t="shared" si="26"/>
        <v>Tenure_Bin|6-12</v>
      </c>
      <c r="T101" t="str">
        <f t="shared" si="27"/>
        <v>Satis_Bin|4-6</v>
      </c>
      <c r="U101" t="str">
        <f t="shared" si="28"/>
        <v>Monthly_Bin|&lt;30</v>
      </c>
      <c r="V101" t="str">
        <f t="shared" si="29"/>
        <v>Usage_Bin|&lt;20</v>
      </c>
      <c r="W101">
        <f t="shared" si="30"/>
        <v>1</v>
      </c>
      <c r="X101">
        <f t="shared" si="31"/>
        <v>2</v>
      </c>
      <c r="Y101">
        <f t="shared" si="32"/>
        <v>2</v>
      </c>
      <c r="Z101">
        <f t="shared" si="33"/>
        <v>0</v>
      </c>
      <c r="AA101">
        <f t="shared" si="34"/>
        <v>2</v>
      </c>
      <c r="AB101" s="51">
        <f t="shared" si="35"/>
        <v>7</v>
      </c>
      <c r="AC101" t="str">
        <f t="shared" si="36"/>
        <v>High</v>
      </c>
      <c r="AD101" t="str">
        <f t="shared" si="37"/>
        <v>No</v>
      </c>
      <c r="AE101">
        <f t="shared" si="38"/>
        <v>0</v>
      </c>
      <c r="AF101">
        <f xml:space="preserve">
_xlfn.XLOOKUP(AB101, '3.3 Calibration'!$A$2:$A$14, '3.3 Calibration'!$F$2:$F$14,
        '3.3 Calibration'!$D$2, 1)</f>
        <v>0.54166666666666663</v>
      </c>
      <c r="AG101" t="str">
        <f t="shared" si="39"/>
        <v>Yes</v>
      </c>
      <c r="AH101" t="str">
        <f t="shared" si="40"/>
        <v>Medium</v>
      </c>
      <c r="AI101" t="e">
        <f t="shared" si="41"/>
        <v>#N/A</v>
      </c>
    </row>
    <row r="102" spans="1:35" x14ac:dyDescent="0.2">
      <c r="A102">
        <v>101</v>
      </c>
      <c r="B102">
        <v>62</v>
      </c>
      <c r="C102" t="s">
        <v>16</v>
      </c>
      <c r="D102">
        <v>26</v>
      </c>
      <c r="E102">
        <v>68.11</v>
      </c>
      <c r="F102" t="s">
        <v>20</v>
      </c>
      <c r="G102" t="s">
        <v>22</v>
      </c>
      <c r="H102">
        <v>1</v>
      </c>
      <c r="I102">
        <v>63.9</v>
      </c>
      <c r="J102">
        <v>5</v>
      </c>
      <c r="K102">
        <v>1905.56</v>
      </c>
      <c r="L102">
        <v>0</v>
      </c>
      <c r="M102" t="s">
        <v>133</v>
      </c>
      <c r="N102" t="str">
        <f t="shared" si="21"/>
        <v>&gt;=24</v>
      </c>
      <c r="O102" t="str">
        <f t="shared" si="22"/>
        <v>60-90</v>
      </c>
      <c r="P102" t="str">
        <f t="shared" si="23"/>
        <v>4-6</v>
      </c>
      <c r="Q102" t="str">
        <f t="shared" si="24"/>
        <v>40-80</v>
      </c>
      <c r="R102" t="str">
        <f t="shared" si="25"/>
        <v>ContractType|Month-to-Month</v>
      </c>
      <c r="S102" t="str">
        <f t="shared" si="26"/>
        <v>Tenure_Bin|&gt;=24</v>
      </c>
      <c r="T102" t="str">
        <f t="shared" si="27"/>
        <v>Satis_Bin|4-6</v>
      </c>
      <c r="U102" t="str">
        <f t="shared" si="28"/>
        <v>Monthly_Bin|60-90</v>
      </c>
      <c r="V102" t="str">
        <f t="shared" si="29"/>
        <v>Usage_Bin|40-80</v>
      </c>
      <c r="W102">
        <f t="shared" si="30"/>
        <v>3</v>
      </c>
      <c r="X102">
        <f t="shared" si="31"/>
        <v>0</v>
      </c>
      <c r="Y102">
        <f t="shared" si="32"/>
        <v>2</v>
      </c>
      <c r="Z102">
        <f t="shared" si="33"/>
        <v>1</v>
      </c>
      <c r="AA102">
        <f t="shared" si="34"/>
        <v>0</v>
      </c>
      <c r="AB102" s="51">
        <f t="shared" si="35"/>
        <v>6</v>
      </c>
      <c r="AC102" t="str">
        <f t="shared" si="36"/>
        <v>Medium</v>
      </c>
      <c r="AD102" t="str">
        <f t="shared" si="37"/>
        <v>No</v>
      </c>
      <c r="AE102">
        <f t="shared" si="38"/>
        <v>0</v>
      </c>
      <c r="AF102">
        <f xml:space="preserve">
_xlfn.XLOOKUP(AB102, '3.3 Calibration'!$A$2:$A$14, '3.3 Calibration'!$F$2:$F$14,
        '3.3 Calibration'!$D$2, 1)</f>
        <v>0.33333333333333331</v>
      </c>
      <c r="AG102" t="str">
        <f t="shared" si="39"/>
        <v>No</v>
      </c>
      <c r="AH102" t="str">
        <f t="shared" si="40"/>
        <v>Low</v>
      </c>
      <c r="AI102" t="e">
        <f t="shared" si="41"/>
        <v>#N/A</v>
      </c>
    </row>
    <row r="103" spans="1:35" x14ac:dyDescent="0.2">
      <c r="A103">
        <v>102</v>
      </c>
      <c r="B103">
        <v>18</v>
      </c>
      <c r="C103" t="s">
        <v>15</v>
      </c>
      <c r="D103">
        <v>34</v>
      </c>
      <c r="E103">
        <v>88.78</v>
      </c>
      <c r="F103" t="s">
        <v>20</v>
      </c>
      <c r="G103" t="s">
        <v>24</v>
      </c>
      <c r="H103">
        <v>6</v>
      </c>
      <c r="I103">
        <v>58.4</v>
      </c>
      <c r="J103">
        <v>4</v>
      </c>
      <c r="K103">
        <v>3093.02</v>
      </c>
      <c r="L103">
        <v>1</v>
      </c>
      <c r="M103" t="s">
        <v>134</v>
      </c>
      <c r="N103" t="str">
        <f t="shared" si="21"/>
        <v>&gt;=24</v>
      </c>
      <c r="O103" t="str">
        <f t="shared" si="22"/>
        <v>60-90</v>
      </c>
      <c r="P103" t="str">
        <f t="shared" si="23"/>
        <v>4-6</v>
      </c>
      <c r="Q103" t="str">
        <f t="shared" si="24"/>
        <v>40-80</v>
      </c>
      <c r="R103" t="str">
        <f t="shared" si="25"/>
        <v>ContractType|Month-to-Month</v>
      </c>
      <c r="S103" t="str">
        <f t="shared" si="26"/>
        <v>Tenure_Bin|&gt;=24</v>
      </c>
      <c r="T103" t="str">
        <f t="shared" si="27"/>
        <v>Satis_Bin|4-6</v>
      </c>
      <c r="U103" t="str">
        <f t="shared" si="28"/>
        <v>Monthly_Bin|60-90</v>
      </c>
      <c r="V103" t="str">
        <f t="shared" si="29"/>
        <v>Usage_Bin|40-80</v>
      </c>
      <c r="W103">
        <f t="shared" si="30"/>
        <v>3</v>
      </c>
      <c r="X103">
        <f t="shared" si="31"/>
        <v>0</v>
      </c>
      <c r="Y103">
        <f t="shared" si="32"/>
        <v>2</v>
      </c>
      <c r="Z103">
        <f t="shared" si="33"/>
        <v>1</v>
      </c>
      <c r="AA103">
        <f t="shared" si="34"/>
        <v>0</v>
      </c>
      <c r="AB103" s="51">
        <f t="shared" si="35"/>
        <v>6</v>
      </c>
      <c r="AC103" t="str">
        <f t="shared" si="36"/>
        <v>Medium</v>
      </c>
      <c r="AD103" t="str">
        <f t="shared" si="37"/>
        <v>No</v>
      </c>
      <c r="AE103">
        <f t="shared" si="38"/>
        <v>0</v>
      </c>
      <c r="AF103">
        <f xml:space="preserve">
_xlfn.XLOOKUP(AB103, '3.3 Calibration'!$A$2:$A$14, '3.3 Calibration'!$F$2:$F$14,
        '3.3 Calibration'!$D$2, 1)</f>
        <v>0.33333333333333331</v>
      </c>
      <c r="AG103" t="str">
        <f t="shared" si="39"/>
        <v>No</v>
      </c>
      <c r="AH103" t="str">
        <f t="shared" si="40"/>
        <v>Low</v>
      </c>
      <c r="AI103" t="e">
        <f t="shared" si="41"/>
        <v>#N/A</v>
      </c>
    </row>
    <row r="104" spans="1:35" x14ac:dyDescent="0.2">
      <c r="A104">
        <v>103</v>
      </c>
      <c r="B104">
        <v>42</v>
      </c>
      <c r="C104" t="s">
        <v>16</v>
      </c>
      <c r="D104">
        <v>7</v>
      </c>
      <c r="E104">
        <v>71.17</v>
      </c>
      <c r="F104" t="s">
        <v>20</v>
      </c>
      <c r="G104" t="s">
        <v>23</v>
      </c>
      <c r="H104">
        <v>2</v>
      </c>
      <c r="I104">
        <v>37.9</v>
      </c>
      <c r="J104">
        <v>5</v>
      </c>
      <c r="K104">
        <v>505.1</v>
      </c>
      <c r="L104">
        <v>1</v>
      </c>
      <c r="M104" t="s">
        <v>134</v>
      </c>
      <c r="N104" t="str">
        <f t="shared" si="21"/>
        <v>6-12</v>
      </c>
      <c r="O104" t="str">
        <f t="shared" si="22"/>
        <v>60-90</v>
      </c>
      <c r="P104" t="str">
        <f t="shared" si="23"/>
        <v>4-6</v>
      </c>
      <c r="Q104" t="str">
        <f t="shared" si="24"/>
        <v>20-40</v>
      </c>
      <c r="R104" t="str">
        <f t="shared" si="25"/>
        <v>ContractType|Month-to-Month</v>
      </c>
      <c r="S104" t="str">
        <f t="shared" si="26"/>
        <v>Tenure_Bin|6-12</v>
      </c>
      <c r="T104" t="str">
        <f t="shared" si="27"/>
        <v>Satis_Bin|4-6</v>
      </c>
      <c r="U104" t="str">
        <f t="shared" si="28"/>
        <v>Monthly_Bin|60-90</v>
      </c>
      <c r="V104" t="str">
        <f t="shared" si="29"/>
        <v>Usage_Bin|20-40</v>
      </c>
      <c r="W104">
        <f t="shared" si="30"/>
        <v>3</v>
      </c>
      <c r="X104">
        <f t="shared" si="31"/>
        <v>2</v>
      </c>
      <c r="Y104">
        <f t="shared" si="32"/>
        <v>2</v>
      </c>
      <c r="Z104">
        <f t="shared" si="33"/>
        <v>1</v>
      </c>
      <c r="AA104">
        <f t="shared" si="34"/>
        <v>1</v>
      </c>
      <c r="AB104" s="51">
        <f t="shared" si="35"/>
        <v>9</v>
      </c>
      <c r="AC104" t="str">
        <f t="shared" si="36"/>
        <v>High</v>
      </c>
      <c r="AD104" t="str">
        <f t="shared" si="37"/>
        <v>No</v>
      </c>
      <c r="AE104">
        <f t="shared" si="38"/>
        <v>0</v>
      </c>
      <c r="AF104">
        <f xml:space="preserve">
_xlfn.XLOOKUP(AB104, '3.3 Calibration'!$A$2:$A$14, '3.3 Calibration'!$F$2:$F$14,
        '3.3 Calibration'!$D$2, 1)</f>
        <v>0.54545454545454541</v>
      </c>
      <c r="AG104" t="str">
        <f t="shared" si="39"/>
        <v>Yes</v>
      </c>
      <c r="AH104" t="str">
        <f t="shared" si="40"/>
        <v>Medium</v>
      </c>
      <c r="AI104" t="e">
        <f t="shared" si="41"/>
        <v>#N/A</v>
      </c>
    </row>
    <row r="105" spans="1:35" x14ac:dyDescent="0.2">
      <c r="A105">
        <v>104</v>
      </c>
      <c r="B105">
        <v>24</v>
      </c>
      <c r="C105" t="s">
        <v>16</v>
      </c>
      <c r="D105">
        <v>68</v>
      </c>
      <c r="E105">
        <v>35.700000000000003</v>
      </c>
      <c r="F105" t="s">
        <v>20</v>
      </c>
      <c r="G105" t="s">
        <v>24</v>
      </c>
      <c r="H105">
        <v>2</v>
      </c>
      <c r="I105">
        <v>34.9</v>
      </c>
      <c r="J105">
        <v>3</v>
      </c>
      <c r="K105">
        <v>2486.1799999999998</v>
      </c>
      <c r="L105">
        <v>1</v>
      </c>
      <c r="M105" t="s">
        <v>133</v>
      </c>
      <c r="N105" t="str">
        <f t="shared" si="21"/>
        <v>&gt;=24</v>
      </c>
      <c r="O105" t="str">
        <f t="shared" si="22"/>
        <v>30-60</v>
      </c>
      <c r="P105" t="str">
        <f t="shared" si="23"/>
        <v>1-3</v>
      </c>
      <c r="Q105" t="str">
        <f t="shared" si="24"/>
        <v>20-40</v>
      </c>
      <c r="R105" t="str">
        <f t="shared" si="25"/>
        <v>ContractType|Month-to-Month</v>
      </c>
      <c r="S105" t="str">
        <f t="shared" si="26"/>
        <v>Tenure_Bin|&gt;=24</v>
      </c>
      <c r="T105" t="str">
        <f t="shared" si="27"/>
        <v>Satis_Bin|1-3</v>
      </c>
      <c r="U105" t="str">
        <f t="shared" si="28"/>
        <v>Monthly_Bin|30-60</v>
      </c>
      <c r="V105" t="str">
        <f t="shared" si="29"/>
        <v>Usage_Bin|20-40</v>
      </c>
      <c r="W105">
        <f t="shared" si="30"/>
        <v>3</v>
      </c>
      <c r="X105">
        <f t="shared" si="31"/>
        <v>0</v>
      </c>
      <c r="Y105">
        <f t="shared" si="32"/>
        <v>4</v>
      </c>
      <c r="Z105">
        <f t="shared" si="33"/>
        <v>0</v>
      </c>
      <c r="AA105">
        <f t="shared" si="34"/>
        <v>1</v>
      </c>
      <c r="AB105" s="51">
        <f t="shared" si="35"/>
        <v>8</v>
      </c>
      <c r="AC105" t="str">
        <f t="shared" si="36"/>
        <v>High</v>
      </c>
      <c r="AD105" t="str">
        <f t="shared" si="37"/>
        <v>No</v>
      </c>
      <c r="AE105">
        <f t="shared" si="38"/>
        <v>0</v>
      </c>
      <c r="AF105">
        <f xml:space="preserve">
_xlfn.XLOOKUP(AB105, '3.3 Calibration'!$A$2:$A$14, '3.3 Calibration'!$F$2:$F$14,
        '3.3 Calibration'!$D$2, 1)</f>
        <v>0.73684210526315785</v>
      </c>
      <c r="AG105" t="str">
        <f t="shared" si="39"/>
        <v>Yes</v>
      </c>
      <c r="AH105" t="str">
        <f t="shared" si="40"/>
        <v>High</v>
      </c>
      <c r="AI105" t="str">
        <f t="shared" si="41"/>
        <v>&gt;=24</v>
      </c>
    </row>
    <row r="106" spans="1:35" x14ac:dyDescent="0.2">
      <c r="A106">
        <v>105</v>
      </c>
      <c r="B106">
        <v>26</v>
      </c>
      <c r="C106" t="s">
        <v>15</v>
      </c>
      <c r="D106">
        <v>58</v>
      </c>
      <c r="E106">
        <v>57.73</v>
      </c>
      <c r="F106" t="s">
        <v>18</v>
      </c>
      <c r="G106" t="s">
        <v>23</v>
      </c>
      <c r="H106">
        <v>2</v>
      </c>
      <c r="I106">
        <v>78.3</v>
      </c>
      <c r="J106">
        <v>1</v>
      </c>
      <c r="K106">
        <v>3148.32</v>
      </c>
      <c r="L106">
        <v>1</v>
      </c>
      <c r="M106" t="s">
        <v>133</v>
      </c>
      <c r="N106" t="str">
        <f t="shared" si="21"/>
        <v>&gt;=24</v>
      </c>
      <c r="O106" t="str">
        <f t="shared" si="22"/>
        <v>30-60</v>
      </c>
      <c r="P106" t="str">
        <f t="shared" si="23"/>
        <v>1-3</v>
      </c>
      <c r="Q106" t="str">
        <f t="shared" si="24"/>
        <v>40-80</v>
      </c>
      <c r="R106" t="str">
        <f t="shared" si="25"/>
        <v>ContractType|1-Year</v>
      </c>
      <c r="S106" t="str">
        <f t="shared" si="26"/>
        <v>Tenure_Bin|&gt;=24</v>
      </c>
      <c r="T106" t="str">
        <f t="shared" si="27"/>
        <v>Satis_Bin|1-3</v>
      </c>
      <c r="U106" t="str">
        <f t="shared" si="28"/>
        <v>Monthly_Bin|30-60</v>
      </c>
      <c r="V106" t="str">
        <f t="shared" si="29"/>
        <v>Usage_Bin|40-80</v>
      </c>
      <c r="W106">
        <f t="shared" si="30"/>
        <v>1</v>
      </c>
      <c r="X106">
        <f t="shared" si="31"/>
        <v>0</v>
      </c>
      <c r="Y106">
        <f t="shared" si="32"/>
        <v>4</v>
      </c>
      <c r="Z106">
        <f t="shared" si="33"/>
        <v>0</v>
      </c>
      <c r="AA106">
        <f t="shared" si="34"/>
        <v>0</v>
      </c>
      <c r="AB106" s="51">
        <f t="shared" si="35"/>
        <v>5</v>
      </c>
      <c r="AC106" t="str">
        <f t="shared" si="36"/>
        <v>Medium</v>
      </c>
      <c r="AD106" t="str">
        <f t="shared" si="37"/>
        <v>No</v>
      </c>
      <c r="AE106">
        <f t="shared" si="38"/>
        <v>0</v>
      </c>
      <c r="AF106">
        <f xml:space="preserve">
_xlfn.XLOOKUP(AB106, '3.3 Calibration'!$A$2:$A$14, '3.3 Calibration'!$F$2:$F$14,
        '3.3 Calibration'!$D$2, 1)</f>
        <v>0.33333333333333331</v>
      </c>
      <c r="AG106" t="str">
        <f t="shared" si="39"/>
        <v>No</v>
      </c>
      <c r="AH106" t="str">
        <f t="shared" si="40"/>
        <v>Low</v>
      </c>
      <c r="AI106" t="e">
        <f t="shared" si="41"/>
        <v>#N/A</v>
      </c>
    </row>
    <row r="107" spans="1:35" x14ac:dyDescent="0.2">
      <c r="A107">
        <v>106</v>
      </c>
      <c r="B107">
        <v>41</v>
      </c>
      <c r="C107" t="s">
        <v>16</v>
      </c>
      <c r="D107">
        <v>29</v>
      </c>
      <c r="E107">
        <v>20.260000000000002</v>
      </c>
      <c r="F107" t="s">
        <v>20</v>
      </c>
      <c r="G107" t="s">
        <v>23</v>
      </c>
      <c r="H107">
        <v>3</v>
      </c>
      <c r="I107">
        <v>13.2</v>
      </c>
      <c r="J107">
        <v>5</v>
      </c>
      <c r="K107">
        <v>575.22</v>
      </c>
      <c r="L107">
        <v>0</v>
      </c>
      <c r="M107" t="s">
        <v>134</v>
      </c>
      <c r="N107" t="str">
        <f t="shared" si="21"/>
        <v>&gt;=24</v>
      </c>
      <c r="O107" t="str">
        <f t="shared" si="22"/>
        <v>&lt;30</v>
      </c>
      <c r="P107" t="str">
        <f t="shared" si="23"/>
        <v>4-6</v>
      </c>
      <c r="Q107" t="str">
        <f t="shared" si="24"/>
        <v>&lt;20</v>
      </c>
      <c r="R107" t="str">
        <f t="shared" si="25"/>
        <v>ContractType|Month-to-Month</v>
      </c>
      <c r="S107" t="str">
        <f t="shared" si="26"/>
        <v>Tenure_Bin|&gt;=24</v>
      </c>
      <c r="T107" t="str">
        <f t="shared" si="27"/>
        <v>Satis_Bin|4-6</v>
      </c>
      <c r="U107" t="str">
        <f t="shared" si="28"/>
        <v>Monthly_Bin|&lt;30</v>
      </c>
      <c r="V107" t="str">
        <f t="shared" si="29"/>
        <v>Usage_Bin|&lt;20</v>
      </c>
      <c r="W107">
        <f t="shared" si="30"/>
        <v>3</v>
      </c>
      <c r="X107">
        <f t="shared" si="31"/>
        <v>0</v>
      </c>
      <c r="Y107">
        <f t="shared" si="32"/>
        <v>2</v>
      </c>
      <c r="Z107">
        <f t="shared" si="33"/>
        <v>0</v>
      </c>
      <c r="AA107">
        <f t="shared" si="34"/>
        <v>2</v>
      </c>
      <c r="AB107" s="51">
        <f t="shared" si="35"/>
        <v>7</v>
      </c>
      <c r="AC107" t="str">
        <f t="shared" si="36"/>
        <v>High</v>
      </c>
      <c r="AD107" t="str">
        <f t="shared" si="37"/>
        <v>No</v>
      </c>
      <c r="AE107">
        <f t="shared" si="38"/>
        <v>0</v>
      </c>
      <c r="AF107">
        <f xml:space="preserve">
_xlfn.XLOOKUP(AB107, '3.3 Calibration'!$A$2:$A$14, '3.3 Calibration'!$F$2:$F$14,
        '3.3 Calibration'!$D$2, 1)</f>
        <v>0.54166666666666663</v>
      </c>
      <c r="AG107" t="str">
        <f t="shared" si="39"/>
        <v>Yes</v>
      </c>
      <c r="AH107" t="str">
        <f t="shared" si="40"/>
        <v>Medium</v>
      </c>
      <c r="AI107" t="e">
        <f t="shared" si="41"/>
        <v>#N/A</v>
      </c>
    </row>
    <row r="108" spans="1:35" x14ac:dyDescent="0.2">
      <c r="A108">
        <v>107</v>
      </c>
      <c r="B108">
        <v>18</v>
      </c>
      <c r="C108" t="s">
        <v>15</v>
      </c>
      <c r="D108">
        <v>36</v>
      </c>
      <c r="E108">
        <v>106.83</v>
      </c>
      <c r="F108" t="s">
        <v>20</v>
      </c>
      <c r="G108" t="s">
        <v>24</v>
      </c>
      <c r="H108">
        <v>0</v>
      </c>
      <c r="I108">
        <v>27.5</v>
      </c>
      <c r="J108">
        <v>9</v>
      </c>
      <c r="K108">
        <v>3491.64</v>
      </c>
      <c r="L108">
        <v>0</v>
      </c>
      <c r="M108" t="s">
        <v>134</v>
      </c>
      <c r="N108" t="str">
        <f t="shared" si="21"/>
        <v>&gt;=24</v>
      </c>
      <c r="O108" t="str">
        <f t="shared" si="22"/>
        <v>&gt;=90</v>
      </c>
      <c r="P108" t="str">
        <f t="shared" si="23"/>
        <v>7-10</v>
      </c>
      <c r="Q108" t="str">
        <f t="shared" si="24"/>
        <v>20-40</v>
      </c>
      <c r="R108" t="str">
        <f t="shared" si="25"/>
        <v>ContractType|Month-to-Month</v>
      </c>
      <c r="S108" t="str">
        <f t="shared" si="26"/>
        <v>Tenure_Bin|&gt;=24</v>
      </c>
      <c r="T108" t="str">
        <f t="shared" si="27"/>
        <v>Satis_Bin|7-10</v>
      </c>
      <c r="U108" t="str">
        <f t="shared" si="28"/>
        <v>Monthly_Bin|&gt;=90</v>
      </c>
      <c r="V108" t="str">
        <f t="shared" si="29"/>
        <v>Usage_Bin|20-40</v>
      </c>
      <c r="W108">
        <f t="shared" si="30"/>
        <v>3</v>
      </c>
      <c r="X108">
        <f t="shared" si="31"/>
        <v>0</v>
      </c>
      <c r="Y108">
        <f t="shared" si="32"/>
        <v>0</v>
      </c>
      <c r="Z108">
        <f t="shared" si="33"/>
        <v>2</v>
      </c>
      <c r="AA108">
        <f t="shared" si="34"/>
        <v>1</v>
      </c>
      <c r="AB108" s="51">
        <f t="shared" si="35"/>
        <v>6</v>
      </c>
      <c r="AC108" t="str">
        <f t="shared" si="36"/>
        <v>Medium</v>
      </c>
      <c r="AD108" t="str">
        <f t="shared" si="37"/>
        <v>No</v>
      </c>
      <c r="AE108">
        <f t="shared" si="38"/>
        <v>0</v>
      </c>
      <c r="AF108">
        <f xml:space="preserve">
_xlfn.XLOOKUP(AB108, '3.3 Calibration'!$A$2:$A$14, '3.3 Calibration'!$F$2:$F$14,
        '3.3 Calibration'!$D$2, 1)</f>
        <v>0.33333333333333331</v>
      </c>
      <c r="AG108" t="str">
        <f t="shared" si="39"/>
        <v>No</v>
      </c>
      <c r="AH108" t="str">
        <f t="shared" si="40"/>
        <v>Low</v>
      </c>
      <c r="AI108" t="e">
        <f t="shared" si="41"/>
        <v>#N/A</v>
      </c>
    </row>
    <row r="109" spans="1:35" x14ac:dyDescent="0.2">
      <c r="A109">
        <v>108</v>
      </c>
      <c r="B109">
        <v>61</v>
      </c>
      <c r="C109" t="s">
        <v>16</v>
      </c>
      <c r="D109">
        <v>21</v>
      </c>
      <c r="E109">
        <v>28.45</v>
      </c>
      <c r="F109" t="s">
        <v>20</v>
      </c>
      <c r="G109" t="s">
        <v>22</v>
      </c>
      <c r="H109">
        <v>1</v>
      </c>
      <c r="I109">
        <v>74.599999999999994</v>
      </c>
      <c r="J109">
        <v>9</v>
      </c>
      <c r="K109">
        <v>594.53</v>
      </c>
      <c r="L109">
        <v>0</v>
      </c>
      <c r="M109" t="s">
        <v>134</v>
      </c>
      <c r="N109" t="str">
        <f t="shared" si="21"/>
        <v>12-24</v>
      </c>
      <c r="O109" t="str">
        <f t="shared" si="22"/>
        <v>&lt;30</v>
      </c>
      <c r="P109" t="str">
        <f t="shared" si="23"/>
        <v>7-10</v>
      </c>
      <c r="Q109" t="str">
        <f t="shared" si="24"/>
        <v>40-80</v>
      </c>
      <c r="R109" t="str">
        <f t="shared" si="25"/>
        <v>ContractType|Month-to-Month</v>
      </c>
      <c r="S109" t="str">
        <f t="shared" si="26"/>
        <v>Tenure_Bin|12-24</v>
      </c>
      <c r="T109" t="str">
        <f t="shared" si="27"/>
        <v>Satis_Bin|7-10</v>
      </c>
      <c r="U109" t="str">
        <f t="shared" si="28"/>
        <v>Monthly_Bin|&lt;30</v>
      </c>
      <c r="V109" t="str">
        <f t="shared" si="29"/>
        <v>Usage_Bin|40-80</v>
      </c>
      <c r="W109">
        <f t="shared" si="30"/>
        <v>3</v>
      </c>
      <c r="X109">
        <f t="shared" si="31"/>
        <v>1</v>
      </c>
      <c r="Y109">
        <f t="shared" si="32"/>
        <v>0</v>
      </c>
      <c r="Z109">
        <f t="shared" si="33"/>
        <v>0</v>
      </c>
      <c r="AA109">
        <f t="shared" si="34"/>
        <v>0</v>
      </c>
      <c r="AB109" s="51">
        <f t="shared" si="35"/>
        <v>4</v>
      </c>
      <c r="AC109" t="str">
        <f t="shared" si="36"/>
        <v>Medium</v>
      </c>
      <c r="AD109" t="str">
        <f t="shared" si="37"/>
        <v>No</v>
      </c>
      <c r="AE109">
        <f t="shared" si="38"/>
        <v>0</v>
      </c>
      <c r="AF109">
        <f xml:space="preserve">
_xlfn.XLOOKUP(AB109, '3.3 Calibration'!$A$2:$A$14, '3.3 Calibration'!$F$2:$F$14,
        '3.3 Calibration'!$D$2, 1)</f>
        <v>0.40740740740740738</v>
      </c>
      <c r="AG109" t="str">
        <f t="shared" si="39"/>
        <v>No</v>
      </c>
      <c r="AH109" t="str">
        <f t="shared" si="40"/>
        <v>Medium</v>
      </c>
      <c r="AI109" t="e">
        <f t="shared" si="41"/>
        <v>#N/A</v>
      </c>
    </row>
    <row r="110" spans="1:35" x14ac:dyDescent="0.2">
      <c r="A110">
        <v>109</v>
      </c>
      <c r="B110">
        <v>25</v>
      </c>
      <c r="C110" t="s">
        <v>15</v>
      </c>
      <c r="D110">
        <v>36</v>
      </c>
      <c r="E110">
        <v>79.73</v>
      </c>
      <c r="F110" t="s">
        <v>18</v>
      </c>
      <c r="G110" t="s">
        <v>23</v>
      </c>
      <c r="H110">
        <v>3</v>
      </c>
      <c r="I110">
        <v>57.1</v>
      </c>
      <c r="J110">
        <v>4</v>
      </c>
      <c r="K110">
        <v>2894.98</v>
      </c>
      <c r="L110">
        <v>1</v>
      </c>
      <c r="M110" t="s">
        <v>134</v>
      </c>
      <c r="N110" t="str">
        <f t="shared" si="21"/>
        <v>&gt;=24</v>
      </c>
      <c r="O110" t="str">
        <f t="shared" si="22"/>
        <v>60-90</v>
      </c>
      <c r="P110" t="str">
        <f t="shared" si="23"/>
        <v>4-6</v>
      </c>
      <c r="Q110" t="str">
        <f t="shared" si="24"/>
        <v>40-80</v>
      </c>
      <c r="R110" t="str">
        <f t="shared" si="25"/>
        <v>ContractType|1-Year</v>
      </c>
      <c r="S110" t="str">
        <f t="shared" si="26"/>
        <v>Tenure_Bin|&gt;=24</v>
      </c>
      <c r="T110" t="str">
        <f t="shared" si="27"/>
        <v>Satis_Bin|4-6</v>
      </c>
      <c r="U110" t="str">
        <f t="shared" si="28"/>
        <v>Monthly_Bin|60-90</v>
      </c>
      <c r="V110" t="str">
        <f t="shared" si="29"/>
        <v>Usage_Bin|40-80</v>
      </c>
      <c r="W110">
        <f t="shared" si="30"/>
        <v>1</v>
      </c>
      <c r="X110">
        <f t="shared" si="31"/>
        <v>0</v>
      </c>
      <c r="Y110">
        <f t="shared" si="32"/>
        <v>2</v>
      </c>
      <c r="Z110">
        <f t="shared" si="33"/>
        <v>1</v>
      </c>
      <c r="AA110">
        <f t="shared" si="34"/>
        <v>0</v>
      </c>
      <c r="AB110" s="51">
        <f t="shared" si="35"/>
        <v>4</v>
      </c>
      <c r="AC110" t="str">
        <f t="shared" si="36"/>
        <v>Medium</v>
      </c>
      <c r="AD110" t="str">
        <f t="shared" si="37"/>
        <v>No</v>
      </c>
      <c r="AE110">
        <f t="shared" si="38"/>
        <v>0</v>
      </c>
      <c r="AF110">
        <f xml:space="preserve">
_xlfn.XLOOKUP(AB110, '3.3 Calibration'!$A$2:$A$14, '3.3 Calibration'!$F$2:$F$14,
        '3.3 Calibration'!$D$2, 1)</f>
        <v>0.40740740740740738</v>
      </c>
      <c r="AG110" t="str">
        <f t="shared" si="39"/>
        <v>No</v>
      </c>
      <c r="AH110" t="str">
        <f t="shared" si="40"/>
        <v>Medium</v>
      </c>
      <c r="AI110" t="e">
        <f t="shared" si="41"/>
        <v>#N/A</v>
      </c>
    </row>
    <row r="111" spans="1:35" x14ac:dyDescent="0.2">
      <c r="A111">
        <v>110</v>
      </c>
      <c r="B111">
        <v>41</v>
      </c>
      <c r="C111" t="s">
        <v>16</v>
      </c>
      <c r="D111">
        <v>10</v>
      </c>
      <c r="E111">
        <v>118.63</v>
      </c>
      <c r="F111" t="s">
        <v>20</v>
      </c>
      <c r="G111" t="s">
        <v>23</v>
      </c>
      <c r="H111">
        <v>4</v>
      </c>
      <c r="I111">
        <v>17.2</v>
      </c>
      <c r="J111">
        <v>3</v>
      </c>
      <c r="K111">
        <v>1121.71</v>
      </c>
      <c r="L111">
        <v>0</v>
      </c>
      <c r="M111" t="s">
        <v>134</v>
      </c>
      <c r="N111" t="str">
        <f t="shared" si="21"/>
        <v>6-12</v>
      </c>
      <c r="O111" t="str">
        <f t="shared" si="22"/>
        <v>&gt;=90</v>
      </c>
      <c r="P111" t="str">
        <f t="shared" si="23"/>
        <v>1-3</v>
      </c>
      <c r="Q111" t="str">
        <f t="shared" si="24"/>
        <v>&lt;20</v>
      </c>
      <c r="R111" t="str">
        <f t="shared" si="25"/>
        <v>ContractType|Month-to-Month</v>
      </c>
      <c r="S111" t="str">
        <f t="shared" si="26"/>
        <v>Tenure_Bin|6-12</v>
      </c>
      <c r="T111" t="str">
        <f t="shared" si="27"/>
        <v>Satis_Bin|1-3</v>
      </c>
      <c r="U111" t="str">
        <f t="shared" si="28"/>
        <v>Monthly_Bin|&gt;=90</v>
      </c>
      <c r="V111" t="str">
        <f t="shared" si="29"/>
        <v>Usage_Bin|&lt;20</v>
      </c>
      <c r="W111">
        <f t="shared" si="30"/>
        <v>3</v>
      </c>
      <c r="X111">
        <f t="shared" si="31"/>
        <v>2</v>
      </c>
      <c r="Y111">
        <f t="shared" si="32"/>
        <v>4</v>
      </c>
      <c r="Z111">
        <f t="shared" si="33"/>
        <v>2</v>
      </c>
      <c r="AA111">
        <f t="shared" si="34"/>
        <v>2</v>
      </c>
      <c r="AB111" s="51">
        <f t="shared" si="35"/>
        <v>13</v>
      </c>
      <c r="AC111" t="str">
        <f t="shared" si="36"/>
        <v>High</v>
      </c>
      <c r="AD111" t="str">
        <f t="shared" si="37"/>
        <v>Yes</v>
      </c>
      <c r="AE111">
        <f t="shared" si="38"/>
        <v>1</v>
      </c>
      <c r="AF111">
        <f xml:space="preserve">
_xlfn.XLOOKUP(AB111, '3.3 Calibration'!$A$2:$A$14, '3.3 Calibration'!$F$2:$F$14,
        '3.3 Calibration'!$D$2, 1)</f>
        <v>0.5</v>
      </c>
      <c r="AG111" t="str">
        <f t="shared" si="39"/>
        <v>Yes</v>
      </c>
      <c r="AH111" t="str">
        <f t="shared" si="40"/>
        <v>Medium</v>
      </c>
      <c r="AI111" t="e">
        <f t="shared" si="41"/>
        <v>#N/A</v>
      </c>
    </row>
    <row r="112" spans="1:35" x14ac:dyDescent="0.2">
      <c r="A112">
        <v>111</v>
      </c>
      <c r="B112">
        <v>28</v>
      </c>
      <c r="C112" t="s">
        <v>15</v>
      </c>
      <c r="D112">
        <v>24</v>
      </c>
      <c r="E112">
        <v>73.66</v>
      </c>
      <c r="F112" t="s">
        <v>19</v>
      </c>
      <c r="G112" t="s">
        <v>23</v>
      </c>
      <c r="H112">
        <v>1</v>
      </c>
      <c r="I112">
        <v>88.8</v>
      </c>
      <c r="J112">
        <v>1</v>
      </c>
      <c r="K112">
        <v>1931.91</v>
      </c>
      <c r="L112">
        <v>0</v>
      </c>
      <c r="M112" t="s">
        <v>134</v>
      </c>
      <c r="N112" t="str">
        <f t="shared" si="21"/>
        <v>&gt;=24</v>
      </c>
      <c r="O112" t="str">
        <f t="shared" si="22"/>
        <v>60-90</v>
      </c>
      <c r="P112" t="str">
        <f t="shared" si="23"/>
        <v>1-3</v>
      </c>
      <c r="Q112" t="str">
        <f t="shared" si="24"/>
        <v>&gt;=80</v>
      </c>
      <c r="R112" t="str">
        <f t="shared" si="25"/>
        <v>ContractType|2-Year</v>
      </c>
      <c r="S112" t="str">
        <f t="shared" si="26"/>
        <v>Tenure_Bin|&gt;=24</v>
      </c>
      <c r="T112" t="str">
        <f t="shared" si="27"/>
        <v>Satis_Bin|1-3</v>
      </c>
      <c r="U112" t="str">
        <f t="shared" si="28"/>
        <v>Monthly_Bin|60-90</v>
      </c>
      <c r="V112" t="str">
        <f t="shared" si="29"/>
        <v>Usage_Bin|&gt;=80</v>
      </c>
      <c r="W112">
        <f t="shared" si="30"/>
        <v>0</v>
      </c>
      <c r="X112">
        <f t="shared" si="31"/>
        <v>0</v>
      </c>
      <c r="Y112">
        <f t="shared" si="32"/>
        <v>4</v>
      </c>
      <c r="Z112">
        <f t="shared" si="33"/>
        <v>1</v>
      </c>
      <c r="AA112">
        <f t="shared" si="34"/>
        <v>0</v>
      </c>
      <c r="AB112" s="51">
        <f t="shared" si="35"/>
        <v>5</v>
      </c>
      <c r="AC112" t="str">
        <f t="shared" si="36"/>
        <v>Medium</v>
      </c>
      <c r="AD112" t="str">
        <f t="shared" si="37"/>
        <v>No</v>
      </c>
      <c r="AE112">
        <f t="shared" si="38"/>
        <v>0</v>
      </c>
      <c r="AF112">
        <f xml:space="preserve">
_xlfn.XLOOKUP(AB112, '3.3 Calibration'!$A$2:$A$14, '3.3 Calibration'!$F$2:$F$14,
        '3.3 Calibration'!$D$2, 1)</f>
        <v>0.33333333333333331</v>
      </c>
      <c r="AG112" t="str">
        <f t="shared" si="39"/>
        <v>No</v>
      </c>
      <c r="AH112" t="str">
        <f t="shared" si="40"/>
        <v>Low</v>
      </c>
      <c r="AI112" t="e">
        <f t="shared" si="41"/>
        <v>#N/A</v>
      </c>
    </row>
    <row r="113" spans="1:35" x14ac:dyDescent="0.2">
      <c r="A113">
        <v>112</v>
      </c>
      <c r="B113">
        <v>68</v>
      </c>
      <c r="C113" t="s">
        <v>15</v>
      </c>
      <c r="D113">
        <v>64</v>
      </c>
      <c r="E113">
        <v>112.4</v>
      </c>
      <c r="F113" t="s">
        <v>20</v>
      </c>
      <c r="G113" t="s">
        <v>24</v>
      </c>
      <c r="H113">
        <v>1</v>
      </c>
      <c r="I113">
        <v>42.4</v>
      </c>
      <c r="J113">
        <v>2</v>
      </c>
      <c r="K113">
        <v>7782.69</v>
      </c>
      <c r="L113">
        <v>0</v>
      </c>
      <c r="M113" t="s">
        <v>133</v>
      </c>
      <c r="N113" t="str">
        <f t="shared" si="21"/>
        <v>&gt;=24</v>
      </c>
      <c r="O113" t="str">
        <f t="shared" si="22"/>
        <v>&gt;=90</v>
      </c>
      <c r="P113" t="str">
        <f t="shared" si="23"/>
        <v>1-3</v>
      </c>
      <c r="Q113" t="str">
        <f t="shared" si="24"/>
        <v>40-80</v>
      </c>
      <c r="R113" t="str">
        <f t="shared" si="25"/>
        <v>ContractType|Month-to-Month</v>
      </c>
      <c r="S113" t="str">
        <f t="shared" si="26"/>
        <v>Tenure_Bin|&gt;=24</v>
      </c>
      <c r="T113" t="str">
        <f t="shared" si="27"/>
        <v>Satis_Bin|1-3</v>
      </c>
      <c r="U113" t="str">
        <f t="shared" si="28"/>
        <v>Monthly_Bin|&gt;=90</v>
      </c>
      <c r="V113" t="str">
        <f t="shared" si="29"/>
        <v>Usage_Bin|40-80</v>
      </c>
      <c r="W113">
        <f t="shared" si="30"/>
        <v>3</v>
      </c>
      <c r="X113">
        <f t="shared" si="31"/>
        <v>0</v>
      </c>
      <c r="Y113">
        <f t="shared" si="32"/>
        <v>4</v>
      </c>
      <c r="Z113">
        <f t="shared" si="33"/>
        <v>2</v>
      </c>
      <c r="AA113">
        <f t="shared" si="34"/>
        <v>0</v>
      </c>
      <c r="AB113" s="51">
        <f t="shared" si="35"/>
        <v>9</v>
      </c>
      <c r="AC113" t="str">
        <f t="shared" si="36"/>
        <v>High</v>
      </c>
      <c r="AD113" t="str">
        <f t="shared" si="37"/>
        <v>No</v>
      </c>
      <c r="AE113">
        <f t="shared" si="38"/>
        <v>0</v>
      </c>
      <c r="AF113">
        <f xml:space="preserve">
_xlfn.XLOOKUP(AB113, '3.3 Calibration'!$A$2:$A$14, '3.3 Calibration'!$F$2:$F$14,
        '3.3 Calibration'!$D$2, 1)</f>
        <v>0.54545454545454541</v>
      </c>
      <c r="AG113" t="str">
        <f t="shared" si="39"/>
        <v>Yes</v>
      </c>
      <c r="AH113" t="str">
        <f t="shared" si="40"/>
        <v>Medium</v>
      </c>
      <c r="AI113" t="e">
        <f t="shared" si="41"/>
        <v>#N/A</v>
      </c>
    </row>
    <row r="114" spans="1:35" x14ac:dyDescent="0.2">
      <c r="A114">
        <v>113</v>
      </c>
      <c r="B114">
        <v>34</v>
      </c>
      <c r="C114" t="s">
        <v>15</v>
      </c>
      <c r="D114">
        <v>49</v>
      </c>
      <c r="E114">
        <v>43.61</v>
      </c>
      <c r="F114" t="s">
        <v>18</v>
      </c>
      <c r="G114" t="s">
        <v>22</v>
      </c>
      <c r="H114">
        <v>3</v>
      </c>
      <c r="I114">
        <v>83.6</v>
      </c>
      <c r="J114">
        <v>8</v>
      </c>
      <c r="K114">
        <v>2231.83</v>
      </c>
      <c r="L114">
        <v>0</v>
      </c>
      <c r="M114" t="s">
        <v>133</v>
      </c>
      <c r="N114" t="str">
        <f t="shared" si="21"/>
        <v>&gt;=24</v>
      </c>
      <c r="O114" t="str">
        <f t="shared" si="22"/>
        <v>30-60</v>
      </c>
      <c r="P114" t="str">
        <f t="shared" si="23"/>
        <v>7-10</v>
      </c>
      <c r="Q114" t="str">
        <f t="shared" si="24"/>
        <v>&gt;=80</v>
      </c>
      <c r="R114" t="str">
        <f t="shared" si="25"/>
        <v>ContractType|1-Year</v>
      </c>
      <c r="S114" t="str">
        <f t="shared" si="26"/>
        <v>Tenure_Bin|&gt;=24</v>
      </c>
      <c r="T114" t="str">
        <f t="shared" si="27"/>
        <v>Satis_Bin|7-10</v>
      </c>
      <c r="U114" t="str">
        <f t="shared" si="28"/>
        <v>Monthly_Bin|30-60</v>
      </c>
      <c r="V114" t="str">
        <f t="shared" si="29"/>
        <v>Usage_Bin|&gt;=80</v>
      </c>
      <c r="W114">
        <f t="shared" si="30"/>
        <v>1</v>
      </c>
      <c r="X114">
        <f t="shared" si="31"/>
        <v>0</v>
      </c>
      <c r="Y114">
        <f t="shared" si="32"/>
        <v>0</v>
      </c>
      <c r="Z114">
        <f t="shared" si="33"/>
        <v>0</v>
      </c>
      <c r="AA114">
        <f t="shared" si="34"/>
        <v>0</v>
      </c>
      <c r="AB114" s="51">
        <f t="shared" si="35"/>
        <v>1</v>
      </c>
      <c r="AC114" t="str">
        <f t="shared" si="36"/>
        <v>Low</v>
      </c>
      <c r="AD114" t="str">
        <f t="shared" si="37"/>
        <v>No</v>
      </c>
      <c r="AE114">
        <f t="shared" si="38"/>
        <v>0</v>
      </c>
      <c r="AF114">
        <f xml:space="preserve">
_xlfn.XLOOKUP(AB114, '3.3 Calibration'!$A$2:$A$14, '3.3 Calibration'!$F$2:$F$14,
        '3.3 Calibration'!$D$2, 1)</f>
        <v>0.25</v>
      </c>
      <c r="AG114" t="str">
        <f t="shared" si="39"/>
        <v>No</v>
      </c>
      <c r="AH114" t="str">
        <f t="shared" si="40"/>
        <v>Low</v>
      </c>
      <c r="AI114" t="e">
        <f t="shared" si="41"/>
        <v>#N/A</v>
      </c>
    </row>
    <row r="115" spans="1:35" x14ac:dyDescent="0.2">
      <c r="A115">
        <v>114</v>
      </c>
      <c r="B115">
        <v>25</v>
      </c>
      <c r="C115" t="s">
        <v>15</v>
      </c>
      <c r="D115">
        <v>36</v>
      </c>
      <c r="E115">
        <v>96</v>
      </c>
      <c r="F115" t="s">
        <v>19</v>
      </c>
      <c r="G115" t="s">
        <v>24</v>
      </c>
      <c r="H115">
        <v>4</v>
      </c>
      <c r="I115">
        <v>79.8</v>
      </c>
      <c r="J115">
        <v>1</v>
      </c>
      <c r="K115">
        <v>3479.08</v>
      </c>
      <c r="L115">
        <v>1</v>
      </c>
      <c r="M115" t="s">
        <v>133</v>
      </c>
      <c r="N115" t="str">
        <f t="shared" si="21"/>
        <v>&gt;=24</v>
      </c>
      <c r="O115" t="str">
        <f t="shared" si="22"/>
        <v>&gt;=90</v>
      </c>
      <c r="P115" t="str">
        <f t="shared" si="23"/>
        <v>1-3</v>
      </c>
      <c r="Q115" t="str">
        <f t="shared" si="24"/>
        <v>40-80</v>
      </c>
      <c r="R115" t="str">
        <f t="shared" si="25"/>
        <v>ContractType|2-Year</v>
      </c>
      <c r="S115" t="str">
        <f t="shared" si="26"/>
        <v>Tenure_Bin|&gt;=24</v>
      </c>
      <c r="T115" t="str">
        <f t="shared" si="27"/>
        <v>Satis_Bin|1-3</v>
      </c>
      <c r="U115" t="str">
        <f t="shared" si="28"/>
        <v>Monthly_Bin|&gt;=90</v>
      </c>
      <c r="V115" t="str">
        <f t="shared" si="29"/>
        <v>Usage_Bin|40-80</v>
      </c>
      <c r="W115">
        <f t="shared" si="30"/>
        <v>0</v>
      </c>
      <c r="X115">
        <f t="shared" si="31"/>
        <v>0</v>
      </c>
      <c r="Y115">
        <f t="shared" si="32"/>
        <v>4</v>
      </c>
      <c r="Z115">
        <f t="shared" si="33"/>
        <v>2</v>
      </c>
      <c r="AA115">
        <f t="shared" si="34"/>
        <v>0</v>
      </c>
      <c r="AB115" s="51">
        <f t="shared" si="35"/>
        <v>6</v>
      </c>
      <c r="AC115" t="str">
        <f t="shared" si="36"/>
        <v>Medium</v>
      </c>
      <c r="AD115" t="str">
        <f t="shared" si="37"/>
        <v>No</v>
      </c>
      <c r="AE115">
        <f t="shared" si="38"/>
        <v>0</v>
      </c>
      <c r="AF115">
        <f xml:space="preserve">
_xlfn.XLOOKUP(AB115, '3.3 Calibration'!$A$2:$A$14, '3.3 Calibration'!$F$2:$F$14,
        '3.3 Calibration'!$D$2, 1)</f>
        <v>0.33333333333333331</v>
      </c>
      <c r="AG115" t="str">
        <f t="shared" si="39"/>
        <v>No</v>
      </c>
      <c r="AH115" t="str">
        <f t="shared" si="40"/>
        <v>Low</v>
      </c>
      <c r="AI115" t="e">
        <f t="shared" si="41"/>
        <v>#N/A</v>
      </c>
    </row>
    <row r="116" spans="1:35" x14ac:dyDescent="0.2">
      <c r="A116">
        <v>115</v>
      </c>
      <c r="B116">
        <v>52</v>
      </c>
      <c r="C116" t="s">
        <v>15</v>
      </c>
      <c r="D116">
        <v>24</v>
      </c>
      <c r="E116">
        <v>73.13</v>
      </c>
      <c r="F116" t="s">
        <v>18</v>
      </c>
      <c r="G116" t="s">
        <v>24</v>
      </c>
      <c r="H116">
        <v>3</v>
      </c>
      <c r="I116">
        <v>64.3</v>
      </c>
      <c r="J116">
        <v>8</v>
      </c>
      <c r="K116">
        <v>1884.99</v>
      </c>
      <c r="L116">
        <v>0</v>
      </c>
      <c r="M116" t="s">
        <v>134</v>
      </c>
      <c r="N116" t="str">
        <f t="shared" si="21"/>
        <v>&gt;=24</v>
      </c>
      <c r="O116" t="str">
        <f t="shared" si="22"/>
        <v>60-90</v>
      </c>
      <c r="P116" t="str">
        <f t="shared" si="23"/>
        <v>7-10</v>
      </c>
      <c r="Q116" t="str">
        <f t="shared" si="24"/>
        <v>40-80</v>
      </c>
      <c r="R116" t="str">
        <f t="shared" si="25"/>
        <v>ContractType|1-Year</v>
      </c>
      <c r="S116" t="str">
        <f t="shared" si="26"/>
        <v>Tenure_Bin|&gt;=24</v>
      </c>
      <c r="T116" t="str">
        <f t="shared" si="27"/>
        <v>Satis_Bin|7-10</v>
      </c>
      <c r="U116" t="str">
        <f t="shared" si="28"/>
        <v>Monthly_Bin|60-90</v>
      </c>
      <c r="V116" t="str">
        <f t="shared" si="29"/>
        <v>Usage_Bin|40-80</v>
      </c>
      <c r="W116">
        <f t="shared" si="30"/>
        <v>1</v>
      </c>
      <c r="X116">
        <f t="shared" si="31"/>
        <v>0</v>
      </c>
      <c r="Y116">
        <f t="shared" si="32"/>
        <v>0</v>
      </c>
      <c r="Z116">
        <f t="shared" si="33"/>
        <v>1</v>
      </c>
      <c r="AA116">
        <f t="shared" si="34"/>
        <v>0</v>
      </c>
      <c r="AB116" s="51">
        <f t="shared" si="35"/>
        <v>2</v>
      </c>
      <c r="AC116" t="str">
        <f t="shared" si="36"/>
        <v>Low</v>
      </c>
      <c r="AD116" t="str">
        <f t="shared" si="37"/>
        <v>No</v>
      </c>
      <c r="AE116">
        <f t="shared" si="38"/>
        <v>0</v>
      </c>
      <c r="AF116">
        <f xml:space="preserve">
_xlfn.XLOOKUP(AB116, '3.3 Calibration'!$A$2:$A$14, '3.3 Calibration'!$F$2:$F$14,
        '3.3 Calibration'!$D$2, 1)</f>
        <v>0.6</v>
      </c>
      <c r="AG116" t="str">
        <f t="shared" si="39"/>
        <v>Yes</v>
      </c>
      <c r="AH116" t="str">
        <f t="shared" si="40"/>
        <v>High</v>
      </c>
      <c r="AI116" t="str">
        <f t="shared" si="41"/>
        <v>&gt;=24</v>
      </c>
    </row>
    <row r="117" spans="1:35" x14ac:dyDescent="0.2">
      <c r="A117">
        <v>116</v>
      </c>
      <c r="B117">
        <v>52</v>
      </c>
      <c r="C117" t="s">
        <v>16</v>
      </c>
      <c r="D117">
        <v>23</v>
      </c>
      <c r="E117">
        <v>92.05</v>
      </c>
      <c r="F117" t="s">
        <v>19</v>
      </c>
      <c r="G117" t="s">
        <v>22</v>
      </c>
      <c r="H117">
        <v>1</v>
      </c>
      <c r="I117">
        <v>52</v>
      </c>
      <c r="J117">
        <v>7</v>
      </c>
      <c r="K117">
        <v>1960.76</v>
      </c>
      <c r="L117">
        <v>1</v>
      </c>
      <c r="M117" t="s">
        <v>134</v>
      </c>
      <c r="N117" t="str">
        <f t="shared" si="21"/>
        <v>12-24</v>
      </c>
      <c r="O117" t="str">
        <f t="shared" si="22"/>
        <v>&gt;=90</v>
      </c>
      <c r="P117" t="str">
        <f t="shared" si="23"/>
        <v>7-10</v>
      </c>
      <c r="Q117" t="str">
        <f t="shared" si="24"/>
        <v>40-80</v>
      </c>
      <c r="R117" t="str">
        <f t="shared" si="25"/>
        <v>ContractType|2-Year</v>
      </c>
      <c r="S117" t="str">
        <f t="shared" si="26"/>
        <v>Tenure_Bin|12-24</v>
      </c>
      <c r="T117" t="str">
        <f t="shared" si="27"/>
        <v>Satis_Bin|7-10</v>
      </c>
      <c r="U117" t="str">
        <f t="shared" si="28"/>
        <v>Monthly_Bin|&gt;=90</v>
      </c>
      <c r="V117" t="str">
        <f t="shared" si="29"/>
        <v>Usage_Bin|40-80</v>
      </c>
      <c r="W117">
        <f t="shared" si="30"/>
        <v>0</v>
      </c>
      <c r="X117">
        <f t="shared" si="31"/>
        <v>1</v>
      </c>
      <c r="Y117">
        <f t="shared" si="32"/>
        <v>0</v>
      </c>
      <c r="Z117">
        <f t="shared" si="33"/>
        <v>2</v>
      </c>
      <c r="AA117">
        <f t="shared" si="34"/>
        <v>0</v>
      </c>
      <c r="AB117" s="51">
        <f t="shared" si="35"/>
        <v>3</v>
      </c>
      <c r="AC117" t="str">
        <f t="shared" si="36"/>
        <v>Low</v>
      </c>
      <c r="AD117" t="str">
        <f t="shared" si="37"/>
        <v>No</v>
      </c>
      <c r="AE117">
        <f t="shared" si="38"/>
        <v>0</v>
      </c>
      <c r="AF117">
        <f xml:space="preserve">
_xlfn.XLOOKUP(AB117, '3.3 Calibration'!$A$2:$A$14, '3.3 Calibration'!$F$2:$F$14,
        '3.3 Calibration'!$D$2, 1)</f>
        <v>0.42105263157894735</v>
      </c>
      <c r="AG117" t="str">
        <f t="shared" si="39"/>
        <v>No</v>
      </c>
      <c r="AH117" t="str">
        <f t="shared" si="40"/>
        <v>Medium</v>
      </c>
      <c r="AI117" t="e">
        <f t="shared" si="41"/>
        <v>#N/A</v>
      </c>
    </row>
    <row r="118" spans="1:35" x14ac:dyDescent="0.2">
      <c r="A118">
        <v>117</v>
      </c>
      <c r="B118">
        <v>50</v>
      </c>
      <c r="C118" t="s">
        <v>16</v>
      </c>
      <c r="D118">
        <v>62</v>
      </c>
      <c r="E118">
        <v>26.23</v>
      </c>
      <c r="F118" t="s">
        <v>20</v>
      </c>
      <c r="G118" t="s">
        <v>24</v>
      </c>
      <c r="H118">
        <v>1</v>
      </c>
      <c r="I118">
        <v>98.1</v>
      </c>
      <c r="J118">
        <v>8</v>
      </c>
      <c r="K118">
        <v>1720.75</v>
      </c>
      <c r="L118">
        <v>1</v>
      </c>
      <c r="M118" t="s">
        <v>134</v>
      </c>
      <c r="N118" t="str">
        <f t="shared" si="21"/>
        <v>&gt;=24</v>
      </c>
      <c r="O118" t="str">
        <f t="shared" si="22"/>
        <v>&lt;30</v>
      </c>
      <c r="P118" t="str">
        <f t="shared" si="23"/>
        <v>7-10</v>
      </c>
      <c r="Q118" t="str">
        <f t="shared" si="24"/>
        <v>&gt;=80</v>
      </c>
      <c r="R118" t="str">
        <f t="shared" si="25"/>
        <v>ContractType|Month-to-Month</v>
      </c>
      <c r="S118" t="str">
        <f t="shared" si="26"/>
        <v>Tenure_Bin|&gt;=24</v>
      </c>
      <c r="T118" t="str">
        <f t="shared" si="27"/>
        <v>Satis_Bin|7-10</v>
      </c>
      <c r="U118" t="str">
        <f t="shared" si="28"/>
        <v>Monthly_Bin|&lt;30</v>
      </c>
      <c r="V118" t="str">
        <f t="shared" si="29"/>
        <v>Usage_Bin|&gt;=80</v>
      </c>
      <c r="W118">
        <f t="shared" si="30"/>
        <v>3</v>
      </c>
      <c r="X118">
        <f t="shared" si="31"/>
        <v>0</v>
      </c>
      <c r="Y118">
        <f t="shared" si="32"/>
        <v>0</v>
      </c>
      <c r="Z118">
        <f t="shared" si="33"/>
        <v>0</v>
      </c>
      <c r="AA118">
        <f t="shared" si="34"/>
        <v>0</v>
      </c>
      <c r="AB118" s="51">
        <f t="shared" si="35"/>
        <v>3</v>
      </c>
      <c r="AC118" t="str">
        <f t="shared" si="36"/>
        <v>Low</v>
      </c>
      <c r="AD118" t="str">
        <f t="shared" si="37"/>
        <v>No</v>
      </c>
      <c r="AE118">
        <f t="shared" si="38"/>
        <v>0</v>
      </c>
      <c r="AF118">
        <f xml:space="preserve">
_xlfn.XLOOKUP(AB118, '3.3 Calibration'!$A$2:$A$14, '3.3 Calibration'!$F$2:$F$14,
        '3.3 Calibration'!$D$2, 1)</f>
        <v>0.42105263157894735</v>
      </c>
      <c r="AG118" t="str">
        <f t="shared" si="39"/>
        <v>No</v>
      </c>
      <c r="AH118" t="str">
        <f t="shared" si="40"/>
        <v>Medium</v>
      </c>
      <c r="AI118" t="e">
        <f t="shared" si="41"/>
        <v>#N/A</v>
      </c>
    </row>
    <row r="119" spans="1:35" x14ac:dyDescent="0.2">
      <c r="A119">
        <v>118</v>
      </c>
      <c r="B119">
        <v>22</v>
      </c>
      <c r="C119" t="s">
        <v>16</v>
      </c>
      <c r="D119">
        <v>37</v>
      </c>
      <c r="E119">
        <v>34.770000000000003</v>
      </c>
      <c r="F119" t="s">
        <v>20</v>
      </c>
      <c r="G119" t="s">
        <v>22</v>
      </c>
      <c r="H119">
        <v>4</v>
      </c>
      <c r="I119">
        <v>18.8</v>
      </c>
      <c r="J119">
        <v>6</v>
      </c>
      <c r="K119">
        <v>1189.96</v>
      </c>
      <c r="L119">
        <v>1</v>
      </c>
      <c r="M119" t="s">
        <v>133</v>
      </c>
      <c r="N119" t="str">
        <f t="shared" si="21"/>
        <v>&gt;=24</v>
      </c>
      <c r="O119" t="str">
        <f t="shared" si="22"/>
        <v>30-60</v>
      </c>
      <c r="P119" t="str">
        <f t="shared" si="23"/>
        <v>4-6</v>
      </c>
      <c r="Q119" t="str">
        <f t="shared" si="24"/>
        <v>&lt;20</v>
      </c>
      <c r="R119" t="str">
        <f t="shared" si="25"/>
        <v>ContractType|Month-to-Month</v>
      </c>
      <c r="S119" t="str">
        <f t="shared" si="26"/>
        <v>Tenure_Bin|&gt;=24</v>
      </c>
      <c r="T119" t="str">
        <f t="shared" si="27"/>
        <v>Satis_Bin|4-6</v>
      </c>
      <c r="U119" t="str">
        <f t="shared" si="28"/>
        <v>Monthly_Bin|30-60</v>
      </c>
      <c r="V119" t="str">
        <f t="shared" si="29"/>
        <v>Usage_Bin|&lt;20</v>
      </c>
      <c r="W119">
        <f t="shared" si="30"/>
        <v>3</v>
      </c>
      <c r="X119">
        <f t="shared" si="31"/>
        <v>0</v>
      </c>
      <c r="Y119">
        <f t="shared" si="32"/>
        <v>2</v>
      </c>
      <c r="Z119">
        <f t="shared" si="33"/>
        <v>0</v>
      </c>
      <c r="AA119">
        <f t="shared" si="34"/>
        <v>2</v>
      </c>
      <c r="AB119" s="51">
        <f t="shared" si="35"/>
        <v>7</v>
      </c>
      <c r="AC119" t="str">
        <f t="shared" si="36"/>
        <v>High</v>
      </c>
      <c r="AD119" t="str">
        <f t="shared" si="37"/>
        <v>No</v>
      </c>
      <c r="AE119">
        <f t="shared" si="38"/>
        <v>0</v>
      </c>
      <c r="AF119">
        <f xml:space="preserve">
_xlfn.XLOOKUP(AB119, '3.3 Calibration'!$A$2:$A$14, '3.3 Calibration'!$F$2:$F$14,
        '3.3 Calibration'!$D$2, 1)</f>
        <v>0.54166666666666663</v>
      </c>
      <c r="AG119" t="str">
        <f t="shared" si="39"/>
        <v>Yes</v>
      </c>
      <c r="AH119" t="str">
        <f t="shared" si="40"/>
        <v>Medium</v>
      </c>
      <c r="AI119" t="e">
        <f t="shared" si="41"/>
        <v>#N/A</v>
      </c>
    </row>
    <row r="120" spans="1:35" x14ac:dyDescent="0.2">
      <c r="A120">
        <v>119</v>
      </c>
      <c r="B120">
        <v>59</v>
      </c>
      <c r="C120" t="s">
        <v>15</v>
      </c>
      <c r="D120">
        <v>12</v>
      </c>
      <c r="E120">
        <v>33.31</v>
      </c>
      <c r="F120" t="s">
        <v>20</v>
      </c>
      <c r="G120" t="s">
        <v>23</v>
      </c>
      <c r="H120">
        <v>0</v>
      </c>
      <c r="I120">
        <v>73.900000000000006</v>
      </c>
      <c r="J120">
        <v>9</v>
      </c>
      <c r="K120">
        <v>423.24</v>
      </c>
      <c r="L120">
        <v>0</v>
      </c>
      <c r="M120" t="s">
        <v>133</v>
      </c>
      <c r="N120" t="str">
        <f t="shared" si="21"/>
        <v>12-24</v>
      </c>
      <c r="O120" t="str">
        <f t="shared" si="22"/>
        <v>30-60</v>
      </c>
      <c r="P120" t="str">
        <f t="shared" si="23"/>
        <v>7-10</v>
      </c>
      <c r="Q120" t="str">
        <f t="shared" si="24"/>
        <v>40-80</v>
      </c>
      <c r="R120" t="str">
        <f t="shared" si="25"/>
        <v>ContractType|Month-to-Month</v>
      </c>
      <c r="S120" t="str">
        <f t="shared" si="26"/>
        <v>Tenure_Bin|12-24</v>
      </c>
      <c r="T120" t="str">
        <f t="shared" si="27"/>
        <v>Satis_Bin|7-10</v>
      </c>
      <c r="U120" t="str">
        <f t="shared" si="28"/>
        <v>Monthly_Bin|30-60</v>
      </c>
      <c r="V120" t="str">
        <f t="shared" si="29"/>
        <v>Usage_Bin|40-80</v>
      </c>
      <c r="W120">
        <f t="shared" si="30"/>
        <v>3</v>
      </c>
      <c r="X120">
        <f t="shared" si="31"/>
        <v>1</v>
      </c>
      <c r="Y120">
        <f t="shared" si="32"/>
        <v>0</v>
      </c>
      <c r="Z120">
        <f t="shared" si="33"/>
        <v>0</v>
      </c>
      <c r="AA120">
        <f t="shared" si="34"/>
        <v>0</v>
      </c>
      <c r="AB120" s="51">
        <f t="shared" si="35"/>
        <v>4</v>
      </c>
      <c r="AC120" t="str">
        <f t="shared" si="36"/>
        <v>Medium</v>
      </c>
      <c r="AD120" t="str">
        <f t="shared" si="37"/>
        <v>No</v>
      </c>
      <c r="AE120">
        <f t="shared" si="38"/>
        <v>0</v>
      </c>
      <c r="AF120">
        <f xml:space="preserve">
_xlfn.XLOOKUP(AB120, '3.3 Calibration'!$A$2:$A$14, '3.3 Calibration'!$F$2:$F$14,
        '3.3 Calibration'!$D$2, 1)</f>
        <v>0.40740740740740738</v>
      </c>
      <c r="AG120" t="str">
        <f t="shared" si="39"/>
        <v>No</v>
      </c>
      <c r="AH120" t="str">
        <f t="shared" si="40"/>
        <v>Medium</v>
      </c>
      <c r="AI120" t="e">
        <f t="shared" si="41"/>
        <v>#N/A</v>
      </c>
    </row>
    <row r="121" spans="1:35" x14ac:dyDescent="0.2">
      <c r="A121">
        <v>120</v>
      </c>
      <c r="B121">
        <v>56</v>
      </c>
      <c r="C121" t="s">
        <v>16</v>
      </c>
      <c r="D121">
        <v>55</v>
      </c>
      <c r="E121">
        <v>88.72</v>
      </c>
      <c r="F121" t="s">
        <v>20</v>
      </c>
      <c r="G121" t="s">
        <v>22</v>
      </c>
      <c r="H121">
        <v>4</v>
      </c>
      <c r="I121">
        <v>23.2</v>
      </c>
      <c r="J121">
        <v>3</v>
      </c>
      <c r="K121">
        <v>4660.7700000000004</v>
      </c>
      <c r="L121">
        <v>0</v>
      </c>
      <c r="M121" t="s">
        <v>134</v>
      </c>
      <c r="N121" t="str">
        <f t="shared" si="21"/>
        <v>&gt;=24</v>
      </c>
      <c r="O121" t="str">
        <f t="shared" si="22"/>
        <v>60-90</v>
      </c>
      <c r="P121" t="str">
        <f t="shared" si="23"/>
        <v>1-3</v>
      </c>
      <c r="Q121" t="str">
        <f t="shared" si="24"/>
        <v>20-40</v>
      </c>
      <c r="R121" t="str">
        <f t="shared" si="25"/>
        <v>ContractType|Month-to-Month</v>
      </c>
      <c r="S121" t="str">
        <f t="shared" si="26"/>
        <v>Tenure_Bin|&gt;=24</v>
      </c>
      <c r="T121" t="str">
        <f t="shared" si="27"/>
        <v>Satis_Bin|1-3</v>
      </c>
      <c r="U121" t="str">
        <f t="shared" si="28"/>
        <v>Monthly_Bin|60-90</v>
      </c>
      <c r="V121" t="str">
        <f t="shared" si="29"/>
        <v>Usage_Bin|20-40</v>
      </c>
      <c r="W121">
        <f t="shared" si="30"/>
        <v>3</v>
      </c>
      <c r="X121">
        <f t="shared" si="31"/>
        <v>0</v>
      </c>
      <c r="Y121">
        <f t="shared" si="32"/>
        <v>4</v>
      </c>
      <c r="Z121">
        <f t="shared" si="33"/>
        <v>1</v>
      </c>
      <c r="AA121">
        <f t="shared" si="34"/>
        <v>1</v>
      </c>
      <c r="AB121" s="51">
        <f t="shared" si="35"/>
        <v>9</v>
      </c>
      <c r="AC121" t="str">
        <f t="shared" si="36"/>
        <v>High</v>
      </c>
      <c r="AD121" t="str">
        <f t="shared" si="37"/>
        <v>No</v>
      </c>
      <c r="AE121">
        <f t="shared" si="38"/>
        <v>0</v>
      </c>
      <c r="AF121">
        <f xml:space="preserve">
_xlfn.XLOOKUP(AB121, '3.3 Calibration'!$A$2:$A$14, '3.3 Calibration'!$F$2:$F$14,
        '3.3 Calibration'!$D$2, 1)</f>
        <v>0.54545454545454541</v>
      </c>
      <c r="AG121" t="str">
        <f t="shared" si="39"/>
        <v>Yes</v>
      </c>
      <c r="AH121" t="str">
        <f t="shared" si="40"/>
        <v>Medium</v>
      </c>
      <c r="AI121" t="e">
        <f t="shared" si="41"/>
        <v>#N/A</v>
      </c>
    </row>
    <row r="122" spans="1:35" x14ac:dyDescent="0.2">
      <c r="A122">
        <v>121</v>
      </c>
      <c r="B122">
        <v>58</v>
      </c>
      <c r="C122" t="s">
        <v>15</v>
      </c>
      <c r="D122">
        <v>13</v>
      </c>
      <c r="E122">
        <v>104.44</v>
      </c>
      <c r="F122" t="s">
        <v>20</v>
      </c>
      <c r="G122" t="s">
        <v>23</v>
      </c>
      <c r="H122">
        <v>0</v>
      </c>
      <c r="I122">
        <v>37.1</v>
      </c>
      <c r="J122">
        <v>10</v>
      </c>
      <c r="K122">
        <v>1460.12</v>
      </c>
      <c r="L122">
        <v>0</v>
      </c>
      <c r="M122" t="s">
        <v>134</v>
      </c>
      <c r="N122" t="str">
        <f t="shared" si="21"/>
        <v>12-24</v>
      </c>
      <c r="O122" t="str">
        <f t="shared" si="22"/>
        <v>&gt;=90</v>
      </c>
      <c r="P122" t="str">
        <f t="shared" si="23"/>
        <v>7-10</v>
      </c>
      <c r="Q122" t="str">
        <f t="shared" si="24"/>
        <v>20-40</v>
      </c>
      <c r="R122" t="str">
        <f t="shared" si="25"/>
        <v>ContractType|Month-to-Month</v>
      </c>
      <c r="S122" t="str">
        <f t="shared" si="26"/>
        <v>Tenure_Bin|12-24</v>
      </c>
      <c r="T122" t="str">
        <f t="shared" si="27"/>
        <v>Satis_Bin|7-10</v>
      </c>
      <c r="U122" t="str">
        <f t="shared" si="28"/>
        <v>Monthly_Bin|&gt;=90</v>
      </c>
      <c r="V122" t="str">
        <f t="shared" si="29"/>
        <v>Usage_Bin|20-40</v>
      </c>
      <c r="W122">
        <f t="shared" si="30"/>
        <v>3</v>
      </c>
      <c r="X122">
        <f t="shared" si="31"/>
        <v>1</v>
      </c>
      <c r="Y122">
        <f t="shared" si="32"/>
        <v>0</v>
      </c>
      <c r="Z122">
        <f t="shared" si="33"/>
        <v>2</v>
      </c>
      <c r="AA122">
        <f t="shared" si="34"/>
        <v>1</v>
      </c>
      <c r="AB122" s="51">
        <f t="shared" si="35"/>
        <v>7</v>
      </c>
      <c r="AC122" t="str">
        <f t="shared" si="36"/>
        <v>High</v>
      </c>
      <c r="AD122" t="str">
        <f t="shared" si="37"/>
        <v>No</v>
      </c>
      <c r="AE122">
        <f t="shared" si="38"/>
        <v>0</v>
      </c>
      <c r="AF122">
        <f xml:space="preserve">
_xlfn.XLOOKUP(AB122, '3.3 Calibration'!$A$2:$A$14, '3.3 Calibration'!$F$2:$F$14,
        '3.3 Calibration'!$D$2, 1)</f>
        <v>0.54166666666666663</v>
      </c>
      <c r="AG122" t="str">
        <f t="shared" si="39"/>
        <v>Yes</v>
      </c>
      <c r="AH122" t="str">
        <f t="shared" si="40"/>
        <v>Medium</v>
      </c>
      <c r="AI122" t="e">
        <f t="shared" si="41"/>
        <v>#N/A</v>
      </c>
    </row>
    <row r="123" spans="1:35" x14ac:dyDescent="0.2">
      <c r="A123">
        <v>122</v>
      </c>
      <c r="B123">
        <v>45</v>
      </c>
      <c r="C123" t="s">
        <v>15</v>
      </c>
      <c r="D123">
        <v>23</v>
      </c>
      <c r="E123">
        <v>94.96</v>
      </c>
      <c r="F123" t="s">
        <v>20</v>
      </c>
      <c r="G123" t="s">
        <v>24</v>
      </c>
      <c r="H123">
        <v>2</v>
      </c>
      <c r="I123">
        <v>34.299999999999997</v>
      </c>
      <c r="J123">
        <v>4</v>
      </c>
      <c r="K123">
        <v>2378.04</v>
      </c>
      <c r="L123">
        <v>1</v>
      </c>
      <c r="M123" t="s">
        <v>134</v>
      </c>
      <c r="N123" t="str">
        <f t="shared" si="21"/>
        <v>12-24</v>
      </c>
      <c r="O123" t="str">
        <f t="shared" si="22"/>
        <v>&gt;=90</v>
      </c>
      <c r="P123" t="str">
        <f t="shared" si="23"/>
        <v>4-6</v>
      </c>
      <c r="Q123" t="str">
        <f t="shared" si="24"/>
        <v>20-40</v>
      </c>
      <c r="R123" t="str">
        <f t="shared" si="25"/>
        <v>ContractType|Month-to-Month</v>
      </c>
      <c r="S123" t="str">
        <f t="shared" si="26"/>
        <v>Tenure_Bin|12-24</v>
      </c>
      <c r="T123" t="str">
        <f t="shared" si="27"/>
        <v>Satis_Bin|4-6</v>
      </c>
      <c r="U123" t="str">
        <f t="shared" si="28"/>
        <v>Monthly_Bin|&gt;=90</v>
      </c>
      <c r="V123" t="str">
        <f t="shared" si="29"/>
        <v>Usage_Bin|20-40</v>
      </c>
      <c r="W123">
        <f t="shared" si="30"/>
        <v>3</v>
      </c>
      <c r="X123">
        <f t="shared" si="31"/>
        <v>1</v>
      </c>
      <c r="Y123">
        <f t="shared" si="32"/>
        <v>2</v>
      </c>
      <c r="Z123">
        <f t="shared" si="33"/>
        <v>2</v>
      </c>
      <c r="AA123">
        <f t="shared" si="34"/>
        <v>1</v>
      </c>
      <c r="AB123" s="51">
        <f t="shared" si="35"/>
        <v>9</v>
      </c>
      <c r="AC123" t="str">
        <f t="shared" si="36"/>
        <v>High</v>
      </c>
      <c r="AD123" t="str">
        <f t="shared" si="37"/>
        <v>No</v>
      </c>
      <c r="AE123">
        <f t="shared" si="38"/>
        <v>0</v>
      </c>
      <c r="AF123">
        <f xml:space="preserve">
_xlfn.XLOOKUP(AB123, '3.3 Calibration'!$A$2:$A$14, '3.3 Calibration'!$F$2:$F$14,
        '3.3 Calibration'!$D$2, 1)</f>
        <v>0.54545454545454541</v>
      </c>
      <c r="AG123" t="str">
        <f t="shared" si="39"/>
        <v>Yes</v>
      </c>
      <c r="AH123" t="str">
        <f t="shared" si="40"/>
        <v>Medium</v>
      </c>
      <c r="AI123" t="e">
        <f t="shared" si="41"/>
        <v>#N/A</v>
      </c>
    </row>
    <row r="124" spans="1:35" x14ac:dyDescent="0.2">
      <c r="A124">
        <v>123</v>
      </c>
      <c r="B124">
        <v>24</v>
      </c>
      <c r="C124" t="s">
        <v>16</v>
      </c>
      <c r="D124">
        <v>30</v>
      </c>
      <c r="E124">
        <v>23.05</v>
      </c>
      <c r="F124" t="s">
        <v>20</v>
      </c>
      <c r="G124" t="s">
        <v>24</v>
      </c>
      <c r="H124">
        <v>2</v>
      </c>
      <c r="I124">
        <v>95</v>
      </c>
      <c r="J124">
        <v>6</v>
      </c>
      <c r="K124">
        <v>642.92999999999995</v>
      </c>
      <c r="L124">
        <v>0</v>
      </c>
      <c r="M124" t="s">
        <v>134</v>
      </c>
      <c r="N124" t="str">
        <f t="shared" si="21"/>
        <v>&gt;=24</v>
      </c>
      <c r="O124" t="str">
        <f t="shared" si="22"/>
        <v>&lt;30</v>
      </c>
      <c r="P124" t="str">
        <f t="shared" si="23"/>
        <v>4-6</v>
      </c>
      <c r="Q124" t="str">
        <f t="shared" si="24"/>
        <v>&gt;=80</v>
      </c>
      <c r="R124" t="str">
        <f t="shared" si="25"/>
        <v>ContractType|Month-to-Month</v>
      </c>
      <c r="S124" t="str">
        <f t="shared" si="26"/>
        <v>Tenure_Bin|&gt;=24</v>
      </c>
      <c r="T124" t="str">
        <f t="shared" si="27"/>
        <v>Satis_Bin|4-6</v>
      </c>
      <c r="U124" t="str">
        <f t="shared" si="28"/>
        <v>Monthly_Bin|&lt;30</v>
      </c>
      <c r="V124" t="str">
        <f t="shared" si="29"/>
        <v>Usage_Bin|&gt;=80</v>
      </c>
      <c r="W124">
        <f t="shared" si="30"/>
        <v>3</v>
      </c>
      <c r="X124">
        <f t="shared" si="31"/>
        <v>0</v>
      </c>
      <c r="Y124">
        <f t="shared" si="32"/>
        <v>2</v>
      </c>
      <c r="Z124">
        <f t="shared" si="33"/>
        <v>0</v>
      </c>
      <c r="AA124">
        <f t="shared" si="34"/>
        <v>0</v>
      </c>
      <c r="AB124" s="51">
        <f t="shared" si="35"/>
        <v>5</v>
      </c>
      <c r="AC124" t="str">
        <f t="shared" si="36"/>
        <v>Medium</v>
      </c>
      <c r="AD124" t="str">
        <f t="shared" si="37"/>
        <v>No</v>
      </c>
      <c r="AE124">
        <f t="shared" si="38"/>
        <v>0</v>
      </c>
      <c r="AF124">
        <f xml:space="preserve">
_xlfn.XLOOKUP(AB124, '3.3 Calibration'!$A$2:$A$14, '3.3 Calibration'!$F$2:$F$14,
        '3.3 Calibration'!$D$2, 1)</f>
        <v>0.33333333333333331</v>
      </c>
      <c r="AG124" t="str">
        <f t="shared" si="39"/>
        <v>No</v>
      </c>
      <c r="AH124" t="str">
        <f t="shared" si="40"/>
        <v>Low</v>
      </c>
      <c r="AI124" t="e">
        <f t="shared" si="41"/>
        <v>#N/A</v>
      </c>
    </row>
    <row r="125" spans="1:35" x14ac:dyDescent="0.2">
      <c r="A125">
        <v>124</v>
      </c>
      <c r="B125">
        <v>26</v>
      </c>
      <c r="C125" t="s">
        <v>16</v>
      </c>
      <c r="D125">
        <v>17</v>
      </c>
      <c r="E125">
        <v>106.72</v>
      </c>
      <c r="F125" t="s">
        <v>20</v>
      </c>
      <c r="G125" t="s">
        <v>23</v>
      </c>
      <c r="H125">
        <v>2</v>
      </c>
      <c r="I125">
        <v>96.9</v>
      </c>
      <c r="J125">
        <v>8</v>
      </c>
      <c r="K125">
        <v>1800.7</v>
      </c>
      <c r="L125">
        <v>0</v>
      </c>
      <c r="M125" t="s">
        <v>134</v>
      </c>
      <c r="N125" t="str">
        <f t="shared" si="21"/>
        <v>12-24</v>
      </c>
      <c r="O125" t="str">
        <f t="shared" si="22"/>
        <v>&gt;=90</v>
      </c>
      <c r="P125" t="str">
        <f t="shared" si="23"/>
        <v>7-10</v>
      </c>
      <c r="Q125" t="str">
        <f t="shared" si="24"/>
        <v>&gt;=80</v>
      </c>
      <c r="R125" t="str">
        <f t="shared" si="25"/>
        <v>ContractType|Month-to-Month</v>
      </c>
      <c r="S125" t="str">
        <f t="shared" si="26"/>
        <v>Tenure_Bin|12-24</v>
      </c>
      <c r="T125" t="str">
        <f t="shared" si="27"/>
        <v>Satis_Bin|7-10</v>
      </c>
      <c r="U125" t="str">
        <f t="shared" si="28"/>
        <v>Monthly_Bin|&gt;=90</v>
      </c>
      <c r="V125" t="str">
        <f t="shared" si="29"/>
        <v>Usage_Bin|&gt;=80</v>
      </c>
      <c r="W125">
        <f t="shared" si="30"/>
        <v>3</v>
      </c>
      <c r="X125">
        <f t="shared" si="31"/>
        <v>1</v>
      </c>
      <c r="Y125">
        <f t="shared" si="32"/>
        <v>0</v>
      </c>
      <c r="Z125">
        <f t="shared" si="33"/>
        <v>2</v>
      </c>
      <c r="AA125">
        <f t="shared" si="34"/>
        <v>0</v>
      </c>
      <c r="AB125" s="51">
        <f t="shared" si="35"/>
        <v>6</v>
      </c>
      <c r="AC125" t="str">
        <f t="shared" si="36"/>
        <v>Medium</v>
      </c>
      <c r="AD125" t="str">
        <f t="shared" si="37"/>
        <v>No</v>
      </c>
      <c r="AE125">
        <f t="shared" si="38"/>
        <v>0</v>
      </c>
      <c r="AF125">
        <f xml:space="preserve">
_xlfn.XLOOKUP(AB125, '3.3 Calibration'!$A$2:$A$14, '3.3 Calibration'!$F$2:$F$14,
        '3.3 Calibration'!$D$2, 1)</f>
        <v>0.33333333333333331</v>
      </c>
      <c r="AG125" t="str">
        <f t="shared" si="39"/>
        <v>No</v>
      </c>
      <c r="AH125" t="str">
        <f t="shared" si="40"/>
        <v>Low</v>
      </c>
      <c r="AI125" t="e">
        <f t="shared" si="41"/>
        <v>#N/A</v>
      </c>
    </row>
    <row r="126" spans="1:35" x14ac:dyDescent="0.2">
      <c r="A126">
        <v>125</v>
      </c>
      <c r="B126">
        <v>25</v>
      </c>
      <c r="C126" t="s">
        <v>15</v>
      </c>
      <c r="D126">
        <v>62</v>
      </c>
      <c r="E126">
        <v>55.41</v>
      </c>
      <c r="F126" t="s">
        <v>19</v>
      </c>
      <c r="G126" t="s">
        <v>24</v>
      </c>
      <c r="H126">
        <v>3</v>
      </c>
      <c r="I126">
        <v>22.4</v>
      </c>
      <c r="J126">
        <v>5</v>
      </c>
      <c r="K126">
        <v>3765.9</v>
      </c>
      <c r="L126">
        <v>0</v>
      </c>
      <c r="M126" t="s">
        <v>134</v>
      </c>
      <c r="N126" t="str">
        <f t="shared" si="21"/>
        <v>&gt;=24</v>
      </c>
      <c r="O126" t="str">
        <f t="shared" si="22"/>
        <v>30-60</v>
      </c>
      <c r="P126" t="str">
        <f t="shared" si="23"/>
        <v>4-6</v>
      </c>
      <c r="Q126" t="str">
        <f t="shared" si="24"/>
        <v>20-40</v>
      </c>
      <c r="R126" t="str">
        <f t="shared" si="25"/>
        <v>ContractType|2-Year</v>
      </c>
      <c r="S126" t="str">
        <f t="shared" si="26"/>
        <v>Tenure_Bin|&gt;=24</v>
      </c>
      <c r="T126" t="str">
        <f t="shared" si="27"/>
        <v>Satis_Bin|4-6</v>
      </c>
      <c r="U126" t="str">
        <f t="shared" si="28"/>
        <v>Monthly_Bin|30-60</v>
      </c>
      <c r="V126" t="str">
        <f t="shared" si="29"/>
        <v>Usage_Bin|20-40</v>
      </c>
      <c r="W126">
        <f t="shared" si="30"/>
        <v>0</v>
      </c>
      <c r="X126">
        <f t="shared" si="31"/>
        <v>0</v>
      </c>
      <c r="Y126">
        <f t="shared" si="32"/>
        <v>2</v>
      </c>
      <c r="Z126">
        <f t="shared" si="33"/>
        <v>0</v>
      </c>
      <c r="AA126">
        <f t="shared" si="34"/>
        <v>1</v>
      </c>
      <c r="AB126" s="51">
        <f t="shared" si="35"/>
        <v>3</v>
      </c>
      <c r="AC126" t="str">
        <f t="shared" si="36"/>
        <v>Low</v>
      </c>
      <c r="AD126" t="str">
        <f t="shared" si="37"/>
        <v>No</v>
      </c>
      <c r="AE126">
        <f t="shared" si="38"/>
        <v>0</v>
      </c>
      <c r="AF126">
        <f xml:space="preserve">
_xlfn.XLOOKUP(AB126, '3.3 Calibration'!$A$2:$A$14, '3.3 Calibration'!$F$2:$F$14,
        '3.3 Calibration'!$D$2, 1)</f>
        <v>0.42105263157894735</v>
      </c>
      <c r="AG126" t="str">
        <f t="shared" si="39"/>
        <v>No</v>
      </c>
      <c r="AH126" t="str">
        <f t="shared" si="40"/>
        <v>Medium</v>
      </c>
      <c r="AI126" t="e">
        <f t="shared" si="41"/>
        <v>#N/A</v>
      </c>
    </row>
    <row r="127" spans="1:35" x14ac:dyDescent="0.2">
      <c r="A127">
        <v>126</v>
      </c>
      <c r="B127">
        <v>29</v>
      </c>
      <c r="C127" t="s">
        <v>16</v>
      </c>
      <c r="D127">
        <v>13</v>
      </c>
      <c r="E127">
        <v>59.72</v>
      </c>
      <c r="F127" t="s">
        <v>20</v>
      </c>
      <c r="G127" t="s">
        <v>22</v>
      </c>
      <c r="H127">
        <v>0</v>
      </c>
      <c r="I127">
        <v>7.1</v>
      </c>
      <c r="J127">
        <v>3</v>
      </c>
      <c r="K127">
        <v>773.78</v>
      </c>
      <c r="L127">
        <v>0</v>
      </c>
      <c r="M127" t="s">
        <v>134</v>
      </c>
      <c r="N127" t="str">
        <f t="shared" si="21"/>
        <v>12-24</v>
      </c>
      <c r="O127" t="str">
        <f t="shared" si="22"/>
        <v>30-60</v>
      </c>
      <c r="P127" t="str">
        <f t="shared" si="23"/>
        <v>1-3</v>
      </c>
      <c r="Q127" t="str">
        <f t="shared" si="24"/>
        <v>&lt;20</v>
      </c>
      <c r="R127" t="str">
        <f t="shared" si="25"/>
        <v>ContractType|Month-to-Month</v>
      </c>
      <c r="S127" t="str">
        <f t="shared" si="26"/>
        <v>Tenure_Bin|12-24</v>
      </c>
      <c r="T127" t="str">
        <f t="shared" si="27"/>
        <v>Satis_Bin|1-3</v>
      </c>
      <c r="U127" t="str">
        <f t="shared" si="28"/>
        <v>Monthly_Bin|30-60</v>
      </c>
      <c r="V127" t="str">
        <f t="shared" si="29"/>
        <v>Usage_Bin|&lt;20</v>
      </c>
      <c r="W127">
        <f t="shared" si="30"/>
        <v>3</v>
      </c>
      <c r="X127">
        <f t="shared" si="31"/>
        <v>1</v>
      </c>
      <c r="Y127">
        <f t="shared" si="32"/>
        <v>4</v>
      </c>
      <c r="Z127">
        <f t="shared" si="33"/>
        <v>0</v>
      </c>
      <c r="AA127">
        <f t="shared" si="34"/>
        <v>2</v>
      </c>
      <c r="AB127" s="51">
        <f t="shared" si="35"/>
        <v>10</v>
      </c>
      <c r="AC127" t="str">
        <f t="shared" si="36"/>
        <v>High</v>
      </c>
      <c r="AD127" t="str">
        <f t="shared" si="37"/>
        <v>No</v>
      </c>
      <c r="AE127">
        <f t="shared" si="38"/>
        <v>0</v>
      </c>
      <c r="AF127">
        <f xml:space="preserve">
_xlfn.XLOOKUP(AB127, '3.3 Calibration'!$A$2:$A$14, '3.3 Calibration'!$F$2:$F$14,
        '3.3 Calibration'!$D$2, 1)</f>
        <v>0.5</v>
      </c>
      <c r="AG127" t="str">
        <f t="shared" si="39"/>
        <v>Yes</v>
      </c>
      <c r="AH127" t="str">
        <f t="shared" si="40"/>
        <v>Medium</v>
      </c>
      <c r="AI127" t="e">
        <f t="shared" si="41"/>
        <v>#N/A</v>
      </c>
    </row>
    <row r="128" spans="1:35" x14ac:dyDescent="0.2">
      <c r="A128">
        <v>127</v>
      </c>
      <c r="B128">
        <v>51</v>
      </c>
      <c r="C128" t="s">
        <v>15</v>
      </c>
      <c r="D128">
        <v>59</v>
      </c>
      <c r="E128">
        <v>30.49</v>
      </c>
      <c r="F128" t="s">
        <v>18</v>
      </c>
      <c r="G128" t="s">
        <v>23</v>
      </c>
      <c r="H128">
        <v>4</v>
      </c>
      <c r="I128">
        <v>73.400000000000006</v>
      </c>
      <c r="J128">
        <v>6</v>
      </c>
      <c r="K128">
        <v>1929.71</v>
      </c>
      <c r="L128">
        <v>0</v>
      </c>
      <c r="M128" t="s">
        <v>134</v>
      </c>
      <c r="N128" t="str">
        <f t="shared" si="21"/>
        <v>&gt;=24</v>
      </c>
      <c r="O128" t="str">
        <f t="shared" si="22"/>
        <v>30-60</v>
      </c>
      <c r="P128" t="str">
        <f t="shared" si="23"/>
        <v>4-6</v>
      </c>
      <c r="Q128" t="str">
        <f t="shared" si="24"/>
        <v>40-80</v>
      </c>
      <c r="R128" t="str">
        <f t="shared" si="25"/>
        <v>ContractType|1-Year</v>
      </c>
      <c r="S128" t="str">
        <f t="shared" si="26"/>
        <v>Tenure_Bin|&gt;=24</v>
      </c>
      <c r="T128" t="str">
        <f t="shared" si="27"/>
        <v>Satis_Bin|4-6</v>
      </c>
      <c r="U128" t="str">
        <f t="shared" si="28"/>
        <v>Monthly_Bin|30-60</v>
      </c>
      <c r="V128" t="str">
        <f t="shared" si="29"/>
        <v>Usage_Bin|40-80</v>
      </c>
      <c r="W128">
        <f t="shared" si="30"/>
        <v>1</v>
      </c>
      <c r="X128">
        <f t="shared" si="31"/>
        <v>0</v>
      </c>
      <c r="Y128">
        <f t="shared" si="32"/>
        <v>2</v>
      </c>
      <c r="Z128">
        <f t="shared" si="33"/>
        <v>0</v>
      </c>
      <c r="AA128">
        <f t="shared" si="34"/>
        <v>0</v>
      </c>
      <c r="AB128" s="51">
        <f t="shared" si="35"/>
        <v>3</v>
      </c>
      <c r="AC128" t="str">
        <f t="shared" si="36"/>
        <v>Low</v>
      </c>
      <c r="AD128" t="str">
        <f t="shared" si="37"/>
        <v>No</v>
      </c>
      <c r="AE128">
        <f t="shared" si="38"/>
        <v>0</v>
      </c>
      <c r="AF128">
        <f xml:space="preserve">
_xlfn.XLOOKUP(AB128, '3.3 Calibration'!$A$2:$A$14, '3.3 Calibration'!$F$2:$F$14,
        '3.3 Calibration'!$D$2, 1)</f>
        <v>0.42105263157894735</v>
      </c>
      <c r="AG128" t="str">
        <f t="shared" si="39"/>
        <v>No</v>
      </c>
      <c r="AH128" t="str">
        <f t="shared" si="40"/>
        <v>Medium</v>
      </c>
      <c r="AI128" t="e">
        <f t="shared" si="41"/>
        <v>#N/A</v>
      </c>
    </row>
    <row r="129" spans="1:35" x14ac:dyDescent="0.2">
      <c r="A129">
        <v>128</v>
      </c>
      <c r="B129">
        <v>50</v>
      </c>
      <c r="C129" t="s">
        <v>15</v>
      </c>
      <c r="D129">
        <v>19</v>
      </c>
      <c r="E129">
        <v>93.74</v>
      </c>
      <c r="F129" t="s">
        <v>18</v>
      </c>
      <c r="G129" t="s">
        <v>24</v>
      </c>
      <c r="H129">
        <v>1</v>
      </c>
      <c r="I129">
        <v>44.7</v>
      </c>
      <c r="J129">
        <v>4</v>
      </c>
      <c r="K129">
        <v>1812.67</v>
      </c>
      <c r="L129">
        <v>0</v>
      </c>
      <c r="M129" t="s">
        <v>134</v>
      </c>
      <c r="N129" t="str">
        <f t="shared" si="21"/>
        <v>12-24</v>
      </c>
      <c r="O129" t="str">
        <f t="shared" si="22"/>
        <v>&gt;=90</v>
      </c>
      <c r="P129" t="str">
        <f t="shared" si="23"/>
        <v>4-6</v>
      </c>
      <c r="Q129" t="str">
        <f t="shared" si="24"/>
        <v>40-80</v>
      </c>
      <c r="R129" t="str">
        <f t="shared" si="25"/>
        <v>ContractType|1-Year</v>
      </c>
      <c r="S129" t="str">
        <f t="shared" si="26"/>
        <v>Tenure_Bin|12-24</v>
      </c>
      <c r="T129" t="str">
        <f t="shared" si="27"/>
        <v>Satis_Bin|4-6</v>
      </c>
      <c r="U129" t="str">
        <f t="shared" si="28"/>
        <v>Monthly_Bin|&gt;=90</v>
      </c>
      <c r="V129" t="str">
        <f t="shared" si="29"/>
        <v>Usage_Bin|40-80</v>
      </c>
      <c r="W129">
        <f t="shared" si="30"/>
        <v>1</v>
      </c>
      <c r="X129">
        <f t="shared" si="31"/>
        <v>1</v>
      </c>
      <c r="Y129">
        <f t="shared" si="32"/>
        <v>2</v>
      </c>
      <c r="Z129">
        <f t="shared" si="33"/>
        <v>2</v>
      </c>
      <c r="AA129">
        <f t="shared" si="34"/>
        <v>0</v>
      </c>
      <c r="AB129" s="51">
        <f t="shared" si="35"/>
        <v>6</v>
      </c>
      <c r="AC129" t="str">
        <f t="shared" si="36"/>
        <v>Medium</v>
      </c>
      <c r="AD129" t="str">
        <f t="shared" si="37"/>
        <v>No</v>
      </c>
      <c r="AE129">
        <f t="shared" si="38"/>
        <v>0</v>
      </c>
      <c r="AF129">
        <f xml:space="preserve">
_xlfn.XLOOKUP(AB129, '3.3 Calibration'!$A$2:$A$14, '3.3 Calibration'!$F$2:$F$14,
        '3.3 Calibration'!$D$2, 1)</f>
        <v>0.33333333333333331</v>
      </c>
      <c r="AG129" t="str">
        <f t="shared" si="39"/>
        <v>No</v>
      </c>
      <c r="AH129" t="str">
        <f t="shared" si="40"/>
        <v>Low</v>
      </c>
      <c r="AI129" t="e">
        <f t="shared" si="41"/>
        <v>#N/A</v>
      </c>
    </row>
    <row r="130" spans="1:35" x14ac:dyDescent="0.2">
      <c r="A130">
        <v>129</v>
      </c>
      <c r="B130">
        <v>65</v>
      </c>
      <c r="C130" t="s">
        <v>15</v>
      </c>
      <c r="D130">
        <v>49</v>
      </c>
      <c r="E130">
        <v>38.229999999999997</v>
      </c>
      <c r="F130" t="s">
        <v>19</v>
      </c>
      <c r="G130" t="s">
        <v>23</v>
      </c>
      <c r="H130">
        <v>3</v>
      </c>
      <c r="I130">
        <v>13.4</v>
      </c>
      <c r="J130">
        <v>9</v>
      </c>
      <c r="K130">
        <v>1826.56</v>
      </c>
      <c r="L130">
        <v>1</v>
      </c>
      <c r="M130" t="s">
        <v>134</v>
      </c>
      <c r="N130" t="str">
        <f t="shared" si="21"/>
        <v>&gt;=24</v>
      </c>
      <c r="O130" t="str">
        <f t="shared" si="22"/>
        <v>30-60</v>
      </c>
      <c r="P130" t="str">
        <f t="shared" si="23"/>
        <v>7-10</v>
      </c>
      <c r="Q130" t="str">
        <f t="shared" si="24"/>
        <v>&lt;20</v>
      </c>
      <c r="R130" t="str">
        <f t="shared" si="25"/>
        <v>ContractType|2-Year</v>
      </c>
      <c r="S130" t="str">
        <f t="shared" si="26"/>
        <v>Tenure_Bin|&gt;=24</v>
      </c>
      <c r="T130" t="str">
        <f t="shared" si="27"/>
        <v>Satis_Bin|7-10</v>
      </c>
      <c r="U130" t="str">
        <f t="shared" si="28"/>
        <v>Monthly_Bin|30-60</v>
      </c>
      <c r="V130" t="str">
        <f t="shared" si="29"/>
        <v>Usage_Bin|&lt;20</v>
      </c>
      <c r="W130">
        <f t="shared" si="30"/>
        <v>0</v>
      </c>
      <c r="X130">
        <f t="shared" si="31"/>
        <v>0</v>
      </c>
      <c r="Y130">
        <f t="shared" si="32"/>
        <v>0</v>
      </c>
      <c r="Z130">
        <f t="shared" si="33"/>
        <v>0</v>
      </c>
      <c r="AA130">
        <f t="shared" si="34"/>
        <v>2</v>
      </c>
      <c r="AB130" s="51">
        <f t="shared" si="35"/>
        <v>2</v>
      </c>
      <c r="AC130" t="str">
        <f t="shared" si="36"/>
        <v>Low</v>
      </c>
      <c r="AD130" t="str">
        <f t="shared" si="37"/>
        <v>No</v>
      </c>
      <c r="AE130">
        <f t="shared" si="38"/>
        <v>0</v>
      </c>
      <c r="AF130">
        <f xml:space="preserve">
_xlfn.XLOOKUP(AB130, '3.3 Calibration'!$A$2:$A$14, '3.3 Calibration'!$F$2:$F$14,
        '3.3 Calibration'!$D$2, 1)</f>
        <v>0.6</v>
      </c>
      <c r="AG130" t="str">
        <f t="shared" si="39"/>
        <v>Yes</v>
      </c>
      <c r="AH130" t="str">
        <f t="shared" si="40"/>
        <v>High</v>
      </c>
      <c r="AI130" t="str">
        <f t="shared" si="41"/>
        <v>&gt;=24</v>
      </c>
    </row>
    <row r="131" spans="1:35" x14ac:dyDescent="0.2">
      <c r="A131">
        <v>130</v>
      </c>
      <c r="B131">
        <v>40</v>
      </c>
      <c r="C131" t="s">
        <v>15</v>
      </c>
      <c r="D131">
        <v>12</v>
      </c>
      <c r="E131">
        <v>76.400000000000006</v>
      </c>
      <c r="F131" t="s">
        <v>18</v>
      </c>
      <c r="G131" t="s">
        <v>22</v>
      </c>
      <c r="H131">
        <v>3</v>
      </c>
      <c r="I131">
        <v>70</v>
      </c>
      <c r="J131">
        <v>3</v>
      </c>
      <c r="K131">
        <v>877.52</v>
      </c>
      <c r="L131">
        <v>1</v>
      </c>
      <c r="M131" t="s">
        <v>134</v>
      </c>
      <c r="N131" t="str">
        <f t="shared" ref="N131:N194" si="42">IF(D131&lt;6,"&lt;6",
 IF(D131&lt;12,"6-12",
 IF(D131&lt;24,"12-24","&gt;=24")))</f>
        <v>12-24</v>
      </c>
      <c r="O131" t="str">
        <f t="shared" ref="O131:O194" si="43">IF(E131&lt;30,"&lt;30",
 IF(E131&lt;60,"30-60",
 IF(E131&lt;90,"60-90","&gt;=90")))</f>
        <v>60-90</v>
      </c>
      <c r="P131" t="str">
        <f t="shared" ref="P131:P194" si="44">IF(J131&lt;4,"1-3",
 IF(J131&lt;7,"4-6","7-10"))</f>
        <v>1-3</v>
      </c>
      <c r="Q131" t="str">
        <f t="shared" ref="Q131:Q194" si="45">IF(I131&lt;20,"&lt;20",
 IF(I131&lt;40,"20-40",
 IF(I131&lt;80,"40-80","&gt;=80")))</f>
        <v>40-80</v>
      </c>
      <c r="R131" t="str">
        <f t="shared" ref="R131:R194" si="46">"ContractType|"&amp;F131</f>
        <v>ContractType|1-Year</v>
      </c>
      <c r="S131" t="str">
        <f t="shared" ref="S131:S194" si="47">"Tenure_Bin|"&amp;N131</f>
        <v>Tenure_Bin|12-24</v>
      </c>
      <c r="T131" t="str">
        <f t="shared" ref="T131:T194" si="48">"Satis_Bin|"&amp;P131</f>
        <v>Satis_Bin|1-3</v>
      </c>
      <c r="U131" t="str">
        <f t="shared" ref="U131:U194" si="49">"Monthly_Bin|"&amp;O131</f>
        <v>Monthly_Bin|60-90</v>
      </c>
      <c r="V131" t="str">
        <f t="shared" ref="V131:V194" si="50">"Usage_Bin|"&amp;Q131</f>
        <v>Usage_Bin|40-80</v>
      </c>
      <c r="W131">
        <f t="shared" ref="W131:W194" si="51">_xlfn.XLOOKUP(R131,$AN$2:$AN$19,$AO$2:$AO$19,0)</f>
        <v>1</v>
      </c>
      <c r="X131">
        <f t="shared" ref="X131:X194" si="52">_xlfn.XLOOKUP(N131,$AN$2:$AN$19,$AO$2:$AO$19,0)</f>
        <v>1</v>
      </c>
      <c r="Y131">
        <f t="shared" ref="Y131:Y194" si="53">_xlfn.XLOOKUP(P131,$AN$2:$AN$19,$AO$2:$AO$19,0)</f>
        <v>4</v>
      </c>
      <c r="Z131">
        <f t="shared" ref="Z131:Z194" si="54">_xlfn.XLOOKUP(O131,$AN$2:$AN$19,$AO$2:$AO$19,0)</f>
        <v>1</v>
      </c>
      <c r="AA131">
        <f t="shared" ref="AA131:AA194" si="55">_xlfn.XLOOKUP(Q131,$AN$2:$AN$19,$AO$2:$AO$19,0)</f>
        <v>0</v>
      </c>
      <c r="AB131" s="51">
        <f t="shared" ref="AB131:AB194" si="56">SUM(W131:AA131)</f>
        <v>7</v>
      </c>
      <c r="AC131" t="str">
        <f t="shared" ref="AC131:AC194" si="57">IF(AB131&gt;=7,"High",
   IF(AB131&gt;=4,"Medium","Low"))</f>
        <v>High</v>
      </c>
      <c r="AD131" t="str">
        <f t="shared" ref="AD131:AD194" si="58">IF(AB131&gt;=$AK$2,"Yes","No")</f>
        <v>No</v>
      </c>
      <c r="AE131">
        <f t="shared" ref="AE131:AE194" si="59">IF(AD131="Yes",1,0)</f>
        <v>0</v>
      </c>
      <c r="AF131">
        <f xml:space="preserve">
_xlfn.XLOOKUP(AB131, '3.3 Calibration'!$A$2:$A$14, '3.3 Calibration'!$F$2:$F$14,
        '3.3 Calibration'!$D$2, 1)</f>
        <v>0.54166666666666663</v>
      </c>
      <c r="AG131" t="str">
        <f t="shared" ref="AG131:AG194" si="60">IF(AF131 &gt;= 0.5, "Yes", "No")</f>
        <v>Yes</v>
      </c>
      <c r="AH131" t="str">
        <f t="shared" ref="AH131:AH194" si="61">IF(AF131&gt;=0.6,"High",
   IF(AF131&gt;=0.4,"Medium","Low"))</f>
        <v>Medium</v>
      </c>
      <c r="AI131" t="e">
        <f t="shared" ref="AI131:AI194" si="62">IF(AH131="High",N131,NA())</f>
        <v>#N/A</v>
      </c>
    </row>
    <row r="132" spans="1:35" x14ac:dyDescent="0.2">
      <c r="A132">
        <v>131</v>
      </c>
      <c r="B132">
        <v>41</v>
      </c>
      <c r="C132" t="s">
        <v>15</v>
      </c>
      <c r="D132">
        <v>61</v>
      </c>
      <c r="E132">
        <v>104.07</v>
      </c>
      <c r="F132" t="s">
        <v>18</v>
      </c>
      <c r="G132" t="s">
        <v>22</v>
      </c>
      <c r="H132">
        <v>2</v>
      </c>
      <c r="I132">
        <v>56.8</v>
      </c>
      <c r="J132">
        <v>4</v>
      </c>
      <c r="K132">
        <v>5971.47</v>
      </c>
      <c r="L132">
        <v>1</v>
      </c>
      <c r="M132" t="s">
        <v>134</v>
      </c>
      <c r="N132" t="str">
        <f t="shared" si="42"/>
        <v>&gt;=24</v>
      </c>
      <c r="O132" t="str">
        <f t="shared" si="43"/>
        <v>&gt;=90</v>
      </c>
      <c r="P132" t="str">
        <f t="shared" si="44"/>
        <v>4-6</v>
      </c>
      <c r="Q132" t="str">
        <f t="shared" si="45"/>
        <v>40-80</v>
      </c>
      <c r="R132" t="str">
        <f t="shared" si="46"/>
        <v>ContractType|1-Year</v>
      </c>
      <c r="S132" t="str">
        <f t="shared" si="47"/>
        <v>Tenure_Bin|&gt;=24</v>
      </c>
      <c r="T132" t="str">
        <f t="shared" si="48"/>
        <v>Satis_Bin|4-6</v>
      </c>
      <c r="U132" t="str">
        <f t="shared" si="49"/>
        <v>Monthly_Bin|&gt;=90</v>
      </c>
      <c r="V132" t="str">
        <f t="shared" si="50"/>
        <v>Usage_Bin|40-80</v>
      </c>
      <c r="W132">
        <f t="shared" si="51"/>
        <v>1</v>
      </c>
      <c r="X132">
        <f t="shared" si="52"/>
        <v>0</v>
      </c>
      <c r="Y132">
        <f t="shared" si="53"/>
        <v>2</v>
      </c>
      <c r="Z132">
        <f t="shared" si="54"/>
        <v>2</v>
      </c>
      <c r="AA132">
        <f t="shared" si="55"/>
        <v>0</v>
      </c>
      <c r="AB132" s="51">
        <f t="shared" si="56"/>
        <v>5</v>
      </c>
      <c r="AC132" t="str">
        <f t="shared" si="57"/>
        <v>Medium</v>
      </c>
      <c r="AD132" t="str">
        <f t="shared" si="58"/>
        <v>No</v>
      </c>
      <c r="AE132">
        <f t="shared" si="59"/>
        <v>0</v>
      </c>
      <c r="AF132">
        <f xml:space="preserve">
_xlfn.XLOOKUP(AB132, '3.3 Calibration'!$A$2:$A$14, '3.3 Calibration'!$F$2:$F$14,
        '3.3 Calibration'!$D$2, 1)</f>
        <v>0.33333333333333331</v>
      </c>
      <c r="AG132" t="str">
        <f t="shared" si="60"/>
        <v>No</v>
      </c>
      <c r="AH132" t="str">
        <f t="shared" si="61"/>
        <v>Low</v>
      </c>
      <c r="AI132" t="e">
        <f t="shared" si="62"/>
        <v>#N/A</v>
      </c>
    </row>
    <row r="133" spans="1:35" x14ac:dyDescent="0.2">
      <c r="A133">
        <v>132</v>
      </c>
      <c r="B133">
        <v>54</v>
      </c>
      <c r="C133" t="s">
        <v>16</v>
      </c>
      <c r="D133">
        <v>19</v>
      </c>
      <c r="E133">
        <v>28.92</v>
      </c>
      <c r="F133" t="s">
        <v>19</v>
      </c>
      <c r="G133" t="s">
        <v>24</v>
      </c>
      <c r="H133">
        <v>1</v>
      </c>
      <c r="I133">
        <v>98.1</v>
      </c>
      <c r="J133">
        <v>7</v>
      </c>
      <c r="K133">
        <v>578.25</v>
      </c>
      <c r="L133">
        <v>1</v>
      </c>
      <c r="M133" t="s">
        <v>134</v>
      </c>
      <c r="N133" t="str">
        <f t="shared" si="42"/>
        <v>12-24</v>
      </c>
      <c r="O133" t="str">
        <f t="shared" si="43"/>
        <v>&lt;30</v>
      </c>
      <c r="P133" t="str">
        <f t="shared" si="44"/>
        <v>7-10</v>
      </c>
      <c r="Q133" t="str">
        <f t="shared" si="45"/>
        <v>&gt;=80</v>
      </c>
      <c r="R133" t="str">
        <f t="shared" si="46"/>
        <v>ContractType|2-Year</v>
      </c>
      <c r="S133" t="str">
        <f t="shared" si="47"/>
        <v>Tenure_Bin|12-24</v>
      </c>
      <c r="T133" t="str">
        <f t="shared" si="48"/>
        <v>Satis_Bin|7-10</v>
      </c>
      <c r="U133" t="str">
        <f t="shared" si="49"/>
        <v>Monthly_Bin|&lt;30</v>
      </c>
      <c r="V133" t="str">
        <f t="shared" si="50"/>
        <v>Usage_Bin|&gt;=80</v>
      </c>
      <c r="W133">
        <f t="shared" si="51"/>
        <v>0</v>
      </c>
      <c r="X133">
        <f t="shared" si="52"/>
        <v>1</v>
      </c>
      <c r="Y133">
        <f t="shared" si="53"/>
        <v>0</v>
      </c>
      <c r="Z133">
        <f t="shared" si="54"/>
        <v>0</v>
      </c>
      <c r="AA133">
        <f t="shared" si="55"/>
        <v>0</v>
      </c>
      <c r="AB133" s="51">
        <f t="shared" si="56"/>
        <v>1</v>
      </c>
      <c r="AC133" t="str">
        <f t="shared" si="57"/>
        <v>Low</v>
      </c>
      <c r="AD133" t="str">
        <f t="shared" si="58"/>
        <v>No</v>
      </c>
      <c r="AE133">
        <f t="shared" si="59"/>
        <v>0</v>
      </c>
      <c r="AF133">
        <f xml:space="preserve">
_xlfn.XLOOKUP(AB133, '3.3 Calibration'!$A$2:$A$14, '3.3 Calibration'!$F$2:$F$14,
        '3.3 Calibration'!$D$2, 1)</f>
        <v>0.25</v>
      </c>
      <c r="AG133" t="str">
        <f t="shared" si="60"/>
        <v>No</v>
      </c>
      <c r="AH133" t="str">
        <f t="shared" si="61"/>
        <v>Low</v>
      </c>
      <c r="AI133" t="e">
        <f t="shared" si="62"/>
        <v>#N/A</v>
      </c>
    </row>
    <row r="134" spans="1:35" x14ac:dyDescent="0.2">
      <c r="A134">
        <v>133</v>
      </c>
      <c r="B134">
        <v>52</v>
      </c>
      <c r="C134" t="s">
        <v>16</v>
      </c>
      <c r="D134">
        <v>9</v>
      </c>
      <c r="E134">
        <v>73.53</v>
      </c>
      <c r="F134" t="s">
        <v>19</v>
      </c>
      <c r="G134" t="s">
        <v>22</v>
      </c>
      <c r="H134">
        <v>2</v>
      </c>
      <c r="I134">
        <v>26.6</v>
      </c>
      <c r="J134">
        <v>7</v>
      </c>
      <c r="K134">
        <v>646.75</v>
      </c>
      <c r="L134">
        <v>1</v>
      </c>
      <c r="M134" t="s">
        <v>133</v>
      </c>
      <c r="N134" t="str">
        <f t="shared" si="42"/>
        <v>6-12</v>
      </c>
      <c r="O134" t="str">
        <f t="shared" si="43"/>
        <v>60-90</v>
      </c>
      <c r="P134" t="str">
        <f t="shared" si="44"/>
        <v>7-10</v>
      </c>
      <c r="Q134" t="str">
        <f t="shared" si="45"/>
        <v>20-40</v>
      </c>
      <c r="R134" t="str">
        <f t="shared" si="46"/>
        <v>ContractType|2-Year</v>
      </c>
      <c r="S134" t="str">
        <f t="shared" si="47"/>
        <v>Tenure_Bin|6-12</v>
      </c>
      <c r="T134" t="str">
        <f t="shared" si="48"/>
        <v>Satis_Bin|7-10</v>
      </c>
      <c r="U134" t="str">
        <f t="shared" si="49"/>
        <v>Monthly_Bin|60-90</v>
      </c>
      <c r="V134" t="str">
        <f t="shared" si="50"/>
        <v>Usage_Bin|20-40</v>
      </c>
      <c r="W134">
        <f t="shared" si="51"/>
        <v>0</v>
      </c>
      <c r="X134">
        <f t="shared" si="52"/>
        <v>2</v>
      </c>
      <c r="Y134">
        <f t="shared" si="53"/>
        <v>0</v>
      </c>
      <c r="Z134">
        <f t="shared" si="54"/>
        <v>1</v>
      </c>
      <c r="AA134">
        <f t="shared" si="55"/>
        <v>1</v>
      </c>
      <c r="AB134" s="51">
        <f t="shared" si="56"/>
        <v>4</v>
      </c>
      <c r="AC134" t="str">
        <f t="shared" si="57"/>
        <v>Medium</v>
      </c>
      <c r="AD134" t="str">
        <f t="shared" si="58"/>
        <v>No</v>
      </c>
      <c r="AE134">
        <f t="shared" si="59"/>
        <v>0</v>
      </c>
      <c r="AF134">
        <f xml:space="preserve">
_xlfn.XLOOKUP(AB134, '3.3 Calibration'!$A$2:$A$14, '3.3 Calibration'!$F$2:$F$14,
        '3.3 Calibration'!$D$2, 1)</f>
        <v>0.40740740740740738</v>
      </c>
      <c r="AG134" t="str">
        <f t="shared" si="60"/>
        <v>No</v>
      </c>
      <c r="AH134" t="str">
        <f t="shared" si="61"/>
        <v>Medium</v>
      </c>
      <c r="AI134" t="e">
        <f t="shared" si="62"/>
        <v>#N/A</v>
      </c>
    </row>
    <row r="135" spans="1:35" x14ac:dyDescent="0.2">
      <c r="A135">
        <v>134</v>
      </c>
      <c r="B135">
        <v>61</v>
      </c>
      <c r="C135" t="s">
        <v>15</v>
      </c>
      <c r="D135">
        <v>71</v>
      </c>
      <c r="E135">
        <v>43.32</v>
      </c>
      <c r="F135" t="s">
        <v>20</v>
      </c>
      <c r="G135" t="s">
        <v>23</v>
      </c>
      <c r="H135">
        <v>1</v>
      </c>
      <c r="I135">
        <v>43.4</v>
      </c>
      <c r="J135">
        <v>4</v>
      </c>
      <c r="K135">
        <v>3082.66</v>
      </c>
      <c r="L135">
        <v>1</v>
      </c>
      <c r="M135" t="s">
        <v>134</v>
      </c>
      <c r="N135" t="str">
        <f t="shared" si="42"/>
        <v>&gt;=24</v>
      </c>
      <c r="O135" t="str">
        <f t="shared" si="43"/>
        <v>30-60</v>
      </c>
      <c r="P135" t="str">
        <f t="shared" si="44"/>
        <v>4-6</v>
      </c>
      <c r="Q135" t="str">
        <f t="shared" si="45"/>
        <v>40-80</v>
      </c>
      <c r="R135" t="str">
        <f t="shared" si="46"/>
        <v>ContractType|Month-to-Month</v>
      </c>
      <c r="S135" t="str">
        <f t="shared" si="47"/>
        <v>Tenure_Bin|&gt;=24</v>
      </c>
      <c r="T135" t="str">
        <f t="shared" si="48"/>
        <v>Satis_Bin|4-6</v>
      </c>
      <c r="U135" t="str">
        <f t="shared" si="49"/>
        <v>Monthly_Bin|30-60</v>
      </c>
      <c r="V135" t="str">
        <f t="shared" si="50"/>
        <v>Usage_Bin|40-80</v>
      </c>
      <c r="W135">
        <f t="shared" si="51"/>
        <v>3</v>
      </c>
      <c r="X135">
        <f t="shared" si="52"/>
        <v>0</v>
      </c>
      <c r="Y135">
        <f t="shared" si="53"/>
        <v>2</v>
      </c>
      <c r="Z135">
        <f t="shared" si="54"/>
        <v>0</v>
      </c>
      <c r="AA135">
        <f t="shared" si="55"/>
        <v>0</v>
      </c>
      <c r="AB135" s="51">
        <f t="shared" si="56"/>
        <v>5</v>
      </c>
      <c r="AC135" t="str">
        <f t="shared" si="57"/>
        <v>Medium</v>
      </c>
      <c r="AD135" t="str">
        <f t="shared" si="58"/>
        <v>No</v>
      </c>
      <c r="AE135">
        <f t="shared" si="59"/>
        <v>0</v>
      </c>
      <c r="AF135">
        <f xml:space="preserve">
_xlfn.XLOOKUP(AB135, '3.3 Calibration'!$A$2:$A$14, '3.3 Calibration'!$F$2:$F$14,
        '3.3 Calibration'!$D$2, 1)</f>
        <v>0.33333333333333331</v>
      </c>
      <c r="AG135" t="str">
        <f t="shared" si="60"/>
        <v>No</v>
      </c>
      <c r="AH135" t="str">
        <f t="shared" si="61"/>
        <v>Low</v>
      </c>
      <c r="AI135" t="e">
        <f t="shared" si="62"/>
        <v>#N/A</v>
      </c>
    </row>
    <row r="136" spans="1:35" x14ac:dyDescent="0.2">
      <c r="A136">
        <v>135</v>
      </c>
      <c r="B136">
        <v>57</v>
      </c>
      <c r="C136" t="s">
        <v>15</v>
      </c>
      <c r="D136">
        <v>28</v>
      </c>
      <c r="E136">
        <v>54.29</v>
      </c>
      <c r="F136" t="s">
        <v>20</v>
      </c>
      <c r="G136" t="s">
        <v>22</v>
      </c>
      <c r="H136">
        <v>1</v>
      </c>
      <c r="I136">
        <v>56.5</v>
      </c>
      <c r="J136">
        <v>6</v>
      </c>
      <c r="K136">
        <v>1517.79</v>
      </c>
      <c r="L136">
        <v>0</v>
      </c>
      <c r="M136" t="s">
        <v>134</v>
      </c>
      <c r="N136" t="str">
        <f t="shared" si="42"/>
        <v>&gt;=24</v>
      </c>
      <c r="O136" t="str">
        <f t="shared" si="43"/>
        <v>30-60</v>
      </c>
      <c r="P136" t="str">
        <f t="shared" si="44"/>
        <v>4-6</v>
      </c>
      <c r="Q136" t="str">
        <f t="shared" si="45"/>
        <v>40-80</v>
      </c>
      <c r="R136" t="str">
        <f t="shared" si="46"/>
        <v>ContractType|Month-to-Month</v>
      </c>
      <c r="S136" t="str">
        <f t="shared" si="47"/>
        <v>Tenure_Bin|&gt;=24</v>
      </c>
      <c r="T136" t="str">
        <f t="shared" si="48"/>
        <v>Satis_Bin|4-6</v>
      </c>
      <c r="U136" t="str">
        <f t="shared" si="49"/>
        <v>Monthly_Bin|30-60</v>
      </c>
      <c r="V136" t="str">
        <f t="shared" si="50"/>
        <v>Usage_Bin|40-80</v>
      </c>
      <c r="W136">
        <f t="shared" si="51"/>
        <v>3</v>
      </c>
      <c r="X136">
        <f t="shared" si="52"/>
        <v>0</v>
      </c>
      <c r="Y136">
        <f t="shared" si="53"/>
        <v>2</v>
      </c>
      <c r="Z136">
        <f t="shared" si="54"/>
        <v>0</v>
      </c>
      <c r="AA136">
        <f t="shared" si="55"/>
        <v>0</v>
      </c>
      <c r="AB136" s="51">
        <f t="shared" si="56"/>
        <v>5</v>
      </c>
      <c r="AC136" t="str">
        <f t="shared" si="57"/>
        <v>Medium</v>
      </c>
      <c r="AD136" t="str">
        <f t="shared" si="58"/>
        <v>No</v>
      </c>
      <c r="AE136">
        <f t="shared" si="59"/>
        <v>0</v>
      </c>
      <c r="AF136">
        <f xml:space="preserve">
_xlfn.XLOOKUP(AB136, '3.3 Calibration'!$A$2:$A$14, '3.3 Calibration'!$F$2:$F$14,
        '3.3 Calibration'!$D$2, 1)</f>
        <v>0.33333333333333331</v>
      </c>
      <c r="AG136" t="str">
        <f t="shared" si="60"/>
        <v>No</v>
      </c>
      <c r="AH136" t="str">
        <f t="shared" si="61"/>
        <v>Low</v>
      </c>
      <c r="AI136" t="e">
        <f t="shared" si="62"/>
        <v>#N/A</v>
      </c>
    </row>
    <row r="137" spans="1:35" x14ac:dyDescent="0.2">
      <c r="A137">
        <v>136</v>
      </c>
      <c r="B137">
        <v>39</v>
      </c>
      <c r="C137" t="s">
        <v>16</v>
      </c>
      <c r="D137">
        <v>52</v>
      </c>
      <c r="E137">
        <v>67.400000000000006</v>
      </c>
      <c r="F137" t="s">
        <v>20</v>
      </c>
      <c r="G137" t="s">
        <v>23</v>
      </c>
      <c r="H137">
        <v>1</v>
      </c>
      <c r="I137">
        <v>80.2</v>
      </c>
      <c r="J137">
        <v>3</v>
      </c>
      <c r="K137">
        <v>3558.97</v>
      </c>
      <c r="L137">
        <v>1</v>
      </c>
      <c r="M137" t="s">
        <v>134</v>
      </c>
      <c r="N137" t="str">
        <f t="shared" si="42"/>
        <v>&gt;=24</v>
      </c>
      <c r="O137" t="str">
        <f t="shared" si="43"/>
        <v>60-90</v>
      </c>
      <c r="P137" t="str">
        <f t="shared" si="44"/>
        <v>1-3</v>
      </c>
      <c r="Q137" t="str">
        <f t="shared" si="45"/>
        <v>&gt;=80</v>
      </c>
      <c r="R137" t="str">
        <f t="shared" si="46"/>
        <v>ContractType|Month-to-Month</v>
      </c>
      <c r="S137" t="str">
        <f t="shared" si="47"/>
        <v>Tenure_Bin|&gt;=24</v>
      </c>
      <c r="T137" t="str">
        <f t="shared" si="48"/>
        <v>Satis_Bin|1-3</v>
      </c>
      <c r="U137" t="str">
        <f t="shared" si="49"/>
        <v>Monthly_Bin|60-90</v>
      </c>
      <c r="V137" t="str">
        <f t="shared" si="50"/>
        <v>Usage_Bin|&gt;=80</v>
      </c>
      <c r="W137">
        <f t="shared" si="51"/>
        <v>3</v>
      </c>
      <c r="X137">
        <f t="shared" si="52"/>
        <v>0</v>
      </c>
      <c r="Y137">
        <f t="shared" si="53"/>
        <v>4</v>
      </c>
      <c r="Z137">
        <f t="shared" si="54"/>
        <v>1</v>
      </c>
      <c r="AA137">
        <f t="shared" si="55"/>
        <v>0</v>
      </c>
      <c r="AB137" s="51">
        <f t="shared" si="56"/>
        <v>8</v>
      </c>
      <c r="AC137" t="str">
        <f t="shared" si="57"/>
        <v>High</v>
      </c>
      <c r="AD137" t="str">
        <f t="shared" si="58"/>
        <v>No</v>
      </c>
      <c r="AE137">
        <f t="shared" si="59"/>
        <v>0</v>
      </c>
      <c r="AF137">
        <f xml:space="preserve">
_xlfn.XLOOKUP(AB137, '3.3 Calibration'!$A$2:$A$14, '3.3 Calibration'!$F$2:$F$14,
        '3.3 Calibration'!$D$2, 1)</f>
        <v>0.73684210526315785</v>
      </c>
      <c r="AG137" t="str">
        <f t="shared" si="60"/>
        <v>Yes</v>
      </c>
      <c r="AH137" t="str">
        <f t="shared" si="61"/>
        <v>High</v>
      </c>
      <c r="AI137" t="str">
        <f t="shared" si="62"/>
        <v>&gt;=24</v>
      </c>
    </row>
    <row r="138" spans="1:35" x14ac:dyDescent="0.2">
      <c r="A138">
        <v>137</v>
      </c>
      <c r="B138">
        <v>44</v>
      </c>
      <c r="C138" t="s">
        <v>16</v>
      </c>
      <c r="D138">
        <v>16</v>
      </c>
      <c r="E138">
        <v>55.51</v>
      </c>
      <c r="F138" t="s">
        <v>20</v>
      </c>
      <c r="G138" t="s">
        <v>23</v>
      </c>
      <c r="H138">
        <v>2</v>
      </c>
      <c r="I138">
        <v>57.1</v>
      </c>
      <c r="J138">
        <v>6</v>
      </c>
      <c r="K138">
        <v>953.1</v>
      </c>
      <c r="L138">
        <v>1</v>
      </c>
      <c r="M138" t="s">
        <v>134</v>
      </c>
      <c r="N138" t="str">
        <f t="shared" si="42"/>
        <v>12-24</v>
      </c>
      <c r="O138" t="str">
        <f t="shared" si="43"/>
        <v>30-60</v>
      </c>
      <c r="P138" t="str">
        <f t="shared" si="44"/>
        <v>4-6</v>
      </c>
      <c r="Q138" t="str">
        <f t="shared" si="45"/>
        <v>40-80</v>
      </c>
      <c r="R138" t="str">
        <f t="shared" si="46"/>
        <v>ContractType|Month-to-Month</v>
      </c>
      <c r="S138" t="str">
        <f t="shared" si="47"/>
        <v>Tenure_Bin|12-24</v>
      </c>
      <c r="T138" t="str">
        <f t="shared" si="48"/>
        <v>Satis_Bin|4-6</v>
      </c>
      <c r="U138" t="str">
        <f t="shared" si="49"/>
        <v>Monthly_Bin|30-60</v>
      </c>
      <c r="V138" t="str">
        <f t="shared" si="50"/>
        <v>Usage_Bin|40-80</v>
      </c>
      <c r="W138">
        <f t="shared" si="51"/>
        <v>3</v>
      </c>
      <c r="X138">
        <f t="shared" si="52"/>
        <v>1</v>
      </c>
      <c r="Y138">
        <f t="shared" si="53"/>
        <v>2</v>
      </c>
      <c r="Z138">
        <f t="shared" si="54"/>
        <v>0</v>
      </c>
      <c r="AA138">
        <f t="shared" si="55"/>
        <v>0</v>
      </c>
      <c r="AB138" s="51">
        <f t="shared" si="56"/>
        <v>6</v>
      </c>
      <c r="AC138" t="str">
        <f t="shared" si="57"/>
        <v>Medium</v>
      </c>
      <c r="AD138" t="str">
        <f t="shared" si="58"/>
        <v>No</v>
      </c>
      <c r="AE138">
        <f t="shared" si="59"/>
        <v>0</v>
      </c>
      <c r="AF138">
        <f xml:space="preserve">
_xlfn.XLOOKUP(AB138, '3.3 Calibration'!$A$2:$A$14, '3.3 Calibration'!$F$2:$F$14,
        '3.3 Calibration'!$D$2, 1)</f>
        <v>0.33333333333333331</v>
      </c>
      <c r="AG138" t="str">
        <f t="shared" si="60"/>
        <v>No</v>
      </c>
      <c r="AH138" t="str">
        <f t="shared" si="61"/>
        <v>Low</v>
      </c>
      <c r="AI138" t="e">
        <f t="shared" si="62"/>
        <v>#N/A</v>
      </c>
    </row>
    <row r="139" spans="1:35" x14ac:dyDescent="0.2">
      <c r="A139">
        <v>138</v>
      </c>
      <c r="B139">
        <v>52</v>
      </c>
      <c r="C139" t="s">
        <v>15</v>
      </c>
      <c r="D139">
        <v>69</v>
      </c>
      <c r="E139">
        <v>84.88</v>
      </c>
      <c r="F139" t="s">
        <v>18</v>
      </c>
      <c r="G139" t="s">
        <v>22</v>
      </c>
      <c r="H139">
        <v>1</v>
      </c>
      <c r="I139">
        <v>63.2</v>
      </c>
      <c r="J139">
        <v>2</v>
      </c>
      <c r="K139">
        <v>6419.83</v>
      </c>
      <c r="L139">
        <v>0</v>
      </c>
      <c r="M139" t="s">
        <v>133</v>
      </c>
      <c r="N139" t="str">
        <f t="shared" si="42"/>
        <v>&gt;=24</v>
      </c>
      <c r="O139" t="str">
        <f t="shared" si="43"/>
        <v>60-90</v>
      </c>
      <c r="P139" t="str">
        <f t="shared" si="44"/>
        <v>1-3</v>
      </c>
      <c r="Q139" t="str">
        <f t="shared" si="45"/>
        <v>40-80</v>
      </c>
      <c r="R139" t="str">
        <f t="shared" si="46"/>
        <v>ContractType|1-Year</v>
      </c>
      <c r="S139" t="str">
        <f t="shared" si="47"/>
        <v>Tenure_Bin|&gt;=24</v>
      </c>
      <c r="T139" t="str">
        <f t="shared" si="48"/>
        <v>Satis_Bin|1-3</v>
      </c>
      <c r="U139" t="str">
        <f t="shared" si="49"/>
        <v>Monthly_Bin|60-90</v>
      </c>
      <c r="V139" t="str">
        <f t="shared" si="50"/>
        <v>Usage_Bin|40-80</v>
      </c>
      <c r="W139">
        <f t="shared" si="51"/>
        <v>1</v>
      </c>
      <c r="X139">
        <f t="shared" si="52"/>
        <v>0</v>
      </c>
      <c r="Y139">
        <f t="shared" si="53"/>
        <v>4</v>
      </c>
      <c r="Z139">
        <f t="shared" si="54"/>
        <v>1</v>
      </c>
      <c r="AA139">
        <f t="shared" si="55"/>
        <v>0</v>
      </c>
      <c r="AB139" s="51">
        <f t="shared" si="56"/>
        <v>6</v>
      </c>
      <c r="AC139" t="str">
        <f t="shared" si="57"/>
        <v>Medium</v>
      </c>
      <c r="AD139" t="str">
        <f t="shared" si="58"/>
        <v>No</v>
      </c>
      <c r="AE139">
        <f t="shared" si="59"/>
        <v>0</v>
      </c>
      <c r="AF139">
        <f xml:space="preserve">
_xlfn.XLOOKUP(AB139, '3.3 Calibration'!$A$2:$A$14, '3.3 Calibration'!$F$2:$F$14,
        '3.3 Calibration'!$D$2, 1)</f>
        <v>0.33333333333333331</v>
      </c>
      <c r="AG139" t="str">
        <f t="shared" si="60"/>
        <v>No</v>
      </c>
      <c r="AH139" t="str">
        <f t="shared" si="61"/>
        <v>Low</v>
      </c>
      <c r="AI139" t="e">
        <f t="shared" si="62"/>
        <v>#N/A</v>
      </c>
    </row>
    <row r="140" spans="1:35" x14ac:dyDescent="0.2">
      <c r="A140">
        <v>139</v>
      </c>
      <c r="B140">
        <v>18</v>
      </c>
      <c r="C140" t="s">
        <v>16</v>
      </c>
      <c r="D140">
        <v>12</v>
      </c>
      <c r="E140">
        <v>67.959999999999994</v>
      </c>
      <c r="F140" t="s">
        <v>18</v>
      </c>
      <c r="G140" t="s">
        <v>24</v>
      </c>
      <c r="H140">
        <v>3</v>
      </c>
      <c r="I140">
        <v>26.5</v>
      </c>
      <c r="J140">
        <v>8</v>
      </c>
      <c r="K140">
        <v>800.45</v>
      </c>
      <c r="L140">
        <v>0</v>
      </c>
      <c r="M140" t="s">
        <v>134</v>
      </c>
      <c r="N140" t="str">
        <f t="shared" si="42"/>
        <v>12-24</v>
      </c>
      <c r="O140" t="str">
        <f t="shared" si="43"/>
        <v>60-90</v>
      </c>
      <c r="P140" t="str">
        <f t="shared" si="44"/>
        <v>7-10</v>
      </c>
      <c r="Q140" t="str">
        <f t="shared" si="45"/>
        <v>20-40</v>
      </c>
      <c r="R140" t="str">
        <f t="shared" si="46"/>
        <v>ContractType|1-Year</v>
      </c>
      <c r="S140" t="str">
        <f t="shared" si="47"/>
        <v>Tenure_Bin|12-24</v>
      </c>
      <c r="T140" t="str">
        <f t="shared" si="48"/>
        <v>Satis_Bin|7-10</v>
      </c>
      <c r="U140" t="str">
        <f t="shared" si="49"/>
        <v>Monthly_Bin|60-90</v>
      </c>
      <c r="V140" t="str">
        <f t="shared" si="50"/>
        <v>Usage_Bin|20-40</v>
      </c>
      <c r="W140">
        <f t="shared" si="51"/>
        <v>1</v>
      </c>
      <c r="X140">
        <f t="shared" si="52"/>
        <v>1</v>
      </c>
      <c r="Y140">
        <f t="shared" si="53"/>
        <v>0</v>
      </c>
      <c r="Z140">
        <f t="shared" si="54"/>
        <v>1</v>
      </c>
      <c r="AA140">
        <f t="shared" si="55"/>
        <v>1</v>
      </c>
      <c r="AB140" s="51">
        <f t="shared" si="56"/>
        <v>4</v>
      </c>
      <c r="AC140" t="str">
        <f t="shared" si="57"/>
        <v>Medium</v>
      </c>
      <c r="AD140" t="str">
        <f t="shared" si="58"/>
        <v>No</v>
      </c>
      <c r="AE140">
        <f t="shared" si="59"/>
        <v>0</v>
      </c>
      <c r="AF140">
        <f xml:space="preserve">
_xlfn.XLOOKUP(AB140, '3.3 Calibration'!$A$2:$A$14, '3.3 Calibration'!$F$2:$F$14,
        '3.3 Calibration'!$D$2, 1)</f>
        <v>0.40740740740740738</v>
      </c>
      <c r="AG140" t="str">
        <f t="shared" si="60"/>
        <v>No</v>
      </c>
      <c r="AH140" t="str">
        <f t="shared" si="61"/>
        <v>Medium</v>
      </c>
      <c r="AI140" t="e">
        <f t="shared" si="62"/>
        <v>#N/A</v>
      </c>
    </row>
    <row r="141" spans="1:35" x14ac:dyDescent="0.2">
      <c r="A141">
        <v>140</v>
      </c>
      <c r="B141">
        <v>52</v>
      </c>
      <c r="C141" t="s">
        <v>15</v>
      </c>
      <c r="D141">
        <v>25</v>
      </c>
      <c r="E141">
        <v>78.42</v>
      </c>
      <c r="F141" t="s">
        <v>18</v>
      </c>
      <c r="G141" t="s">
        <v>22</v>
      </c>
      <c r="H141">
        <v>1</v>
      </c>
      <c r="I141">
        <v>85.5</v>
      </c>
      <c r="J141">
        <v>2</v>
      </c>
      <c r="K141">
        <v>2088.92</v>
      </c>
      <c r="L141">
        <v>1</v>
      </c>
      <c r="M141" t="s">
        <v>133</v>
      </c>
      <c r="N141" t="str">
        <f t="shared" si="42"/>
        <v>&gt;=24</v>
      </c>
      <c r="O141" t="str">
        <f t="shared" si="43"/>
        <v>60-90</v>
      </c>
      <c r="P141" t="str">
        <f t="shared" si="44"/>
        <v>1-3</v>
      </c>
      <c r="Q141" t="str">
        <f t="shared" si="45"/>
        <v>&gt;=80</v>
      </c>
      <c r="R141" t="str">
        <f t="shared" si="46"/>
        <v>ContractType|1-Year</v>
      </c>
      <c r="S141" t="str">
        <f t="shared" si="47"/>
        <v>Tenure_Bin|&gt;=24</v>
      </c>
      <c r="T141" t="str">
        <f t="shared" si="48"/>
        <v>Satis_Bin|1-3</v>
      </c>
      <c r="U141" t="str">
        <f t="shared" si="49"/>
        <v>Monthly_Bin|60-90</v>
      </c>
      <c r="V141" t="str">
        <f t="shared" si="50"/>
        <v>Usage_Bin|&gt;=80</v>
      </c>
      <c r="W141">
        <f t="shared" si="51"/>
        <v>1</v>
      </c>
      <c r="X141">
        <f t="shared" si="52"/>
        <v>0</v>
      </c>
      <c r="Y141">
        <f t="shared" si="53"/>
        <v>4</v>
      </c>
      <c r="Z141">
        <f t="shared" si="54"/>
        <v>1</v>
      </c>
      <c r="AA141">
        <f t="shared" si="55"/>
        <v>0</v>
      </c>
      <c r="AB141" s="51">
        <f t="shared" si="56"/>
        <v>6</v>
      </c>
      <c r="AC141" t="str">
        <f t="shared" si="57"/>
        <v>Medium</v>
      </c>
      <c r="AD141" t="str">
        <f t="shared" si="58"/>
        <v>No</v>
      </c>
      <c r="AE141">
        <f t="shared" si="59"/>
        <v>0</v>
      </c>
      <c r="AF141">
        <f xml:space="preserve">
_xlfn.XLOOKUP(AB141, '3.3 Calibration'!$A$2:$A$14, '3.3 Calibration'!$F$2:$F$14,
        '3.3 Calibration'!$D$2, 1)</f>
        <v>0.33333333333333331</v>
      </c>
      <c r="AG141" t="str">
        <f t="shared" si="60"/>
        <v>No</v>
      </c>
      <c r="AH141" t="str">
        <f t="shared" si="61"/>
        <v>Low</v>
      </c>
      <c r="AI141" t="e">
        <f t="shared" si="62"/>
        <v>#N/A</v>
      </c>
    </row>
    <row r="142" spans="1:35" x14ac:dyDescent="0.2">
      <c r="A142">
        <v>141</v>
      </c>
      <c r="B142">
        <v>54</v>
      </c>
      <c r="C142" t="s">
        <v>16</v>
      </c>
      <c r="D142">
        <v>52</v>
      </c>
      <c r="E142">
        <v>93.68</v>
      </c>
      <c r="F142" t="s">
        <v>20</v>
      </c>
      <c r="G142" t="s">
        <v>23</v>
      </c>
      <c r="H142">
        <v>3</v>
      </c>
      <c r="I142">
        <v>45.7</v>
      </c>
      <c r="J142">
        <v>7</v>
      </c>
      <c r="K142">
        <v>5129.08</v>
      </c>
      <c r="L142">
        <v>0</v>
      </c>
      <c r="M142" t="s">
        <v>134</v>
      </c>
      <c r="N142" t="str">
        <f t="shared" si="42"/>
        <v>&gt;=24</v>
      </c>
      <c r="O142" t="str">
        <f t="shared" si="43"/>
        <v>&gt;=90</v>
      </c>
      <c r="P142" t="str">
        <f t="shared" si="44"/>
        <v>7-10</v>
      </c>
      <c r="Q142" t="str">
        <f t="shared" si="45"/>
        <v>40-80</v>
      </c>
      <c r="R142" t="str">
        <f t="shared" si="46"/>
        <v>ContractType|Month-to-Month</v>
      </c>
      <c r="S142" t="str">
        <f t="shared" si="47"/>
        <v>Tenure_Bin|&gt;=24</v>
      </c>
      <c r="T142" t="str">
        <f t="shared" si="48"/>
        <v>Satis_Bin|7-10</v>
      </c>
      <c r="U142" t="str">
        <f t="shared" si="49"/>
        <v>Monthly_Bin|&gt;=90</v>
      </c>
      <c r="V142" t="str">
        <f t="shared" si="50"/>
        <v>Usage_Bin|40-80</v>
      </c>
      <c r="W142">
        <f t="shared" si="51"/>
        <v>3</v>
      </c>
      <c r="X142">
        <f t="shared" si="52"/>
        <v>0</v>
      </c>
      <c r="Y142">
        <f t="shared" si="53"/>
        <v>0</v>
      </c>
      <c r="Z142">
        <f t="shared" si="54"/>
        <v>2</v>
      </c>
      <c r="AA142">
        <f t="shared" si="55"/>
        <v>0</v>
      </c>
      <c r="AB142" s="51">
        <f t="shared" si="56"/>
        <v>5</v>
      </c>
      <c r="AC142" t="str">
        <f t="shared" si="57"/>
        <v>Medium</v>
      </c>
      <c r="AD142" t="str">
        <f t="shared" si="58"/>
        <v>No</v>
      </c>
      <c r="AE142">
        <f t="shared" si="59"/>
        <v>0</v>
      </c>
      <c r="AF142">
        <f xml:space="preserve">
_xlfn.XLOOKUP(AB142, '3.3 Calibration'!$A$2:$A$14, '3.3 Calibration'!$F$2:$F$14,
        '3.3 Calibration'!$D$2, 1)</f>
        <v>0.33333333333333331</v>
      </c>
      <c r="AG142" t="str">
        <f t="shared" si="60"/>
        <v>No</v>
      </c>
      <c r="AH142" t="str">
        <f t="shared" si="61"/>
        <v>Low</v>
      </c>
      <c r="AI142" t="e">
        <f t="shared" si="62"/>
        <v>#N/A</v>
      </c>
    </row>
    <row r="143" spans="1:35" x14ac:dyDescent="0.2">
      <c r="A143">
        <v>142</v>
      </c>
      <c r="B143">
        <v>64</v>
      </c>
      <c r="C143" t="s">
        <v>15</v>
      </c>
      <c r="D143">
        <v>53</v>
      </c>
      <c r="E143">
        <v>75.77</v>
      </c>
      <c r="F143" t="s">
        <v>19</v>
      </c>
      <c r="G143" t="s">
        <v>23</v>
      </c>
      <c r="H143">
        <v>3</v>
      </c>
      <c r="I143">
        <v>18.399999999999999</v>
      </c>
      <c r="J143">
        <v>9</v>
      </c>
      <c r="K143">
        <v>4074.87</v>
      </c>
      <c r="L143">
        <v>0</v>
      </c>
      <c r="M143" t="s">
        <v>133</v>
      </c>
      <c r="N143" t="str">
        <f t="shared" si="42"/>
        <v>&gt;=24</v>
      </c>
      <c r="O143" t="str">
        <f t="shared" si="43"/>
        <v>60-90</v>
      </c>
      <c r="P143" t="str">
        <f t="shared" si="44"/>
        <v>7-10</v>
      </c>
      <c r="Q143" t="str">
        <f t="shared" si="45"/>
        <v>&lt;20</v>
      </c>
      <c r="R143" t="str">
        <f t="shared" si="46"/>
        <v>ContractType|2-Year</v>
      </c>
      <c r="S143" t="str">
        <f t="shared" si="47"/>
        <v>Tenure_Bin|&gt;=24</v>
      </c>
      <c r="T143" t="str">
        <f t="shared" si="48"/>
        <v>Satis_Bin|7-10</v>
      </c>
      <c r="U143" t="str">
        <f t="shared" si="49"/>
        <v>Monthly_Bin|60-90</v>
      </c>
      <c r="V143" t="str">
        <f t="shared" si="50"/>
        <v>Usage_Bin|&lt;20</v>
      </c>
      <c r="W143">
        <f t="shared" si="51"/>
        <v>0</v>
      </c>
      <c r="X143">
        <f t="shared" si="52"/>
        <v>0</v>
      </c>
      <c r="Y143">
        <f t="shared" si="53"/>
        <v>0</v>
      </c>
      <c r="Z143">
        <f t="shared" si="54"/>
        <v>1</v>
      </c>
      <c r="AA143">
        <f t="shared" si="55"/>
        <v>2</v>
      </c>
      <c r="AB143" s="51">
        <f t="shared" si="56"/>
        <v>3</v>
      </c>
      <c r="AC143" t="str">
        <f t="shared" si="57"/>
        <v>Low</v>
      </c>
      <c r="AD143" t="str">
        <f t="shared" si="58"/>
        <v>No</v>
      </c>
      <c r="AE143">
        <f t="shared" si="59"/>
        <v>0</v>
      </c>
      <c r="AF143">
        <f xml:space="preserve">
_xlfn.XLOOKUP(AB143, '3.3 Calibration'!$A$2:$A$14, '3.3 Calibration'!$F$2:$F$14,
        '3.3 Calibration'!$D$2, 1)</f>
        <v>0.42105263157894735</v>
      </c>
      <c r="AG143" t="str">
        <f t="shared" si="60"/>
        <v>No</v>
      </c>
      <c r="AH143" t="str">
        <f t="shared" si="61"/>
        <v>Medium</v>
      </c>
      <c r="AI143" t="e">
        <f t="shared" si="62"/>
        <v>#N/A</v>
      </c>
    </row>
    <row r="144" spans="1:35" x14ac:dyDescent="0.2">
      <c r="A144">
        <v>143</v>
      </c>
      <c r="B144">
        <v>31</v>
      </c>
      <c r="C144" t="s">
        <v>16</v>
      </c>
      <c r="D144">
        <v>23</v>
      </c>
      <c r="E144">
        <v>78.650000000000006</v>
      </c>
      <c r="F144" t="s">
        <v>18</v>
      </c>
      <c r="G144" t="s">
        <v>22</v>
      </c>
      <c r="H144">
        <v>2</v>
      </c>
      <c r="I144">
        <v>68.099999999999994</v>
      </c>
      <c r="J144">
        <v>1</v>
      </c>
      <c r="K144">
        <v>1973.94</v>
      </c>
      <c r="L144">
        <v>1</v>
      </c>
      <c r="M144" t="s">
        <v>134</v>
      </c>
      <c r="N144" t="str">
        <f t="shared" si="42"/>
        <v>12-24</v>
      </c>
      <c r="O144" t="str">
        <f t="shared" si="43"/>
        <v>60-90</v>
      </c>
      <c r="P144" t="str">
        <f t="shared" si="44"/>
        <v>1-3</v>
      </c>
      <c r="Q144" t="str">
        <f t="shared" si="45"/>
        <v>40-80</v>
      </c>
      <c r="R144" t="str">
        <f t="shared" si="46"/>
        <v>ContractType|1-Year</v>
      </c>
      <c r="S144" t="str">
        <f t="shared" si="47"/>
        <v>Tenure_Bin|12-24</v>
      </c>
      <c r="T144" t="str">
        <f t="shared" si="48"/>
        <v>Satis_Bin|1-3</v>
      </c>
      <c r="U144" t="str">
        <f t="shared" si="49"/>
        <v>Monthly_Bin|60-90</v>
      </c>
      <c r="V144" t="str">
        <f t="shared" si="50"/>
        <v>Usage_Bin|40-80</v>
      </c>
      <c r="W144">
        <f t="shared" si="51"/>
        <v>1</v>
      </c>
      <c r="X144">
        <f t="shared" si="52"/>
        <v>1</v>
      </c>
      <c r="Y144">
        <f t="shared" si="53"/>
        <v>4</v>
      </c>
      <c r="Z144">
        <f t="shared" si="54"/>
        <v>1</v>
      </c>
      <c r="AA144">
        <f t="shared" si="55"/>
        <v>0</v>
      </c>
      <c r="AB144" s="51">
        <f t="shared" si="56"/>
        <v>7</v>
      </c>
      <c r="AC144" t="str">
        <f t="shared" si="57"/>
        <v>High</v>
      </c>
      <c r="AD144" t="str">
        <f t="shared" si="58"/>
        <v>No</v>
      </c>
      <c r="AE144">
        <f t="shared" si="59"/>
        <v>0</v>
      </c>
      <c r="AF144">
        <f xml:space="preserve">
_xlfn.XLOOKUP(AB144, '3.3 Calibration'!$A$2:$A$14, '3.3 Calibration'!$F$2:$F$14,
        '3.3 Calibration'!$D$2, 1)</f>
        <v>0.54166666666666663</v>
      </c>
      <c r="AG144" t="str">
        <f t="shared" si="60"/>
        <v>Yes</v>
      </c>
      <c r="AH144" t="str">
        <f t="shared" si="61"/>
        <v>Medium</v>
      </c>
      <c r="AI144" t="e">
        <f t="shared" si="62"/>
        <v>#N/A</v>
      </c>
    </row>
    <row r="145" spans="1:35" x14ac:dyDescent="0.2">
      <c r="A145">
        <v>144</v>
      </c>
      <c r="B145">
        <v>20</v>
      </c>
      <c r="C145" t="s">
        <v>15</v>
      </c>
      <c r="D145">
        <v>16</v>
      </c>
      <c r="E145">
        <v>76.45</v>
      </c>
      <c r="F145" t="s">
        <v>18</v>
      </c>
      <c r="G145" t="s">
        <v>24</v>
      </c>
      <c r="H145">
        <v>2</v>
      </c>
      <c r="I145">
        <v>25.5</v>
      </c>
      <c r="J145">
        <v>8</v>
      </c>
      <c r="K145">
        <v>1149.92</v>
      </c>
      <c r="L145">
        <v>0</v>
      </c>
      <c r="M145" t="s">
        <v>134</v>
      </c>
      <c r="N145" t="str">
        <f t="shared" si="42"/>
        <v>12-24</v>
      </c>
      <c r="O145" t="str">
        <f t="shared" si="43"/>
        <v>60-90</v>
      </c>
      <c r="P145" t="str">
        <f t="shared" si="44"/>
        <v>7-10</v>
      </c>
      <c r="Q145" t="str">
        <f t="shared" si="45"/>
        <v>20-40</v>
      </c>
      <c r="R145" t="str">
        <f t="shared" si="46"/>
        <v>ContractType|1-Year</v>
      </c>
      <c r="S145" t="str">
        <f t="shared" si="47"/>
        <v>Tenure_Bin|12-24</v>
      </c>
      <c r="T145" t="str">
        <f t="shared" si="48"/>
        <v>Satis_Bin|7-10</v>
      </c>
      <c r="U145" t="str">
        <f t="shared" si="49"/>
        <v>Monthly_Bin|60-90</v>
      </c>
      <c r="V145" t="str">
        <f t="shared" si="50"/>
        <v>Usage_Bin|20-40</v>
      </c>
      <c r="W145">
        <f t="shared" si="51"/>
        <v>1</v>
      </c>
      <c r="X145">
        <f t="shared" si="52"/>
        <v>1</v>
      </c>
      <c r="Y145">
        <f t="shared" si="53"/>
        <v>0</v>
      </c>
      <c r="Z145">
        <f t="shared" si="54"/>
        <v>1</v>
      </c>
      <c r="AA145">
        <f t="shared" si="55"/>
        <v>1</v>
      </c>
      <c r="AB145" s="51">
        <f t="shared" si="56"/>
        <v>4</v>
      </c>
      <c r="AC145" t="str">
        <f t="shared" si="57"/>
        <v>Medium</v>
      </c>
      <c r="AD145" t="str">
        <f t="shared" si="58"/>
        <v>No</v>
      </c>
      <c r="AE145">
        <f t="shared" si="59"/>
        <v>0</v>
      </c>
      <c r="AF145">
        <f xml:space="preserve">
_xlfn.XLOOKUP(AB145, '3.3 Calibration'!$A$2:$A$14, '3.3 Calibration'!$F$2:$F$14,
        '3.3 Calibration'!$D$2, 1)</f>
        <v>0.40740740740740738</v>
      </c>
      <c r="AG145" t="str">
        <f t="shared" si="60"/>
        <v>No</v>
      </c>
      <c r="AH145" t="str">
        <f t="shared" si="61"/>
        <v>Medium</v>
      </c>
      <c r="AI145" t="e">
        <f t="shared" si="62"/>
        <v>#N/A</v>
      </c>
    </row>
    <row r="146" spans="1:35" x14ac:dyDescent="0.2">
      <c r="A146">
        <v>145</v>
      </c>
      <c r="B146">
        <v>18</v>
      </c>
      <c r="C146" t="s">
        <v>16</v>
      </c>
      <c r="D146">
        <v>57</v>
      </c>
      <c r="E146">
        <v>57.88</v>
      </c>
      <c r="F146" t="s">
        <v>19</v>
      </c>
      <c r="G146" t="s">
        <v>24</v>
      </c>
      <c r="H146">
        <v>2</v>
      </c>
      <c r="I146">
        <v>14.3</v>
      </c>
      <c r="J146">
        <v>7</v>
      </c>
      <c r="K146">
        <v>3041.34</v>
      </c>
      <c r="L146">
        <v>0</v>
      </c>
      <c r="M146" t="s">
        <v>134</v>
      </c>
      <c r="N146" t="str">
        <f t="shared" si="42"/>
        <v>&gt;=24</v>
      </c>
      <c r="O146" t="str">
        <f t="shared" si="43"/>
        <v>30-60</v>
      </c>
      <c r="P146" t="str">
        <f t="shared" si="44"/>
        <v>7-10</v>
      </c>
      <c r="Q146" t="str">
        <f t="shared" si="45"/>
        <v>&lt;20</v>
      </c>
      <c r="R146" t="str">
        <f t="shared" si="46"/>
        <v>ContractType|2-Year</v>
      </c>
      <c r="S146" t="str">
        <f t="shared" si="47"/>
        <v>Tenure_Bin|&gt;=24</v>
      </c>
      <c r="T146" t="str">
        <f t="shared" si="48"/>
        <v>Satis_Bin|7-10</v>
      </c>
      <c r="U146" t="str">
        <f t="shared" si="49"/>
        <v>Monthly_Bin|30-60</v>
      </c>
      <c r="V146" t="str">
        <f t="shared" si="50"/>
        <v>Usage_Bin|&lt;20</v>
      </c>
      <c r="W146">
        <f t="shared" si="51"/>
        <v>0</v>
      </c>
      <c r="X146">
        <f t="shared" si="52"/>
        <v>0</v>
      </c>
      <c r="Y146">
        <f t="shared" si="53"/>
        <v>0</v>
      </c>
      <c r="Z146">
        <f t="shared" si="54"/>
        <v>0</v>
      </c>
      <c r="AA146">
        <f t="shared" si="55"/>
        <v>2</v>
      </c>
      <c r="AB146" s="51">
        <f t="shared" si="56"/>
        <v>2</v>
      </c>
      <c r="AC146" t="str">
        <f t="shared" si="57"/>
        <v>Low</v>
      </c>
      <c r="AD146" t="str">
        <f t="shared" si="58"/>
        <v>No</v>
      </c>
      <c r="AE146">
        <f t="shared" si="59"/>
        <v>0</v>
      </c>
      <c r="AF146">
        <f xml:space="preserve">
_xlfn.XLOOKUP(AB146, '3.3 Calibration'!$A$2:$A$14, '3.3 Calibration'!$F$2:$F$14,
        '3.3 Calibration'!$D$2, 1)</f>
        <v>0.6</v>
      </c>
      <c r="AG146" t="str">
        <f t="shared" si="60"/>
        <v>Yes</v>
      </c>
      <c r="AH146" t="str">
        <f t="shared" si="61"/>
        <v>High</v>
      </c>
      <c r="AI146" t="str">
        <f t="shared" si="62"/>
        <v>&gt;=24</v>
      </c>
    </row>
    <row r="147" spans="1:35" x14ac:dyDescent="0.2">
      <c r="A147">
        <v>146</v>
      </c>
      <c r="B147">
        <v>22</v>
      </c>
      <c r="C147" t="s">
        <v>16</v>
      </c>
      <c r="D147">
        <v>39</v>
      </c>
      <c r="E147">
        <v>53.74</v>
      </c>
      <c r="F147" t="s">
        <v>18</v>
      </c>
      <c r="G147" t="s">
        <v>23</v>
      </c>
      <c r="H147">
        <v>2</v>
      </c>
      <c r="I147">
        <v>86.9</v>
      </c>
      <c r="J147">
        <v>6</v>
      </c>
      <c r="K147">
        <v>2244.23</v>
      </c>
      <c r="L147">
        <v>0</v>
      </c>
      <c r="M147" t="s">
        <v>134</v>
      </c>
      <c r="N147" t="str">
        <f t="shared" si="42"/>
        <v>&gt;=24</v>
      </c>
      <c r="O147" t="str">
        <f t="shared" si="43"/>
        <v>30-60</v>
      </c>
      <c r="P147" t="str">
        <f t="shared" si="44"/>
        <v>4-6</v>
      </c>
      <c r="Q147" t="str">
        <f t="shared" si="45"/>
        <v>&gt;=80</v>
      </c>
      <c r="R147" t="str">
        <f t="shared" si="46"/>
        <v>ContractType|1-Year</v>
      </c>
      <c r="S147" t="str">
        <f t="shared" si="47"/>
        <v>Tenure_Bin|&gt;=24</v>
      </c>
      <c r="T147" t="str">
        <f t="shared" si="48"/>
        <v>Satis_Bin|4-6</v>
      </c>
      <c r="U147" t="str">
        <f t="shared" si="49"/>
        <v>Monthly_Bin|30-60</v>
      </c>
      <c r="V147" t="str">
        <f t="shared" si="50"/>
        <v>Usage_Bin|&gt;=80</v>
      </c>
      <c r="W147">
        <f t="shared" si="51"/>
        <v>1</v>
      </c>
      <c r="X147">
        <f t="shared" si="52"/>
        <v>0</v>
      </c>
      <c r="Y147">
        <f t="shared" si="53"/>
        <v>2</v>
      </c>
      <c r="Z147">
        <f t="shared" si="54"/>
        <v>0</v>
      </c>
      <c r="AA147">
        <f t="shared" si="55"/>
        <v>0</v>
      </c>
      <c r="AB147" s="51">
        <f t="shared" si="56"/>
        <v>3</v>
      </c>
      <c r="AC147" t="str">
        <f t="shared" si="57"/>
        <v>Low</v>
      </c>
      <c r="AD147" t="str">
        <f t="shared" si="58"/>
        <v>No</v>
      </c>
      <c r="AE147">
        <f t="shared" si="59"/>
        <v>0</v>
      </c>
      <c r="AF147">
        <f xml:space="preserve">
_xlfn.XLOOKUP(AB147, '3.3 Calibration'!$A$2:$A$14, '3.3 Calibration'!$F$2:$F$14,
        '3.3 Calibration'!$D$2, 1)</f>
        <v>0.42105263157894735</v>
      </c>
      <c r="AG147" t="str">
        <f t="shared" si="60"/>
        <v>No</v>
      </c>
      <c r="AH147" t="str">
        <f t="shared" si="61"/>
        <v>Medium</v>
      </c>
      <c r="AI147" t="e">
        <f t="shared" si="62"/>
        <v>#N/A</v>
      </c>
    </row>
    <row r="148" spans="1:35" x14ac:dyDescent="0.2">
      <c r="A148">
        <v>147</v>
      </c>
      <c r="B148">
        <v>43</v>
      </c>
      <c r="C148" t="s">
        <v>15</v>
      </c>
      <c r="D148">
        <v>53</v>
      </c>
      <c r="E148">
        <v>109.96</v>
      </c>
      <c r="F148" t="s">
        <v>20</v>
      </c>
      <c r="G148" t="s">
        <v>23</v>
      </c>
      <c r="H148">
        <v>2</v>
      </c>
      <c r="I148">
        <v>48.7</v>
      </c>
      <c r="J148">
        <v>6</v>
      </c>
      <c r="K148">
        <v>5756.95</v>
      </c>
      <c r="L148">
        <v>0</v>
      </c>
      <c r="M148" t="s">
        <v>134</v>
      </c>
      <c r="N148" t="str">
        <f t="shared" si="42"/>
        <v>&gt;=24</v>
      </c>
      <c r="O148" t="str">
        <f t="shared" si="43"/>
        <v>&gt;=90</v>
      </c>
      <c r="P148" t="str">
        <f t="shared" si="44"/>
        <v>4-6</v>
      </c>
      <c r="Q148" t="str">
        <f t="shared" si="45"/>
        <v>40-80</v>
      </c>
      <c r="R148" t="str">
        <f t="shared" si="46"/>
        <v>ContractType|Month-to-Month</v>
      </c>
      <c r="S148" t="str">
        <f t="shared" si="47"/>
        <v>Tenure_Bin|&gt;=24</v>
      </c>
      <c r="T148" t="str">
        <f t="shared" si="48"/>
        <v>Satis_Bin|4-6</v>
      </c>
      <c r="U148" t="str">
        <f t="shared" si="49"/>
        <v>Monthly_Bin|&gt;=90</v>
      </c>
      <c r="V148" t="str">
        <f t="shared" si="50"/>
        <v>Usage_Bin|40-80</v>
      </c>
      <c r="W148">
        <f t="shared" si="51"/>
        <v>3</v>
      </c>
      <c r="X148">
        <f t="shared" si="52"/>
        <v>0</v>
      </c>
      <c r="Y148">
        <f t="shared" si="53"/>
        <v>2</v>
      </c>
      <c r="Z148">
        <f t="shared" si="54"/>
        <v>2</v>
      </c>
      <c r="AA148">
        <f t="shared" si="55"/>
        <v>0</v>
      </c>
      <c r="AB148" s="51">
        <f t="shared" si="56"/>
        <v>7</v>
      </c>
      <c r="AC148" t="str">
        <f t="shared" si="57"/>
        <v>High</v>
      </c>
      <c r="AD148" t="str">
        <f t="shared" si="58"/>
        <v>No</v>
      </c>
      <c r="AE148">
        <f t="shared" si="59"/>
        <v>0</v>
      </c>
      <c r="AF148">
        <f xml:space="preserve">
_xlfn.XLOOKUP(AB148, '3.3 Calibration'!$A$2:$A$14, '3.3 Calibration'!$F$2:$F$14,
        '3.3 Calibration'!$D$2, 1)</f>
        <v>0.54166666666666663</v>
      </c>
      <c r="AG148" t="str">
        <f t="shared" si="60"/>
        <v>Yes</v>
      </c>
      <c r="AH148" t="str">
        <f t="shared" si="61"/>
        <v>Medium</v>
      </c>
      <c r="AI148" t="e">
        <f t="shared" si="62"/>
        <v>#N/A</v>
      </c>
    </row>
    <row r="149" spans="1:35" x14ac:dyDescent="0.2">
      <c r="A149">
        <v>148</v>
      </c>
      <c r="B149">
        <v>31</v>
      </c>
      <c r="C149" t="s">
        <v>16</v>
      </c>
      <c r="D149">
        <v>42</v>
      </c>
      <c r="E149">
        <v>80.760000000000005</v>
      </c>
      <c r="F149" t="s">
        <v>18</v>
      </c>
      <c r="G149" t="s">
        <v>24</v>
      </c>
      <c r="H149">
        <v>1</v>
      </c>
      <c r="I149">
        <v>76.2</v>
      </c>
      <c r="J149">
        <v>6</v>
      </c>
      <c r="K149">
        <v>3627.3</v>
      </c>
      <c r="L149">
        <v>0</v>
      </c>
      <c r="M149" t="s">
        <v>134</v>
      </c>
      <c r="N149" t="str">
        <f t="shared" si="42"/>
        <v>&gt;=24</v>
      </c>
      <c r="O149" t="str">
        <f t="shared" si="43"/>
        <v>60-90</v>
      </c>
      <c r="P149" t="str">
        <f t="shared" si="44"/>
        <v>4-6</v>
      </c>
      <c r="Q149" t="str">
        <f t="shared" si="45"/>
        <v>40-80</v>
      </c>
      <c r="R149" t="str">
        <f t="shared" si="46"/>
        <v>ContractType|1-Year</v>
      </c>
      <c r="S149" t="str">
        <f t="shared" si="47"/>
        <v>Tenure_Bin|&gt;=24</v>
      </c>
      <c r="T149" t="str">
        <f t="shared" si="48"/>
        <v>Satis_Bin|4-6</v>
      </c>
      <c r="U149" t="str">
        <f t="shared" si="49"/>
        <v>Monthly_Bin|60-90</v>
      </c>
      <c r="V149" t="str">
        <f t="shared" si="50"/>
        <v>Usage_Bin|40-80</v>
      </c>
      <c r="W149">
        <f t="shared" si="51"/>
        <v>1</v>
      </c>
      <c r="X149">
        <f t="shared" si="52"/>
        <v>0</v>
      </c>
      <c r="Y149">
        <f t="shared" si="53"/>
        <v>2</v>
      </c>
      <c r="Z149">
        <f t="shared" si="54"/>
        <v>1</v>
      </c>
      <c r="AA149">
        <f t="shared" si="55"/>
        <v>0</v>
      </c>
      <c r="AB149" s="51">
        <f t="shared" si="56"/>
        <v>4</v>
      </c>
      <c r="AC149" t="str">
        <f t="shared" si="57"/>
        <v>Medium</v>
      </c>
      <c r="AD149" t="str">
        <f t="shared" si="58"/>
        <v>No</v>
      </c>
      <c r="AE149">
        <f t="shared" si="59"/>
        <v>0</v>
      </c>
      <c r="AF149">
        <f xml:space="preserve">
_xlfn.XLOOKUP(AB149, '3.3 Calibration'!$A$2:$A$14, '3.3 Calibration'!$F$2:$F$14,
        '3.3 Calibration'!$D$2, 1)</f>
        <v>0.40740740740740738</v>
      </c>
      <c r="AG149" t="str">
        <f t="shared" si="60"/>
        <v>No</v>
      </c>
      <c r="AH149" t="str">
        <f t="shared" si="61"/>
        <v>Medium</v>
      </c>
      <c r="AI149" t="e">
        <f t="shared" si="62"/>
        <v>#N/A</v>
      </c>
    </row>
    <row r="150" spans="1:35" x14ac:dyDescent="0.2">
      <c r="A150">
        <v>149</v>
      </c>
      <c r="B150">
        <v>56</v>
      </c>
      <c r="C150" t="s">
        <v>15</v>
      </c>
      <c r="D150">
        <v>58</v>
      </c>
      <c r="E150">
        <v>44.44</v>
      </c>
      <c r="F150" t="s">
        <v>20</v>
      </c>
      <c r="G150" t="s">
        <v>22</v>
      </c>
      <c r="H150">
        <v>3</v>
      </c>
      <c r="I150">
        <v>32.6</v>
      </c>
      <c r="J150">
        <v>9</v>
      </c>
      <c r="K150">
        <v>2780.16</v>
      </c>
      <c r="L150">
        <v>1</v>
      </c>
      <c r="M150" t="s">
        <v>134</v>
      </c>
      <c r="N150" t="str">
        <f t="shared" si="42"/>
        <v>&gt;=24</v>
      </c>
      <c r="O150" t="str">
        <f t="shared" si="43"/>
        <v>30-60</v>
      </c>
      <c r="P150" t="str">
        <f t="shared" si="44"/>
        <v>7-10</v>
      </c>
      <c r="Q150" t="str">
        <f t="shared" si="45"/>
        <v>20-40</v>
      </c>
      <c r="R150" t="str">
        <f t="shared" si="46"/>
        <v>ContractType|Month-to-Month</v>
      </c>
      <c r="S150" t="str">
        <f t="shared" si="47"/>
        <v>Tenure_Bin|&gt;=24</v>
      </c>
      <c r="T150" t="str">
        <f t="shared" si="48"/>
        <v>Satis_Bin|7-10</v>
      </c>
      <c r="U150" t="str">
        <f t="shared" si="49"/>
        <v>Monthly_Bin|30-60</v>
      </c>
      <c r="V150" t="str">
        <f t="shared" si="50"/>
        <v>Usage_Bin|20-40</v>
      </c>
      <c r="W150">
        <f t="shared" si="51"/>
        <v>3</v>
      </c>
      <c r="X150">
        <f t="shared" si="52"/>
        <v>0</v>
      </c>
      <c r="Y150">
        <f t="shared" si="53"/>
        <v>0</v>
      </c>
      <c r="Z150">
        <f t="shared" si="54"/>
        <v>0</v>
      </c>
      <c r="AA150">
        <f t="shared" si="55"/>
        <v>1</v>
      </c>
      <c r="AB150" s="51">
        <f t="shared" si="56"/>
        <v>4</v>
      </c>
      <c r="AC150" t="str">
        <f t="shared" si="57"/>
        <v>Medium</v>
      </c>
      <c r="AD150" t="str">
        <f t="shared" si="58"/>
        <v>No</v>
      </c>
      <c r="AE150">
        <f t="shared" si="59"/>
        <v>0</v>
      </c>
      <c r="AF150">
        <f xml:space="preserve">
_xlfn.XLOOKUP(AB150, '3.3 Calibration'!$A$2:$A$14, '3.3 Calibration'!$F$2:$F$14,
        '3.3 Calibration'!$D$2, 1)</f>
        <v>0.40740740740740738</v>
      </c>
      <c r="AG150" t="str">
        <f t="shared" si="60"/>
        <v>No</v>
      </c>
      <c r="AH150" t="str">
        <f t="shared" si="61"/>
        <v>Medium</v>
      </c>
      <c r="AI150" t="e">
        <f t="shared" si="62"/>
        <v>#N/A</v>
      </c>
    </row>
    <row r="151" spans="1:35" x14ac:dyDescent="0.2">
      <c r="A151">
        <v>150</v>
      </c>
      <c r="B151">
        <v>44</v>
      </c>
      <c r="C151" t="s">
        <v>16</v>
      </c>
      <c r="D151">
        <v>39</v>
      </c>
      <c r="E151">
        <v>69.819999999999993</v>
      </c>
      <c r="F151" t="s">
        <v>20</v>
      </c>
      <c r="G151" t="s">
        <v>23</v>
      </c>
      <c r="H151">
        <v>2</v>
      </c>
      <c r="I151">
        <v>79.8</v>
      </c>
      <c r="J151">
        <v>2</v>
      </c>
      <c r="K151">
        <v>2484.6999999999998</v>
      </c>
      <c r="L151">
        <v>1</v>
      </c>
      <c r="M151" t="s">
        <v>134</v>
      </c>
      <c r="N151" t="str">
        <f t="shared" si="42"/>
        <v>&gt;=24</v>
      </c>
      <c r="O151" t="str">
        <f t="shared" si="43"/>
        <v>60-90</v>
      </c>
      <c r="P151" t="str">
        <f t="shared" si="44"/>
        <v>1-3</v>
      </c>
      <c r="Q151" t="str">
        <f t="shared" si="45"/>
        <v>40-80</v>
      </c>
      <c r="R151" t="str">
        <f t="shared" si="46"/>
        <v>ContractType|Month-to-Month</v>
      </c>
      <c r="S151" t="str">
        <f t="shared" si="47"/>
        <v>Tenure_Bin|&gt;=24</v>
      </c>
      <c r="T151" t="str">
        <f t="shared" si="48"/>
        <v>Satis_Bin|1-3</v>
      </c>
      <c r="U151" t="str">
        <f t="shared" si="49"/>
        <v>Monthly_Bin|60-90</v>
      </c>
      <c r="V151" t="str">
        <f t="shared" si="50"/>
        <v>Usage_Bin|40-80</v>
      </c>
      <c r="W151">
        <f t="shared" si="51"/>
        <v>3</v>
      </c>
      <c r="X151">
        <f t="shared" si="52"/>
        <v>0</v>
      </c>
      <c r="Y151">
        <f t="shared" si="53"/>
        <v>4</v>
      </c>
      <c r="Z151">
        <f t="shared" si="54"/>
        <v>1</v>
      </c>
      <c r="AA151">
        <f t="shared" si="55"/>
        <v>0</v>
      </c>
      <c r="AB151" s="51">
        <f t="shared" si="56"/>
        <v>8</v>
      </c>
      <c r="AC151" t="str">
        <f t="shared" si="57"/>
        <v>High</v>
      </c>
      <c r="AD151" t="str">
        <f t="shared" si="58"/>
        <v>No</v>
      </c>
      <c r="AE151">
        <f t="shared" si="59"/>
        <v>0</v>
      </c>
      <c r="AF151">
        <f xml:space="preserve">
_xlfn.XLOOKUP(AB151, '3.3 Calibration'!$A$2:$A$14, '3.3 Calibration'!$F$2:$F$14,
        '3.3 Calibration'!$D$2, 1)</f>
        <v>0.73684210526315785</v>
      </c>
      <c r="AG151" t="str">
        <f t="shared" si="60"/>
        <v>Yes</v>
      </c>
      <c r="AH151" t="str">
        <f t="shared" si="61"/>
        <v>High</v>
      </c>
      <c r="AI151" t="str">
        <f t="shared" si="62"/>
        <v>&gt;=24</v>
      </c>
    </row>
    <row r="152" spans="1:35" x14ac:dyDescent="0.2">
      <c r="A152">
        <v>151</v>
      </c>
      <c r="B152">
        <v>26</v>
      </c>
      <c r="C152" t="s">
        <v>15</v>
      </c>
      <c r="D152">
        <v>14</v>
      </c>
      <c r="E152">
        <v>53.03</v>
      </c>
      <c r="F152" t="s">
        <v>18</v>
      </c>
      <c r="G152" t="s">
        <v>23</v>
      </c>
      <c r="H152">
        <v>3</v>
      </c>
      <c r="I152">
        <v>15.6</v>
      </c>
      <c r="J152">
        <v>1</v>
      </c>
      <c r="K152">
        <v>799.36</v>
      </c>
      <c r="L152">
        <v>1</v>
      </c>
      <c r="M152" t="s">
        <v>133</v>
      </c>
      <c r="N152" t="str">
        <f t="shared" si="42"/>
        <v>12-24</v>
      </c>
      <c r="O152" t="str">
        <f t="shared" si="43"/>
        <v>30-60</v>
      </c>
      <c r="P152" t="str">
        <f t="shared" si="44"/>
        <v>1-3</v>
      </c>
      <c r="Q152" t="str">
        <f t="shared" si="45"/>
        <v>&lt;20</v>
      </c>
      <c r="R152" t="str">
        <f t="shared" si="46"/>
        <v>ContractType|1-Year</v>
      </c>
      <c r="S152" t="str">
        <f t="shared" si="47"/>
        <v>Tenure_Bin|12-24</v>
      </c>
      <c r="T152" t="str">
        <f t="shared" si="48"/>
        <v>Satis_Bin|1-3</v>
      </c>
      <c r="U152" t="str">
        <f t="shared" si="49"/>
        <v>Monthly_Bin|30-60</v>
      </c>
      <c r="V152" t="str">
        <f t="shared" si="50"/>
        <v>Usage_Bin|&lt;20</v>
      </c>
      <c r="W152">
        <f t="shared" si="51"/>
        <v>1</v>
      </c>
      <c r="X152">
        <f t="shared" si="52"/>
        <v>1</v>
      </c>
      <c r="Y152">
        <f t="shared" si="53"/>
        <v>4</v>
      </c>
      <c r="Z152">
        <f t="shared" si="54"/>
        <v>0</v>
      </c>
      <c r="AA152">
        <f t="shared" si="55"/>
        <v>2</v>
      </c>
      <c r="AB152" s="51">
        <f t="shared" si="56"/>
        <v>8</v>
      </c>
      <c r="AC152" t="str">
        <f t="shared" si="57"/>
        <v>High</v>
      </c>
      <c r="AD152" t="str">
        <f t="shared" si="58"/>
        <v>No</v>
      </c>
      <c r="AE152">
        <f t="shared" si="59"/>
        <v>0</v>
      </c>
      <c r="AF152">
        <f xml:space="preserve">
_xlfn.XLOOKUP(AB152, '3.3 Calibration'!$A$2:$A$14, '3.3 Calibration'!$F$2:$F$14,
        '3.3 Calibration'!$D$2, 1)</f>
        <v>0.73684210526315785</v>
      </c>
      <c r="AG152" t="str">
        <f t="shared" si="60"/>
        <v>Yes</v>
      </c>
      <c r="AH152" t="str">
        <f t="shared" si="61"/>
        <v>High</v>
      </c>
      <c r="AI152" t="str">
        <f t="shared" si="62"/>
        <v>12-24</v>
      </c>
    </row>
    <row r="153" spans="1:35" x14ac:dyDescent="0.2">
      <c r="A153">
        <v>152</v>
      </c>
      <c r="B153">
        <v>32</v>
      </c>
      <c r="C153" t="s">
        <v>16</v>
      </c>
      <c r="D153">
        <v>5</v>
      </c>
      <c r="E153">
        <v>113.37</v>
      </c>
      <c r="F153" t="s">
        <v>20</v>
      </c>
      <c r="G153" t="s">
        <v>24</v>
      </c>
      <c r="H153">
        <v>3</v>
      </c>
      <c r="I153">
        <v>38.799999999999997</v>
      </c>
      <c r="J153">
        <v>6</v>
      </c>
      <c r="K153">
        <v>560.99</v>
      </c>
      <c r="L153">
        <v>0</v>
      </c>
      <c r="M153" t="s">
        <v>134</v>
      </c>
      <c r="N153" t="str">
        <f t="shared" si="42"/>
        <v>&lt;6</v>
      </c>
      <c r="O153" t="str">
        <f t="shared" si="43"/>
        <v>&gt;=90</v>
      </c>
      <c r="P153" t="str">
        <f t="shared" si="44"/>
        <v>4-6</v>
      </c>
      <c r="Q153" t="str">
        <f t="shared" si="45"/>
        <v>20-40</v>
      </c>
      <c r="R153" t="str">
        <f t="shared" si="46"/>
        <v>ContractType|Month-to-Month</v>
      </c>
      <c r="S153" t="str">
        <f t="shared" si="47"/>
        <v>Tenure_Bin|&lt;6</v>
      </c>
      <c r="T153" t="str">
        <f t="shared" si="48"/>
        <v>Satis_Bin|4-6</v>
      </c>
      <c r="U153" t="str">
        <f t="shared" si="49"/>
        <v>Monthly_Bin|&gt;=90</v>
      </c>
      <c r="V153" t="str">
        <f t="shared" si="50"/>
        <v>Usage_Bin|20-40</v>
      </c>
      <c r="W153">
        <f t="shared" si="51"/>
        <v>3</v>
      </c>
      <c r="X153">
        <f t="shared" si="52"/>
        <v>3</v>
      </c>
      <c r="Y153">
        <f t="shared" si="53"/>
        <v>2</v>
      </c>
      <c r="Z153">
        <f t="shared" si="54"/>
        <v>2</v>
      </c>
      <c r="AA153">
        <f t="shared" si="55"/>
        <v>1</v>
      </c>
      <c r="AB153" s="51">
        <f t="shared" si="56"/>
        <v>11</v>
      </c>
      <c r="AC153" t="str">
        <f t="shared" si="57"/>
        <v>High</v>
      </c>
      <c r="AD153" t="str">
        <f t="shared" si="58"/>
        <v>No</v>
      </c>
      <c r="AE153">
        <f t="shared" si="59"/>
        <v>0</v>
      </c>
      <c r="AF153">
        <f xml:space="preserve">
_xlfn.XLOOKUP(AB153, '3.3 Calibration'!$A$2:$A$14, '3.3 Calibration'!$F$2:$F$14,
        '3.3 Calibration'!$D$2, 1)</f>
        <v>0.6</v>
      </c>
      <c r="AG153" t="str">
        <f t="shared" si="60"/>
        <v>Yes</v>
      </c>
      <c r="AH153" t="str">
        <f t="shared" si="61"/>
        <v>High</v>
      </c>
      <c r="AI153" t="str">
        <f t="shared" si="62"/>
        <v>&lt;6</v>
      </c>
    </row>
    <row r="154" spans="1:35" x14ac:dyDescent="0.2">
      <c r="A154">
        <v>153</v>
      </c>
      <c r="B154">
        <v>32</v>
      </c>
      <c r="C154" t="s">
        <v>15</v>
      </c>
      <c r="D154">
        <v>35</v>
      </c>
      <c r="E154">
        <v>20.75</v>
      </c>
      <c r="F154" t="s">
        <v>18</v>
      </c>
      <c r="G154" t="s">
        <v>22</v>
      </c>
      <c r="H154">
        <v>3</v>
      </c>
      <c r="I154">
        <v>97.9</v>
      </c>
      <c r="J154">
        <v>10</v>
      </c>
      <c r="K154">
        <v>727.77</v>
      </c>
      <c r="L154">
        <v>0</v>
      </c>
      <c r="M154" t="s">
        <v>134</v>
      </c>
      <c r="N154" t="str">
        <f t="shared" si="42"/>
        <v>&gt;=24</v>
      </c>
      <c r="O154" t="str">
        <f t="shared" si="43"/>
        <v>&lt;30</v>
      </c>
      <c r="P154" t="str">
        <f t="shared" si="44"/>
        <v>7-10</v>
      </c>
      <c r="Q154" t="str">
        <f t="shared" si="45"/>
        <v>&gt;=80</v>
      </c>
      <c r="R154" t="str">
        <f t="shared" si="46"/>
        <v>ContractType|1-Year</v>
      </c>
      <c r="S154" t="str">
        <f t="shared" si="47"/>
        <v>Tenure_Bin|&gt;=24</v>
      </c>
      <c r="T154" t="str">
        <f t="shared" si="48"/>
        <v>Satis_Bin|7-10</v>
      </c>
      <c r="U154" t="str">
        <f t="shared" si="49"/>
        <v>Monthly_Bin|&lt;30</v>
      </c>
      <c r="V154" t="str">
        <f t="shared" si="50"/>
        <v>Usage_Bin|&gt;=80</v>
      </c>
      <c r="W154">
        <f t="shared" si="51"/>
        <v>1</v>
      </c>
      <c r="X154">
        <f t="shared" si="52"/>
        <v>0</v>
      </c>
      <c r="Y154">
        <f t="shared" si="53"/>
        <v>0</v>
      </c>
      <c r="Z154">
        <f t="shared" si="54"/>
        <v>0</v>
      </c>
      <c r="AA154">
        <f t="shared" si="55"/>
        <v>0</v>
      </c>
      <c r="AB154" s="51">
        <f t="shared" si="56"/>
        <v>1</v>
      </c>
      <c r="AC154" t="str">
        <f t="shared" si="57"/>
        <v>Low</v>
      </c>
      <c r="AD154" t="str">
        <f t="shared" si="58"/>
        <v>No</v>
      </c>
      <c r="AE154">
        <f t="shared" si="59"/>
        <v>0</v>
      </c>
      <c r="AF154">
        <f xml:space="preserve">
_xlfn.XLOOKUP(AB154, '3.3 Calibration'!$A$2:$A$14, '3.3 Calibration'!$F$2:$F$14,
        '3.3 Calibration'!$D$2, 1)</f>
        <v>0.25</v>
      </c>
      <c r="AG154" t="str">
        <f t="shared" si="60"/>
        <v>No</v>
      </c>
      <c r="AH154" t="str">
        <f t="shared" si="61"/>
        <v>Low</v>
      </c>
      <c r="AI154" t="e">
        <f t="shared" si="62"/>
        <v>#N/A</v>
      </c>
    </row>
    <row r="155" spans="1:35" x14ac:dyDescent="0.2">
      <c r="A155">
        <v>154</v>
      </c>
      <c r="B155">
        <v>43</v>
      </c>
      <c r="C155" t="s">
        <v>16</v>
      </c>
      <c r="D155">
        <v>18</v>
      </c>
      <c r="E155">
        <v>42.53</v>
      </c>
      <c r="F155" t="s">
        <v>20</v>
      </c>
      <c r="G155" t="s">
        <v>24</v>
      </c>
      <c r="H155">
        <v>0</v>
      </c>
      <c r="I155">
        <v>80.400000000000006</v>
      </c>
      <c r="J155">
        <v>8</v>
      </c>
      <c r="K155">
        <v>784.92</v>
      </c>
      <c r="L155">
        <v>1</v>
      </c>
      <c r="M155" t="s">
        <v>134</v>
      </c>
      <c r="N155" t="str">
        <f t="shared" si="42"/>
        <v>12-24</v>
      </c>
      <c r="O155" t="str">
        <f t="shared" si="43"/>
        <v>30-60</v>
      </c>
      <c r="P155" t="str">
        <f t="shared" si="44"/>
        <v>7-10</v>
      </c>
      <c r="Q155" t="str">
        <f t="shared" si="45"/>
        <v>&gt;=80</v>
      </c>
      <c r="R155" t="str">
        <f t="shared" si="46"/>
        <v>ContractType|Month-to-Month</v>
      </c>
      <c r="S155" t="str">
        <f t="shared" si="47"/>
        <v>Tenure_Bin|12-24</v>
      </c>
      <c r="T155" t="str">
        <f t="shared" si="48"/>
        <v>Satis_Bin|7-10</v>
      </c>
      <c r="U155" t="str">
        <f t="shared" si="49"/>
        <v>Monthly_Bin|30-60</v>
      </c>
      <c r="V155" t="str">
        <f t="shared" si="50"/>
        <v>Usage_Bin|&gt;=80</v>
      </c>
      <c r="W155">
        <f t="shared" si="51"/>
        <v>3</v>
      </c>
      <c r="X155">
        <f t="shared" si="52"/>
        <v>1</v>
      </c>
      <c r="Y155">
        <f t="shared" si="53"/>
        <v>0</v>
      </c>
      <c r="Z155">
        <f t="shared" si="54"/>
        <v>0</v>
      </c>
      <c r="AA155">
        <f t="shared" si="55"/>
        <v>0</v>
      </c>
      <c r="AB155" s="51">
        <f t="shared" si="56"/>
        <v>4</v>
      </c>
      <c r="AC155" t="str">
        <f t="shared" si="57"/>
        <v>Medium</v>
      </c>
      <c r="AD155" t="str">
        <f t="shared" si="58"/>
        <v>No</v>
      </c>
      <c r="AE155">
        <f t="shared" si="59"/>
        <v>0</v>
      </c>
      <c r="AF155">
        <f xml:space="preserve">
_xlfn.XLOOKUP(AB155, '3.3 Calibration'!$A$2:$A$14, '3.3 Calibration'!$F$2:$F$14,
        '3.3 Calibration'!$D$2, 1)</f>
        <v>0.40740740740740738</v>
      </c>
      <c r="AG155" t="str">
        <f t="shared" si="60"/>
        <v>No</v>
      </c>
      <c r="AH155" t="str">
        <f t="shared" si="61"/>
        <v>Medium</v>
      </c>
      <c r="AI155" t="e">
        <f t="shared" si="62"/>
        <v>#N/A</v>
      </c>
    </row>
    <row r="156" spans="1:35" x14ac:dyDescent="0.2">
      <c r="A156">
        <v>155</v>
      </c>
      <c r="B156">
        <v>59</v>
      </c>
      <c r="C156" t="s">
        <v>15</v>
      </c>
      <c r="D156">
        <v>9</v>
      </c>
      <c r="E156">
        <v>56.54</v>
      </c>
      <c r="F156" t="s">
        <v>19</v>
      </c>
      <c r="G156" t="s">
        <v>22</v>
      </c>
      <c r="H156">
        <v>1</v>
      </c>
      <c r="I156">
        <v>52.2</v>
      </c>
      <c r="J156">
        <v>3</v>
      </c>
      <c r="K156">
        <v>552.25</v>
      </c>
      <c r="L156">
        <v>0</v>
      </c>
      <c r="M156" t="s">
        <v>134</v>
      </c>
      <c r="N156" t="str">
        <f t="shared" si="42"/>
        <v>6-12</v>
      </c>
      <c r="O156" t="str">
        <f t="shared" si="43"/>
        <v>30-60</v>
      </c>
      <c r="P156" t="str">
        <f t="shared" si="44"/>
        <v>1-3</v>
      </c>
      <c r="Q156" t="str">
        <f t="shared" si="45"/>
        <v>40-80</v>
      </c>
      <c r="R156" t="str">
        <f t="shared" si="46"/>
        <v>ContractType|2-Year</v>
      </c>
      <c r="S156" t="str">
        <f t="shared" si="47"/>
        <v>Tenure_Bin|6-12</v>
      </c>
      <c r="T156" t="str">
        <f t="shared" si="48"/>
        <v>Satis_Bin|1-3</v>
      </c>
      <c r="U156" t="str">
        <f t="shared" si="49"/>
        <v>Monthly_Bin|30-60</v>
      </c>
      <c r="V156" t="str">
        <f t="shared" si="50"/>
        <v>Usage_Bin|40-80</v>
      </c>
      <c r="W156">
        <f t="shared" si="51"/>
        <v>0</v>
      </c>
      <c r="X156">
        <f t="shared" si="52"/>
        <v>2</v>
      </c>
      <c r="Y156">
        <f t="shared" si="53"/>
        <v>4</v>
      </c>
      <c r="Z156">
        <f t="shared" si="54"/>
        <v>0</v>
      </c>
      <c r="AA156">
        <f t="shared" si="55"/>
        <v>0</v>
      </c>
      <c r="AB156" s="51">
        <f t="shared" si="56"/>
        <v>6</v>
      </c>
      <c r="AC156" t="str">
        <f t="shared" si="57"/>
        <v>Medium</v>
      </c>
      <c r="AD156" t="str">
        <f t="shared" si="58"/>
        <v>No</v>
      </c>
      <c r="AE156">
        <f t="shared" si="59"/>
        <v>0</v>
      </c>
      <c r="AF156">
        <f xml:space="preserve">
_xlfn.XLOOKUP(AB156, '3.3 Calibration'!$A$2:$A$14, '3.3 Calibration'!$F$2:$F$14,
        '3.3 Calibration'!$D$2, 1)</f>
        <v>0.33333333333333331</v>
      </c>
      <c r="AG156" t="str">
        <f t="shared" si="60"/>
        <v>No</v>
      </c>
      <c r="AH156" t="str">
        <f t="shared" si="61"/>
        <v>Low</v>
      </c>
      <c r="AI156" t="e">
        <f t="shared" si="62"/>
        <v>#N/A</v>
      </c>
    </row>
    <row r="157" spans="1:35" x14ac:dyDescent="0.2">
      <c r="A157">
        <v>156</v>
      </c>
      <c r="B157">
        <v>30</v>
      </c>
      <c r="C157" t="s">
        <v>16</v>
      </c>
      <c r="D157">
        <v>58</v>
      </c>
      <c r="E157">
        <v>68.78</v>
      </c>
      <c r="F157" t="s">
        <v>20</v>
      </c>
      <c r="G157" t="s">
        <v>22</v>
      </c>
      <c r="H157">
        <v>3</v>
      </c>
      <c r="I157">
        <v>37.299999999999997</v>
      </c>
      <c r="J157">
        <v>10</v>
      </c>
      <c r="K157">
        <v>3605.57</v>
      </c>
      <c r="L157">
        <v>0</v>
      </c>
      <c r="M157" t="s">
        <v>133</v>
      </c>
      <c r="N157" t="str">
        <f t="shared" si="42"/>
        <v>&gt;=24</v>
      </c>
      <c r="O157" t="str">
        <f t="shared" si="43"/>
        <v>60-90</v>
      </c>
      <c r="P157" t="str">
        <f t="shared" si="44"/>
        <v>7-10</v>
      </c>
      <c r="Q157" t="str">
        <f t="shared" si="45"/>
        <v>20-40</v>
      </c>
      <c r="R157" t="str">
        <f t="shared" si="46"/>
        <v>ContractType|Month-to-Month</v>
      </c>
      <c r="S157" t="str">
        <f t="shared" si="47"/>
        <v>Tenure_Bin|&gt;=24</v>
      </c>
      <c r="T157" t="str">
        <f t="shared" si="48"/>
        <v>Satis_Bin|7-10</v>
      </c>
      <c r="U157" t="str">
        <f t="shared" si="49"/>
        <v>Monthly_Bin|60-90</v>
      </c>
      <c r="V157" t="str">
        <f t="shared" si="50"/>
        <v>Usage_Bin|20-40</v>
      </c>
      <c r="W157">
        <f t="shared" si="51"/>
        <v>3</v>
      </c>
      <c r="X157">
        <f t="shared" si="52"/>
        <v>0</v>
      </c>
      <c r="Y157">
        <f t="shared" si="53"/>
        <v>0</v>
      </c>
      <c r="Z157">
        <f t="shared" si="54"/>
        <v>1</v>
      </c>
      <c r="AA157">
        <f t="shared" si="55"/>
        <v>1</v>
      </c>
      <c r="AB157" s="51">
        <f t="shared" si="56"/>
        <v>5</v>
      </c>
      <c r="AC157" t="str">
        <f t="shared" si="57"/>
        <v>Medium</v>
      </c>
      <c r="AD157" t="str">
        <f t="shared" si="58"/>
        <v>No</v>
      </c>
      <c r="AE157">
        <f t="shared" si="59"/>
        <v>0</v>
      </c>
      <c r="AF157">
        <f xml:space="preserve">
_xlfn.XLOOKUP(AB157, '3.3 Calibration'!$A$2:$A$14, '3.3 Calibration'!$F$2:$F$14,
        '3.3 Calibration'!$D$2, 1)</f>
        <v>0.33333333333333331</v>
      </c>
      <c r="AG157" t="str">
        <f t="shared" si="60"/>
        <v>No</v>
      </c>
      <c r="AH157" t="str">
        <f t="shared" si="61"/>
        <v>Low</v>
      </c>
      <c r="AI157" t="e">
        <f t="shared" si="62"/>
        <v>#N/A</v>
      </c>
    </row>
    <row r="158" spans="1:35" x14ac:dyDescent="0.2">
      <c r="A158">
        <v>157</v>
      </c>
      <c r="B158">
        <v>68</v>
      </c>
      <c r="C158" t="s">
        <v>15</v>
      </c>
      <c r="D158">
        <v>17</v>
      </c>
      <c r="E158">
        <v>105.08</v>
      </c>
      <c r="F158" t="s">
        <v>19</v>
      </c>
      <c r="G158" t="s">
        <v>22</v>
      </c>
      <c r="H158">
        <v>0</v>
      </c>
      <c r="I158">
        <v>87.9</v>
      </c>
      <c r="J158">
        <v>1</v>
      </c>
      <c r="K158">
        <v>1778.09</v>
      </c>
      <c r="L158">
        <v>1</v>
      </c>
      <c r="M158" t="s">
        <v>134</v>
      </c>
      <c r="N158" t="str">
        <f t="shared" si="42"/>
        <v>12-24</v>
      </c>
      <c r="O158" t="str">
        <f t="shared" si="43"/>
        <v>&gt;=90</v>
      </c>
      <c r="P158" t="str">
        <f t="shared" si="44"/>
        <v>1-3</v>
      </c>
      <c r="Q158" t="str">
        <f t="shared" si="45"/>
        <v>&gt;=80</v>
      </c>
      <c r="R158" t="str">
        <f t="shared" si="46"/>
        <v>ContractType|2-Year</v>
      </c>
      <c r="S158" t="str">
        <f t="shared" si="47"/>
        <v>Tenure_Bin|12-24</v>
      </c>
      <c r="T158" t="str">
        <f t="shared" si="48"/>
        <v>Satis_Bin|1-3</v>
      </c>
      <c r="U158" t="str">
        <f t="shared" si="49"/>
        <v>Monthly_Bin|&gt;=90</v>
      </c>
      <c r="V158" t="str">
        <f t="shared" si="50"/>
        <v>Usage_Bin|&gt;=80</v>
      </c>
      <c r="W158">
        <f t="shared" si="51"/>
        <v>0</v>
      </c>
      <c r="X158">
        <f t="shared" si="52"/>
        <v>1</v>
      </c>
      <c r="Y158">
        <f t="shared" si="53"/>
        <v>4</v>
      </c>
      <c r="Z158">
        <f t="shared" si="54"/>
        <v>2</v>
      </c>
      <c r="AA158">
        <f t="shared" si="55"/>
        <v>0</v>
      </c>
      <c r="AB158" s="51">
        <f t="shared" si="56"/>
        <v>7</v>
      </c>
      <c r="AC158" t="str">
        <f t="shared" si="57"/>
        <v>High</v>
      </c>
      <c r="AD158" t="str">
        <f t="shared" si="58"/>
        <v>No</v>
      </c>
      <c r="AE158">
        <f t="shared" si="59"/>
        <v>0</v>
      </c>
      <c r="AF158">
        <f xml:space="preserve">
_xlfn.XLOOKUP(AB158, '3.3 Calibration'!$A$2:$A$14, '3.3 Calibration'!$F$2:$F$14,
        '3.3 Calibration'!$D$2, 1)</f>
        <v>0.54166666666666663</v>
      </c>
      <c r="AG158" t="str">
        <f t="shared" si="60"/>
        <v>Yes</v>
      </c>
      <c r="AH158" t="str">
        <f t="shared" si="61"/>
        <v>Medium</v>
      </c>
      <c r="AI158" t="e">
        <f t="shared" si="62"/>
        <v>#N/A</v>
      </c>
    </row>
    <row r="159" spans="1:35" x14ac:dyDescent="0.2">
      <c r="A159">
        <v>158</v>
      </c>
      <c r="B159">
        <v>49</v>
      </c>
      <c r="C159" t="s">
        <v>15</v>
      </c>
      <c r="D159">
        <v>7</v>
      </c>
      <c r="E159">
        <v>28.79</v>
      </c>
      <c r="F159" t="s">
        <v>18</v>
      </c>
      <c r="G159" t="s">
        <v>23</v>
      </c>
      <c r="H159">
        <v>3</v>
      </c>
      <c r="I159">
        <v>56.8</v>
      </c>
      <c r="J159">
        <v>9</v>
      </c>
      <c r="K159">
        <v>209.1</v>
      </c>
      <c r="L159">
        <v>0</v>
      </c>
      <c r="M159" t="s">
        <v>134</v>
      </c>
      <c r="N159" t="str">
        <f t="shared" si="42"/>
        <v>6-12</v>
      </c>
      <c r="O159" t="str">
        <f t="shared" si="43"/>
        <v>&lt;30</v>
      </c>
      <c r="P159" t="str">
        <f t="shared" si="44"/>
        <v>7-10</v>
      </c>
      <c r="Q159" t="str">
        <f t="shared" si="45"/>
        <v>40-80</v>
      </c>
      <c r="R159" t="str">
        <f t="shared" si="46"/>
        <v>ContractType|1-Year</v>
      </c>
      <c r="S159" t="str">
        <f t="shared" si="47"/>
        <v>Tenure_Bin|6-12</v>
      </c>
      <c r="T159" t="str">
        <f t="shared" si="48"/>
        <v>Satis_Bin|7-10</v>
      </c>
      <c r="U159" t="str">
        <f t="shared" si="49"/>
        <v>Monthly_Bin|&lt;30</v>
      </c>
      <c r="V159" t="str">
        <f t="shared" si="50"/>
        <v>Usage_Bin|40-80</v>
      </c>
      <c r="W159">
        <f t="shared" si="51"/>
        <v>1</v>
      </c>
      <c r="X159">
        <f t="shared" si="52"/>
        <v>2</v>
      </c>
      <c r="Y159">
        <f t="shared" si="53"/>
        <v>0</v>
      </c>
      <c r="Z159">
        <f t="shared" si="54"/>
        <v>0</v>
      </c>
      <c r="AA159">
        <f t="shared" si="55"/>
        <v>0</v>
      </c>
      <c r="AB159" s="51">
        <f t="shared" si="56"/>
        <v>3</v>
      </c>
      <c r="AC159" t="str">
        <f t="shared" si="57"/>
        <v>Low</v>
      </c>
      <c r="AD159" t="str">
        <f t="shared" si="58"/>
        <v>No</v>
      </c>
      <c r="AE159">
        <f t="shared" si="59"/>
        <v>0</v>
      </c>
      <c r="AF159">
        <f xml:space="preserve">
_xlfn.XLOOKUP(AB159, '3.3 Calibration'!$A$2:$A$14, '3.3 Calibration'!$F$2:$F$14,
        '3.3 Calibration'!$D$2, 1)</f>
        <v>0.42105263157894735</v>
      </c>
      <c r="AG159" t="str">
        <f t="shared" si="60"/>
        <v>No</v>
      </c>
      <c r="AH159" t="str">
        <f t="shared" si="61"/>
        <v>Medium</v>
      </c>
      <c r="AI159" t="e">
        <f t="shared" si="62"/>
        <v>#N/A</v>
      </c>
    </row>
    <row r="160" spans="1:35" x14ac:dyDescent="0.2">
      <c r="A160">
        <v>159</v>
      </c>
      <c r="B160">
        <v>56</v>
      </c>
      <c r="C160" t="s">
        <v>15</v>
      </c>
      <c r="D160">
        <v>46</v>
      </c>
      <c r="E160">
        <v>100.59</v>
      </c>
      <c r="F160" t="s">
        <v>20</v>
      </c>
      <c r="G160" t="s">
        <v>24</v>
      </c>
      <c r="H160">
        <v>1</v>
      </c>
      <c r="I160">
        <v>77.099999999999994</v>
      </c>
      <c r="J160">
        <v>1</v>
      </c>
      <c r="K160">
        <v>4833.24</v>
      </c>
      <c r="L160">
        <v>0</v>
      </c>
      <c r="M160" t="s">
        <v>134</v>
      </c>
      <c r="N160" t="str">
        <f t="shared" si="42"/>
        <v>&gt;=24</v>
      </c>
      <c r="O160" t="str">
        <f t="shared" si="43"/>
        <v>&gt;=90</v>
      </c>
      <c r="P160" t="str">
        <f t="shared" si="44"/>
        <v>1-3</v>
      </c>
      <c r="Q160" t="str">
        <f t="shared" si="45"/>
        <v>40-80</v>
      </c>
      <c r="R160" t="str">
        <f t="shared" si="46"/>
        <v>ContractType|Month-to-Month</v>
      </c>
      <c r="S160" t="str">
        <f t="shared" si="47"/>
        <v>Tenure_Bin|&gt;=24</v>
      </c>
      <c r="T160" t="str">
        <f t="shared" si="48"/>
        <v>Satis_Bin|1-3</v>
      </c>
      <c r="U160" t="str">
        <f t="shared" si="49"/>
        <v>Monthly_Bin|&gt;=90</v>
      </c>
      <c r="V160" t="str">
        <f t="shared" si="50"/>
        <v>Usage_Bin|40-80</v>
      </c>
      <c r="W160">
        <f t="shared" si="51"/>
        <v>3</v>
      </c>
      <c r="X160">
        <f t="shared" si="52"/>
        <v>0</v>
      </c>
      <c r="Y160">
        <f t="shared" si="53"/>
        <v>4</v>
      </c>
      <c r="Z160">
        <f t="shared" si="54"/>
        <v>2</v>
      </c>
      <c r="AA160">
        <f t="shared" si="55"/>
        <v>0</v>
      </c>
      <c r="AB160" s="51">
        <f t="shared" si="56"/>
        <v>9</v>
      </c>
      <c r="AC160" t="str">
        <f t="shared" si="57"/>
        <v>High</v>
      </c>
      <c r="AD160" t="str">
        <f t="shared" si="58"/>
        <v>No</v>
      </c>
      <c r="AE160">
        <f t="shared" si="59"/>
        <v>0</v>
      </c>
      <c r="AF160">
        <f xml:space="preserve">
_xlfn.XLOOKUP(AB160, '3.3 Calibration'!$A$2:$A$14, '3.3 Calibration'!$F$2:$F$14,
        '3.3 Calibration'!$D$2, 1)</f>
        <v>0.54545454545454541</v>
      </c>
      <c r="AG160" t="str">
        <f t="shared" si="60"/>
        <v>Yes</v>
      </c>
      <c r="AH160" t="str">
        <f t="shared" si="61"/>
        <v>Medium</v>
      </c>
      <c r="AI160" t="e">
        <f t="shared" si="62"/>
        <v>#N/A</v>
      </c>
    </row>
    <row r="161" spans="1:35" x14ac:dyDescent="0.2">
      <c r="A161">
        <v>160</v>
      </c>
      <c r="B161">
        <v>66</v>
      </c>
      <c r="C161" t="s">
        <v>16</v>
      </c>
      <c r="D161">
        <v>13</v>
      </c>
      <c r="E161">
        <v>25.57</v>
      </c>
      <c r="F161" t="s">
        <v>20</v>
      </c>
      <c r="G161" t="s">
        <v>24</v>
      </c>
      <c r="H161">
        <v>0</v>
      </c>
      <c r="I161">
        <v>76.599999999999994</v>
      </c>
      <c r="J161">
        <v>3</v>
      </c>
      <c r="K161">
        <v>345.21</v>
      </c>
      <c r="L161">
        <v>1</v>
      </c>
      <c r="M161" t="s">
        <v>134</v>
      </c>
      <c r="N161" t="str">
        <f t="shared" si="42"/>
        <v>12-24</v>
      </c>
      <c r="O161" t="str">
        <f t="shared" si="43"/>
        <v>&lt;30</v>
      </c>
      <c r="P161" t="str">
        <f t="shared" si="44"/>
        <v>1-3</v>
      </c>
      <c r="Q161" t="str">
        <f t="shared" si="45"/>
        <v>40-80</v>
      </c>
      <c r="R161" t="str">
        <f t="shared" si="46"/>
        <v>ContractType|Month-to-Month</v>
      </c>
      <c r="S161" t="str">
        <f t="shared" si="47"/>
        <v>Tenure_Bin|12-24</v>
      </c>
      <c r="T161" t="str">
        <f t="shared" si="48"/>
        <v>Satis_Bin|1-3</v>
      </c>
      <c r="U161" t="str">
        <f t="shared" si="49"/>
        <v>Monthly_Bin|&lt;30</v>
      </c>
      <c r="V161" t="str">
        <f t="shared" si="50"/>
        <v>Usage_Bin|40-80</v>
      </c>
      <c r="W161">
        <f t="shared" si="51"/>
        <v>3</v>
      </c>
      <c r="X161">
        <f t="shared" si="52"/>
        <v>1</v>
      </c>
      <c r="Y161">
        <f t="shared" si="53"/>
        <v>4</v>
      </c>
      <c r="Z161">
        <f t="shared" si="54"/>
        <v>0</v>
      </c>
      <c r="AA161">
        <f t="shared" si="55"/>
        <v>0</v>
      </c>
      <c r="AB161" s="51">
        <f t="shared" si="56"/>
        <v>8</v>
      </c>
      <c r="AC161" t="str">
        <f t="shared" si="57"/>
        <v>High</v>
      </c>
      <c r="AD161" t="str">
        <f t="shared" si="58"/>
        <v>No</v>
      </c>
      <c r="AE161">
        <f t="shared" si="59"/>
        <v>0</v>
      </c>
      <c r="AF161">
        <f xml:space="preserve">
_xlfn.XLOOKUP(AB161, '3.3 Calibration'!$A$2:$A$14, '3.3 Calibration'!$F$2:$F$14,
        '3.3 Calibration'!$D$2, 1)</f>
        <v>0.73684210526315785</v>
      </c>
      <c r="AG161" t="str">
        <f t="shared" si="60"/>
        <v>Yes</v>
      </c>
      <c r="AH161" t="str">
        <f t="shared" si="61"/>
        <v>High</v>
      </c>
      <c r="AI161" t="str">
        <f t="shared" si="62"/>
        <v>12-24</v>
      </c>
    </row>
    <row r="162" spans="1:35" x14ac:dyDescent="0.2">
      <c r="A162">
        <v>161</v>
      </c>
      <c r="B162">
        <v>69</v>
      </c>
      <c r="C162" t="s">
        <v>15</v>
      </c>
      <c r="D162">
        <v>40</v>
      </c>
      <c r="E162">
        <v>104.23</v>
      </c>
      <c r="F162" t="s">
        <v>19</v>
      </c>
      <c r="G162" t="s">
        <v>22</v>
      </c>
      <c r="H162">
        <v>0</v>
      </c>
      <c r="I162">
        <v>6.7</v>
      </c>
      <c r="J162">
        <v>8</v>
      </c>
      <c r="K162">
        <v>3864.38</v>
      </c>
      <c r="L162">
        <v>0</v>
      </c>
      <c r="M162" t="s">
        <v>134</v>
      </c>
      <c r="N162" t="str">
        <f t="shared" si="42"/>
        <v>&gt;=24</v>
      </c>
      <c r="O162" t="str">
        <f t="shared" si="43"/>
        <v>&gt;=90</v>
      </c>
      <c r="P162" t="str">
        <f t="shared" si="44"/>
        <v>7-10</v>
      </c>
      <c r="Q162" t="str">
        <f t="shared" si="45"/>
        <v>&lt;20</v>
      </c>
      <c r="R162" t="str">
        <f t="shared" si="46"/>
        <v>ContractType|2-Year</v>
      </c>
      <c r="S162" t="str">
        <f t="shared" si="47"/>
        <v>Tenure_Bin|&gt;=24</v>
      </c>
      <c r="T162" t="str">
        <f t="shared" si="48"/>
        <v>Satis_Bin|7-10</v>
      </c>
      <c r="U162" t="str">
        <f t="shared" si="49"/>
        <v>Monthly_Bin|&gt;=90</v>
      </c>
      <c r="V162" t="str">
        <f t="shared" si="50"/>
        <v>Usage_Bin|&lt;20</v>
      </c>
      <c r="W162">
        <f t="shared" si="51"/>
        <v>0</v>
      </c>
      <c r="X162">
        <f t="shared" si="52"/>
        <v>0</v>
      </c>
      <c r="Y162">
        <f t="shared" si="53"/>
        <v>0</v>
      </c>
      <c r="Z162">
        <f t="shared" si="54"/>
        <v>2</v>
      </c>
      <c r="AA162">
        <f t="shared" si="55"/>
        <v>2</v>
      </c>
      <c r="AB162" s="51">
        <f t="shared" si="56"/>
        <v>4</v>
      </c>
      <c r="AC162" t="str">
        <f t="shared" si="57"/>
        <v>Medium</v>
      </c>
      <c r="AD162" t="str">
        <f t="shared" si="58"/>
        <v>No</v>
      </c>
      <c r="AE162">
        <f t="shared" si="59"/>
        <v>0</v>
      </c>
      <c r="AF162">
        <f xml:space="preserve">
_xlfn.XLOOKUP(AB162, '3.3 Calibration'!$A$2:$A$14, '3.3 Calibration'!$F$2:$F$14,
        '3.3 Calibration'!$D$2, 1)</f>
        <v>0.40740740740740738</v>
      </c>
      <c r="AG162" t="str">
        <f t="shared" si="60"/>
        <v>No</v>
      </c>
      <c r="AH162" t="str">
        <f t="shared" si="61"/>
        <v>Medium</v>
      </c>
      <c r="AI162" t="e">
        <f t="shared" si="62"/>
        <v>#N/A</v>
      </c>
    </row>
    <row r="163" spans="1:35" x14ac:dyDescent="0.2">
      <c r="A163">
        <v>162</v>
      </c>
      <c r="B163">
        <v>49</v>
      </c>
      <c r="C163" t="s">
        <v>16</v>
      </c>
      <c r="D163">
        <v>42</v>
      </c>
      <c r="E163">
        <v>25.16</v>
      </c>
      <c r="F163" t="s">
        <v>20</v>
      </c>
      <c r="G163" t="s">
        <v>23</v>
      </c>
      <c r="H163">
        <v>1</v>
      </c>
      <c r="I163">
        <v>17</v>
      </c>
      <c r="J163">
        <v>3</v>
      </c>
      <c r="K163">
        <v>1014.32</v>
      </c>
      <c r="L163">
        <v>0</v>
      </c>
      <c r="M163" t="s">
        <v>133</v>
      </c>
      <c r="N163" t="str">
        <f t="shared" si="42"/>
        <v>&gt;=24</v>
      </c>
      <c r="O163" t="str">
        <f t="shared" si="43"/>
        <v>&lt;30</v>
      </c>
      <c r="P163" t="str">
        <f t="shared" si="44"/>
        <v>1-3</v>
      </c>
      <c r="Q163" t="str">
        <f t="shared" si="45"/>
        <v>&lt;20</v>
      </c>
      <c r="R163" t="str">
        <f t="shared" si="46"/>
        <v>ContractType|Month-to-Month</v>
      </c>
      <c r="S163" t="str">
        <f t="shared" si="47"/>
        <v>Tenure_Bin|&gt;=24</v>
      </c>
      <c r="T163" t="str">
        <f t="shared" si="48"/>
        <v>Satis_Bin|1-3</v>
      </c>
      <c r="U163" t="str">
        <f t="shared" si="49"/>
        <v>Monthly_Bin|&lt;30</v>
      </c>
      <c r="V163" t="str">
        <f t="shared" si="50"/>
        <v>Usage_Bin|&lt;20</v>
      </c>
      <c r="W163">
        <f t="shared" si="51"/>
        <v>3</v>
      </c>
      <c r="X163">
        <f t="shared" si="52"/>
        <v>0</v>
      </c>
      <c r="Y163">
        <f t="shared" si="53"/>
        <v>4</v>
      </c>
      <c r="Z163">
        <f t="shared" si="54"/>
        <v>0</v>
      </c>
      <c r="AA163">
        <f t="shared" si="55"/>
        <v>2</v>
      </c>
      <c r="AB163" s="51">
        <f t="shared" si="56"/>
        <v>9</v>
      </c>
      <c r="AC163" t="str">
        <f t="shared" si="57"/>
        <v>High</v>
      </c>
      <c r="AD163" t="str">
        <f t="shared" si="58"/>
        <v>No</v>
      </c>
      <c r="AE163">
        <f t="shared" si="59"/>
        <v>0</v>
      </c>
      <c r="AF163">
        <f xml:space="preserve">
_xlfn.XLOOKUP(AB163, '3.3 Calibration'!$A$2:$A$14, '3.3 Calibration'!$F$2:$F$14,
        '3.3 Calibration'!$D$2, 1)</f>
        <v>0.54545454545454541</v>
      </c>
      <c r="AG163" t="str">
        <f t="shared" si="60"/>
        <v>Yes</v>
      </c>
      <c r="AH163" t="str">
        <f t="shared" si="61"/>
        <v>Medium</v>
      </c>
      <c r="AI163" t="e">
        <f t="shared" si="62"/>
        <v>#N/A</v>
      </c>
    </row>
    <row r="164" spans="1:35" x14ac:dyDescent="0.2">
      <c r="A164">
        <v>163</v>
      </c>
      <c r="B164">
        <v>21</v>
      </c>
      <c r="C164" t="s">
        <v>15</v>
      </c>
      <c r="D164">
        <v>9</v>
      </c>
      <c r="E164">
        <v>21.82</v>
      </c>
      <c r="F164" t="s">
        <v>20</v>
      </c>
      <c r="G164" t="s">
        <v>23</v>
      </c>
      <c r="H164">
        <v>1</v>
      </c>
      <c r="I164">
        <v>67.7</v>
      </c>
      <c r="J164">
        <v>4</v>
      </c>
      <c r="K164">
        <v>190.83</v>
      </c>
      <c r="L164">
        <v>1</v>
      </c>
      <c r="M164" t="s">
        <v>134</v>
      </c>
      <c r="N164" t="str">
        <f t="shared" si="42"/>
        <v>6-12</v>
      </c>
      <c r="O164" t="str">
        <f t="shared" si="43"/>
        <v>&lt;30</v>
      </c>
      <c r="P164" t="str">
        <f t="shared" si="44"/>
        <v>4-6</v>
      </c>
      <c r="Q164" t="str">
        <f t="shared" si="45"/>
        <v>40-80</v>
      </c>
      <c r="R164" t="str">
        <f t="shared" si="46"/>
        <v>ContractType|Month-to-Month</v>
      </c>
      <c r="S164" t="str">
        <f t="shared" si="47"/>
        <v>Tenure_Bin|6-12</v>
      </c>
      <c r="T164" t="str">
        <f t="shared" si="48"/>
        <v>Satis_Bin|4-6</v>
      </c>
      <c r="U164" t="str">
        <f t="shared" si="49"/>
        <v>Monthly_Bin|&lt;30</v>
      </c>
      <c r="V164" t="str">
        <f t="shared" si="50"/>
        <v>Usage_Bin|40-80</v>
      </c>
      <c r="W164">
        <f t="shared" si="51"/>
        <v>3</v>
      </c>
      <c r="X164">
        <f t="shared" si="52"/>
        <v>2</v>
      </c>
      <c r="Y164">
        <f t="shared" si="53"/>
        <v>2</v>
      </c>
      <c r="Z164">
        <f t="shared" si="54"/>
        <v>0</v>
      </c>
      <c r="AA164">
        <f t="shared" si="55"/>
        <v>0</v>
      </c>
      <c r="AB164" s="51">
        <f t="shared" si="56"/>
        <v>7</v>
      </c>
      <c r="AC164" t="str">
        <f t="shared" si="57"/>
        <v>High</v>
      </c>
      <c r="AD164" t="str">
        <f t="shared" si="58"/>
        <v>No</v>
      </c>
      <c r="AE164">
        <f t="shared" si="59"/>
        <v>0</v>
      </c>
      <c r="AF164">
        <f xml:space="preserve">
_xlfn.XLOOKUP(AB164, '3.3 Calibration'!$A$2:$A$14, '3.3 Calibration'!$F$2:$F$14,
        '3.3 Calibration'!$D$2, 1)</f>
        <v>0.54166666666666663</v>
      </c>
      <c r="AG164" t="str">
        <f t="shared" si="60"/>
        <v>Yes</v>
      </c>
      <c r="AH164" t="str">
        <f t="shared" si="61"/>
        <v>Medium</v>
      </c>
      <c r="AI164" t="e">
        <f t="shared" si="62"/>
        <v>#N/A</v>
      </c>
    </row>
    <row r="165" spans="1:35" x14ac:dyDescent="0.2">
      <c r="A165">
        <v>164</v>
      </c>
      <c r="B165">
        <v>47</v>
      </c>
      <c r="C165" t="s">
        <v>16</v>
      </c>
      <c r="D165">
        <v>50</v>
      </c>
      <c r="E165">
        <v>89.7</v>
      </c>
      <c r="F165" t="s">
        <v>20</v>
      </c>
      <c r="G165" t="s">
        <v>24</v>
      </c>
      <c r="H165">
        <v>1</v>
      </c>
      <c r="I165">
        <v>20.399999999999999</v>
      </c>
      <c r="J165">
        <v>8</v>
      </c>
      <c r="K165">
        <v>4758.08</v>
      </c>
      <c r="L165">
        <v>0</v>
      </c>
      <c r="M165" t="s">
        <v>134</v>
      </c>
      <c r="N165" t="str">
        <f t="shared" si="42"/>
        <v>&gt;=24</v>
      </c>
      <c r="O165" t="str">
        <f t="shared" si="43"/>
        <v>60-90</v>
      </c>
      <c r="P165" t="str">
        <f t="shared" si="44"/>
        <v>7-10</v>
      </c>
      <c r="Q165" t="str">
        <f t="shared" si="45"/>
        <v>20-40</v>
      </c>
      <c r="R165" t="str">
        <f t="shared" si="46"/>
        <v>ContractType|Month-to-Month</v>
      </c>
      <c r="S165" t="str">
        <f t="shared" si="47"/>
        <v>Tenure_Bin|&gt;=24</v>
      </c>
      <c r="T165" t="str">
        <f t="shared" si="48"/>
        <v>Satis_Bin|7-10</v>
      </c>
      <c r="U165" t="str">
        <f t="shared" si="49"/>
        <v>Monthly_Bin|60-90</v>
      </c>
      <c r="V165" t="str">
        <f t="shared" si="50"/>
        <v>Usage_Bin|20-40</v>
      </c>
      <c r="W165">
        <f t="shared" si="51"/>
        <v>3</v>
      </c>
      <c r="X165">
        <f t="shared" si="52"/>
        <v>0</v>
      </c>
      <c r="Y165">
        <f t="shared" si="53"/>
        <v>0</v>
      </c>
      <c r="Z165">
        <f t="shared" si="54"/>
        <v>1</v>
      </c>
      <c r="AA165">
        <f t="shared" si="55"/>
        <v>1</v>
      </c>
      <c r="AB165" s="51">
        <f t="shared" si="56"/>
        <v>5</v>
      </c>
      <c r="AC165" t="str">
        <f t="shared" si="57"/>
        <v>Medium</v>
      </c>
      <c r="AD165" t="str">
        <f t="shared" si="58"/>
        <v>No</v>
      </c>
      <c r="AE165">
        <f t="shared" si="59"/>
        <v>0</v>
      </c>
      <c r="AF165">
        <f xml:space="preserve">
_xlfn.XLOOKUP(AB165, '3.3 Calibration'!$A$2:$A$14, '3.3 Calibration'!$F$2:$F$14,
        '3.3 Calibration'!$D$2, 1)</f>
        <v>0.33333333333333331</v>
      </c>
      <c r="AG165" t="str">
        <f t="shared" si="60"/>
        <v>No</v>
      </c>
      <c r="AH165" t="str">
        <f t="shared" si="61"/>
        <v>Low</v>
      </c>
      <c r="AI165" t="e">
        <f t="shared" si="62"/>
        <v>#N/A</v>
      </c>
    </row>
    <row r="166" spans="1:35" x14ac:dyDescent="0.2">
      <c r="A166">
        <v>165</v>
      </c>
      <c r="B166">
        <v>54</v>
      </c>
      <c r="C166" t="s">
        <v>15</v>
      </c>
      <c r="D166">
        <v>27</v>
      </c>
      <c r="E166">
        <v>119.73</v>
      </c>
      <c r="F166" t="s">
        <v>20</v>
      </c>
      <c r="G166" t="s">
        <v>23</v>
      </c>
      <c r="H166">
        <v>4</v>
      </c>
      <c r="I166">
        <v>29.3</v>
      </c>
      <c r="J166">
        <v>1</v>
      </c>
      <c r="K166">
        <v>3089.67</v>
      </c>
      <c r="L166">
        <v>1</v>
      </c>
      <c r="M166" t="s">
        <v>134</v>
      </c>
      <c r="N166" t="str">
        <f t="shared" si="42"/>
        <v>&gt;=24</v>
      </c>
      <c r="O166" t="str">
        <f t="shared" si="43"/>
        <v>&gt;=90</v>
      </c>
      <c r="P166" t="str">
        <f t="shared" si="44"/>
        <v>1-3</v>
      </c>
      <c r="Q166" t="str">
        <f t="shared" si="45"/>
        <v>20-40</v>
      </c>
      <c r="R166" t="str">
        <f t="shared" si="46"/>
        <v>ContractType|Month-to-Month</v>
      </c>
      <c r="S166" t="str">
        <f t="shared" si="47"/>
        <v>Tenure_Bin|&gt;=24</v>
      </c>
      <c r="T166" t="str">
        <f t="shared" si="48"/>
        <v>Satis_Bin|1-3</v>
      </c>
      <c r="U166" t="str">
        <f t="shared" si="49"/>
        <v>Monthly_Bin|&gt;=90</v>
      </c>
      <c r="V166" t="str">
        <f t="shared" si="50"/>
        <v>Usage_Bin|20-40</v>
      </c>
      <c r="W166">
        <f t="shared" si="51"/>
        <v>3</v>
      </c>
      <c r="X166">
        <f t="shared" si="52"/>
        <v>0</v>
      </c>
      <c r="Y166">
        <f t="shared" si="53"/>
        <v>4</v>
      </c>
      <c r="Z166">
        <f t="shared" si="54"/>
        <v>2</v>
      </c>
      <c r="AA166">
        <f t="shared" si="55"/>
        <v>1</v>
      </c>
      <c r="AB166" s="51">
        <f t="shared" si="56"/>
        <v>10</v>
      </c>
      <c r="AC166" t="str">
        <f t="shared" si="57"/>
        <v>High</v>
      </c>
      <c r="AD166" t="str">
        <f t="shared" si="58"/>
        <v>No</v>
      </c>
      <c r="AE166">
        <f t="shared" si="59"/>
        <v>0</v>
      </c>
      <c r="AF166">
        <f xml:space="preserve">
_xlfn.XLOOKUP(AB166, '3.3 Calibration'!$A$2:$A$14, '3.3 Calibration'!$F$2:$F$14,
        '3.3 Calibration'!$D$2, 1)</f>
        <v>0.5</v>
      </c>
      <c r="AG166" t="str">
        <f t="shared" si="60"/>
        <v>Yes</v>
      </c>
      <c r="AH166" t="str">
        <f t="shared" si="61"/>
        <v>Medium</v>
      </c>
      <c r="AI166" t="e">
        <f t="shared" si="62"/>
        <v>#N/A</v>
      </c>
    </row>
    <row r="167" spans="1:35" x14ac:dyDescent="0.2">
      <c r="A167">
        <v>166</v>
      </c>
      <c r="B167">
        <v>40</v>
      </c>
      <c r="C167" t="s">
        <v>16</v>
      </c>
      <c r="D167">
        <v>66</v>
      </c>
      <c r="E167">
        <v>109.66</v>
      </c>
      <c r="F167" t="s">
        <v>18</v>
      </c>
      <c r="G167" t="s">
        <v>23</v>
      </c>
      <c r="H167">
        <v>3</v>
      </c>
      <c r="I167">
        <v>94.9</v>
      </c>
      <c r="J167">
        <v>6</v>
      </c>
      <c r="K167">
        <v>6818.8</v>
      </c>
      <c r="L167">
        <v>1</v>
      </c>
      <c r="M167" t="s">
        <v>134</v>
      </c>
      <c r="N167" t="str">
        <f t="shared" si="42"/>
        <v>&gt;=24</v>
      </c>
      <c r="O167" t="str">
        <f t="shared" si="43"/>
        <v>&gt;=90</v>
      </c>
      <c r="P167" t="str">
        <f t="shared" si="44"/>
        <v>4-6</v>
      </c>
      <c r="Q167" t="str">
        <f t="shared" si="45"/>
        <v>&gt;=80</v>
      </c>
      <c r="R167" t="str">
        <f t="shared" si="46"/>
        <v>ContractType|1-Year</v>
      </c>
      <c r="S167" t="str">
        <f t="shared" si="47"/>
        <v>Tenure_Bin|&gt;=24</v>
      </c>
      <c r="T167" t="str">
        <f t="shared" si="48"/>
        <v>Satis_Bin|4-6</v>
      </c>
      <c r="U167" t="str">
        <f t="shared" si="49"/>
        <v>Monthly_Bin|&gt;=90</v>
      </c>
      <c r="V167" t="str">
        <f t="shared" si="50"/>
        <v>Usage_Bin|&gt;=80</v>
      </c>
      <c r="W167">
        <f t="shared" si="51"/>
        <v>1</v>
      </c>
      <c r="X167">
        <f t="shared" si="52"/>
        <v>0</v>
      </c>
      <c r="Y167">
        <f t="shared" si="53"/>
        <v>2</v>
      </c>
      <c r="Z167">
        <f t="shared" si="54"/>
        <v>2</v>
      </c>
      <c r="AA167">
        <f t="shared" si="55"/>
        <v>0</v>
      </c>
      <c r="AB167" s="51">
        <f t="shared" si="56"/>
        <v>5</v>
      </c>
      <c r="AC167" t="str">
        <f t="shared" si="57"/>
        <v>Medium</v>
      </c>
      <c r="AD167" t="str">
        <f t="shared" si="58"/>
        <v>No</v>
      </c>
      <c r="AE167">
        <f t="shared" si="59"/>
        <v>0</v>
      </c>
      <c r="AF167">
        <f xml:space="preserve">
_xlfn.XLOOKUP(AB167, '3.3 Calibration'!$A$2:$A$14, '3.3 Calibration'!$F$2:$F$14,
        '3.3 Calibration'!$D$2, 1)</f>
        <v>0.33333333333333331</v>
      </c>
      <c r="AG167" t="str">
        <f t="shared" si="60"/>
        <v>No</v>
      </c>
      <c r="AH167" t="str">
        <f t="shared" si="61"/>
        <v>Low</v>
      </c>
      <c r="AI167" t="e">
        <f t="shared" si="62"/>
        <v>#N/A</v>
      </c>
    </row>
    <row r="168" spans="1:35" x14ac:dyDescent="0.2">
      <c r="A168">
        <v>167</v>
      </c>
      <c r="B168">
        <v>56</v>
      </c>
      <c r="C168" t="s">
        <v>16</v>
      </c>
      <c r="D168">
        <v>5</v>
      </c>
      <c r="E168">
        <v>77.599999999999994</v>
      </c>
      <c r="F168" t="s">
        <v>18</v>
      </c>
      <c r="G168" t="s">
        <v>22</v>
      </c>
      <c r="H168">
        <v>2</v>
      </c>
      <c r="I168">
        <v>58.2</v>
      </c>
      <c r="J168">
        <v>1</v>
      </c>
      <c r="K168">
        <v>423.5</v>
      </c>
      <c r="L168">
        <v>1</v>
      </c>
      <c r="M168" t="s">
        <v>134</v>
      </c>
      <c r="N168" t="str">
        <f t="shared" si="42"/>
        <v>&lt;6</v>
      </c>
      <c r="O168" t="str">
        <f t="shared" si="43"/>
        <v>60-90</v>
      </c>
      <c r="P168" t="str">
        <f t="shared" si="44"/>
        <v>1-3</v>
      </c>
      <c r="Q168" t="str">
        <f t="shared" si="45"/>
        <v>40-80</v>
      </c>
      <c r="R168" t="str">
        <f t="shared" si="46"/>
        <v>ContractType|1-Year</v>
      </c>
      <c r="S168" t="str">
        <f t="shared" si="47"/>
        <v>Tenure_Bin|&lt;6</v>
      </c>
      <c r="T168" t="str">
        <f t="shared" si="48"/>
        <v>Satis_Bin|1-3</v>
      </c>
      <c r="U168" t="str">
        <f t="shared" si="49"/>
        <v>Monthly_Bin|60-90</v>
      </c>
      <c r="V168" t="str">
        <f t="shared" si="50"/>
        <v>Usage_Bin|40-80</v>
      </c>
      <c r="W168">
        <f t="shared" si="51"/>
        <v>1</v>
      </c>
      <c r="X168">
        <f t="shared" si="52"/>
        <v>3</v>
      </c>
      <c r="Y168">
        <f t="shared" si="53"/>
        <v>4</v>
      </c>
      <c r="Z168">
        <f t="shared" si="54"/>
        <v>1</v>
      </c>
      <c r="AA168">
        <f t="shared" si="55"/>
        <v>0</v>
      </c>
      <c r="AB168" s="51">
        <f t="shared" si="56"/>
        <v>9</v>
      </c>
      <c r="AC168" t="str">
        <f t="shared" si="57"/>
        <v>High</v>
      </c>
      <c r="AD168" t="str">
        <f t="shared" si="58"/>
        <v>No</v>
      </c>
      <c r="AE168">
        <f t="shared" si="59"/>
        <v>0</v>
      </c>
      <c r="AF168">
        <f xml:space="preserve">
_xlfn.XLOOKUP(AB168, '3.3 Calibration'!$A$2:$A$14, '3.3 Calibration'!$F$2:$F$14,
        '3.3 Calibration'!$D$2, 1)</f>
        <v>0.54545454545454541</v>
      </c>
      <c r="AG168" t="str">
        <f t="shared" si="60"/>
        <v>Yes</v>
      </c>
      <c r="AH168" t="str">
        <f t="shared" si="61"/>
        <v>Medium</v>
      </c>
      <c r="AI168" t="e">
        <f t="shared" si="62"/>
        <v>#N/A</v>
      </c>
    </row>
    <row r="169" spans="1:35" x14ac:dyDescent="0.2">
      <c r="A169">
        <v>168</v>
      </c>
      <c r="B169">
        <v>62</v>
      </c>
      <c r="C169" t="s">
        <v>15</v>
      </c>
      <c r="D169">
        <v>29</v>
      </c>
      <c r="E169">
        <v>111.74</v>
      </c>
      <c r="F169" t="s">
        <v>20</v>
      </c>
      <c r="G169" t="s">
        <v>23</v>
      </c>
      <c r="H169">
        <v>4</v>
      </c>
      <c r="I169">
        <v>76.3</v>
      </c>
      <c r="J169">
        <v>1</v>
      </c>
      <c r="K169">
        <v>2922.16</v>
      </c>
      <c r="L169">
        <v>1</v>
      </c>
      <c r="M169" t="s">
        <v>134</v>
      </c>
      <c r="N169" t="str">
        <f t="shared" si="42"/>
        <v>&gt;=24</v>
      </c>
      <c r="O169" t="str">
        <f t="shared" si="43"/>
        <v>&gt;=90</v>
      </c>
      <c r="P169" t="str">
        <f t="shared" si="44"/>
        <v>1-3</v>
      </c>
      <c r="Q169" t="str">
        <f t="shared" si="45"/>
        <v>40-80</v>
      </c>
      <c r="R169" t="str">
        <f t="shared" si="46"/>
        <v>ContractType|Month-to-Month</v>
      </c>
      <c r="S169" t="str">
        <f t="shared" si="47"/>
        <v>Tenure_Bin|&gt;=24</v>
      </c>
      <c r="T169" t="str">
        <f t="shared" si="48"/>
        <v>Satis_Bin|1-3</v>
      </c>
      <c r="U169" t="str">
        <f t="shared" si="49"/>
        <v>Monthly_Bin|&gt;=90</v>
      </c>
      <c r="V169" t="str">
        <f t="shared" si="50"/>
        <v>Usage_Bin|40-80</v>
      </c>
      <c r="W169">
        <f t="shared" si="51"/>
        <v>3</v>
      </c>
      <c r="X169">
        <f t="shared" si="52"/>
        <v>0</v>
      </c>
      <c r="Y169">
        <f t="shared" si="53"/>
        <v>4</v>
      </c>
      <c r="Z169">
        <f t="shared" si="54"/>
        <v>2</v>
      </c>
      <c r="AA169">
        <f t="shared" si="55"/>
        <v>0</v>
      </c>
      <c r="AB169" s="51">
        <f t="shared" si="56"/>
        <v>9</v>
      </c>
      <c r="AC169" t="str">
        <f t="shared" si="57"/>
        <v>High</v>
      </c>
      <c r="AD169" t="str">
        <f t="shared" si="58"/>
        <v>No</v>
      </c>
      <c r="AE169">
        <f t="shared" si="59"/>
        <v>0</v>
      </c>
      <c r="AF169">
        <f xml:space="preserve">
_xlfn.XLOOKUP(AB169, '3.3 Calibration'!$A$2:$A$14, '3.3 Calibration'!$F$2:$F$14,
        '3.3 Calibration'!$D$2, 1)</f>
        <v>0.54545454545454541</v>
      </c>
      <c r="AG169" t="str">
        <f t="shared" si="60"/>
        <v>Yes</v>
      </c>
      <c r="AH169" t="str">
        <f t="shared" si="61"/>
        <v>Medium</v>
      </c>
      <c r="AI169" t="e">
        <f t="shared" si="62"/>
        <v>#N/A</v>
      </c>
    </row>
    <row r="170" spans="1:35" x14ac:dyDescent="0.2">
      <c r="A170">
        <v>169</v>
      </c>
      <c r="B170">
        <v>32</v>
      </c>
      <c r="C170" t="s">
        <v>16</v>
      </c>
      <c r="D170">
        <v>37</v>
      </c>
      <c r="E170">
        <v>20.53</v>
      </c>
      <c r="F170" t="s">
        <v>20</v>
      </c>
      <c r="G170" t="s">
        <v>22</v>
      </c>
      <c r="H170">
        <v>2</v>
      </c>
      <c r="I170">
        <v>58</v>
      </c>
      <c r="J170">
        <v>8</v>
      </c>
      <c r="K170">
        <v>835.24</v>
      </c>
      <c r="L170">
        <v>1</v>
      </c>
      <c r="M170" t="s">
        <v>134</v>
      </c>
      <c r="N170" t="str">
        <f t="shared" si="42"/>
        <v>&gt;=24</v>
      </c>
      <c r="O170" t="str">
        <f t="shared" si="43"/>
        <v>&lt;30</v>
      </c>
      <c r="P170" t="str">
        <f t="shared" si="44"/>
        <v>7-10</v>
      </c>
      <c r="Q170" t="str">
        <f t="shared" si="45"/>
        <v>40-80</v>
      </c>
      <c r="R170" t="str">
        <f t="shared" si="46"/>
        <v>ContractType|Month-to-Month</v>
      </c>
      <c r="S170" t="str">
        <f t="shared" si="47"/>
        <v>Tenure_Bin|&gt;=24</v>
      </c>
      <c r="T170" t="str">
        <f t="shared" si="48"/>
        <v>Satis_Bin|7-10</v>
      </c>
      <c r="U170" t="str">
        <f t="shared" si="49"/>
        <v>Monthly_Bin|&lt;30</v>
      </c>
      <c r="V170" t="str">
        <f t="shared" si="50"/>
        <v>Usage_Bin|40-80</v>
      </c>
      <c r="W170">
        <f t="shared" si="51"/>
        <v>3</v>
      </c>
      <c r="X170">
        <f t="shared" si="52"/>
        <v>0</v>
      </c>
      <c r="Y170">
        <f t="shared" si="53"/>
        <v>0</v>
      </c>
      <c r="Z170">
        <f t="shared" si="54"/>
        <v>0</v>
      </c>
      <c r="AA170">
        <f t="shared" si="55"/>
        <v>0</v>
      </c>
      <c r="AB170" s="51">
        <f t="shared" si="56"/>
        <v>3</v>
      </c>
      <c r="AC170" t="str">
        <f t="shared" si="57"/>
        <v>Low</v>
      </c>
      <c r="AD170" t="str">
        <f t="shared" si="58"/>
        <v>No</v>
      </c>
      <c r="AE170">
        <f t="shared" si="59"/>
        <v>0</v>
      </c>
      <c r="AF170">
        <f xml:space="preserve">
_xlfn.XLOOKUP(AB170, '3.3 Calibration'!$A$2:$A$14, '3.3 Calibration'!$F$2:$F$14,
        '3.3 Calibration'!$D$2, 1)</f>
        <v>0.42105263157894735</v>
      </c>
      <c r="AG170" t="str">
        <f t="shared" si="60"/>
        <v>No</v>
      </c>
      <c r="AH170" t="str">
        <f t="shared" si="61"/>
        <v>Medium</v>
      </c>
      <c r="AI170" t="e">
        <f t="shared" si="62"/>
        <v>#N/A</v>
      </c>
    </row>
    <row r="171" spans="1:35" x14ac:dyDescent="0.2">
      <c r="A171">
        <v>170</v>
      </c>
      <c r="B171">
        <v>60</v>
      </c>
      <c r="C171" t="s">
        <v>16</v>
      </c>
      <c r="D171">
        <v>38</v>
      </c>
      <c r="E171">
        <v>117.51</v>
      </c>
      <c r="F171" t="s">
        <v>18</v>
      </c>
      <c r="G171" t="s">
        <v>24</v>
      </c>
      <c r="H171">
        <v>0</v>
      </c>
      <c r="I171">
        <v>57.5</v>
      </c>
      <c r="J171">
        <v>4</v>
      </c>
      <c r="K171">
        <v>4623.29</v>
      </c>
      <c r="L171">
        <v>1</v>
      </c>
      <c r="M171" t="s">
        <v>134</v>
      </c>
      <c r="N171" t="str">
        <f t="shared" si="42"/>
        <v>&gt;=24</v>
      </c>
      <c r="O171" t="str">
        <f t="shared" si="43"/>
        <v>&gt;=90</v>
      </c>
      <c r="P171" t="str">
        <f t="shared" si="44"/>
        <v>4-6</v>
      </c>
      <c r="Q171" t="str">
        <f t="shared" si="45"/>
        <v>40-80</v>
      </c>
      <c r="R171" t="str">
        <f t="shared" si="46"/>
        <v>ContractType|1-Year</v>
      </c>
      <c r="S171" t="str">
        <f t="shared" si="47"/>
        <v>Tenure_Bin|&gt;=24</v>
      </c>
      <c r="T171" t="str">
        <f t="shared" si="48"/>
        <v>Satis_Bin|4-6</v>
      </c>
      <c r="U171" t="str">
        <f t="shared" si="49"/>
        <v>Monthly_Bin|&gt;=90</v>
      </c>
      <c r="V171" t="str">
        <f t="shared" si="50"/>
        <v>Usage_Bin|40-80</v>
      </c>
      <c r="W171">
        <f t="shared" si="51"/>
        <v>1</v>
      </c>
      <c r="X171">
        <f t="shared" si="52"/>
        <v>0</v>
      </c>
      <c r="Y171">
        <f t="shared" si="53"/>
        <v>2</v>
      </c>
      <c r="Z171">
        <f t="shared" si="54"/>
        <v>2</v>
      </c>
      <c r="AA171">
        <f t="shared" si="55"/>
        <v>0</v>
      </c>
      <c r="AB171" s="51">
        <f t="shared" si="56"/>
        <v>5</v>
      </c>
      <c r="AC171" t="str">
        <f t="shared" si="57"/>
        <v>Medium</v>
      </c>
      <c r="AD171" t="str">
        <f t="shared" si="58"/>
        <v>No</v>
      </c>
      <c r="AE171">
        <f t="shared" si="59"/>
        <v>0</v>
      </c>
      <c r="AF171">
        <f xml:space="preserve">
_xlfn.XLOOKUP(AB171, '3.3 Calibration'!$A$2:$A$14, '3.3 Calibration'!$F$2:$F$14,
        '3.3 Calibration'!$D$2, 1)</f>
        <v>0.33333333333333331</v>
      </c>
      <c r="AG171" t="str">
        <f t="shared" si="60"/>
        <v>No</v>
      </c>
      <c r="AH171" t="str">
        <f t="shared" si="61"/>
        <v>Low</v>
      </c>
      <c r="AI171" t="e">
        <f t="shared" si="62"/>
        <v>#N/A</v>
      </c>
    </row>
    <row r="172" spans="1:35" x14ac:dyDescent="0.2">
      <c r="A172">
        <v>171</v>
      </c>
      <c r="B172">
        <v>46</v>
      </c>
      <c r="C172" t="s">
        <v>15</v>
      </c>
      <c r="D172">
        <v>8</v>
      </c>
      <c r="E172">
        <v>69.069999999999993</v>
      </c>
      <c r="F172" t="s">
        <v>20</v>
      </c>
      <c r="G172" t="s">
        <v>23</v>
      </c>
      <c r="H172">
        <v>1</v>
      </c>
      <c r="I172">
        <v>13.9</v>
      </c>
      <c r="J172">
        <v>1</v>
      </c>
      <c r="K172">
        <v>588.86</v>
      </c>
      <c r="L172">
        <v>0</v>
      </c>
      <c r="M172" t="s">
        <v>133</v>
      </c>
      <c r="N172" t="str">
        <f t="shared" si="42"/>
        <v>6-12</v>
      </c>
      <c r="O172" t="str">
        <f t="shared" si="43"/>
        <v>60-90</v>
      </c>
      <c r="P172" t="str">
        <f t="shared" si="44"/>
        <v>1-3</v>
      </c>
      <c r="Q172" t="str">
        <f t="shared" si="45"/>
        <v>&lt;20</v>
      </c>
      <c r="R172" t="str">
        <f t="shared" si="46"/>
        <v>ContractType|Month-to-Month</v>
      </c>
      <c r="S172" t="str">
        <f t="shared" si="47"/>
        <v>Tenure_Bin|6-12</v>
      </c>
      <c r="T172" t="str">
        <f t="shared" si="48"/>
        <v>Satis_Bin|1-3</v>
      </c>
      <c r="U172" t="str">
        <f t="shared" si="49"/>
        <v>Monthly_Bin|60-90</v>
      </c>
      <c r="V172" t="str">
        <f t="shared" si="50"/>
        <v>Usage_Bin|&lt;20</v>
      </c>
      <c r="W172">
        <f t="shared" si="51"/>
        <v>3</v>
      </c>
      <c r="X172">
        <f t="shared" si="52"/>
        <v>2</v>
      </c>
      <c r="Y172">
        <f t="shared" si="53"/>
        <v>4</v>
      </c>
      <c r="Z172">
        <f t="shared" si="54"/>
        <v>1</v>
      </c>
      <c r="AA172">
        <f t="shared" si="55"/>
        <v>2</v>
      </c>
      <c r="AB172" s="51">
        <f t="shared" si="56"/>
        <v>12</v>
      </c>
      <c r="AC172" t="str">
        <f t="shared" si="57"/>
        <v>High</v>
      </c>
      <c r="AD172" t="str">
        <f t="shared" si="58"/>
        <v>No</v>
      </c>
      <c r="AE172">
        <f t="shared" si="59"/>
        <v>0</v>
      </c>
      <c r="AF172">
        <f xml:space="preserve">
_xlfn.XLOOKUP(AB172, '3.3 Calibration'!$A$2:$A$14, '3.3 Calibration'!$F$2:$F$14,
        '3.3 Calibration'!$D$2, 1)</f>
        <v>0.8</v>
      </c>
      <c r="AG172" t="str">
        <f t="shared" si="60"/>
        <v>Yes</v>
      </c>
      <c r="AH172" t="str">
        <f t="shared" si="61"/>
        <v>High</v>
      </c>
      <c r="AI172" t="str">
        <f t="shared" si="62"/>
        <v>6-12</v>
      </c>
    </row>
    <row r="173" spans="1:35" x14ac:dyDescent="0.2">
      <c r="A173">
        <v>172</v>
      </c>
      <c r="B173">
        <v>53</v>
      </c>
      <c r="C173" t="s">
        <v>16</v>
      </c>
      <c r="D173">
        <v>65</v>
      </c>
      <c r="E173">
        <v>92.29</v>
      </c>
      <c r="F173" t="s">
        <v>20</v>
      </c>
      <c r="G173" t="s">
        <v>24</v>
      </c>
      <c r="H173">
        <v>5</v>
      </c>
      <c r="I173">
        <v>37.6</v>
      </c>
      <c r="J173">
        <v>10</v>
      </c>
      <c r="K173">
        <v>5752.44</v>
      </c>
      <c r="L173">
        <v>0</v>
      </c>
      <c r="M173" t="s">
        <v>133</v>
      </c>
      <c r="N173" t="str">
        <f t="shared" si="42"/>
        <v>&gt;=24</v>
      </c>
      <c r="O173" t="str">
        <f t="shared" si="43"/>
        <v>&gt;=90</v>
      </c>
      <c r="P173" t="str">
        <f t="shared" si="44"/>
        <v>7-10</v>
      </c>
      <c r="Q173" t="str">
        <f t="shared" si="45"/>
        <v>20-40</v>
      </c>
      <c r="R173" t="str">
        <f t="shared" si="46"/>
        <v>ContractType|Month-to-Month</v>
      </c>
      <c r="S173" t="str">
        <f t="shared" si="47"/>
        <v>Tenure_Bin|&gt;=24</v>
      </c>
      <c r="T173" t="str">
        <f t="shared" si="48"/>
        <v>Satis_Bin|7-10</v>
      </c>
      <c r="U173" t="str">
        <f t="shared" si="49"/>
        <v>Monthly_Bin|&gt;=90</v>
      </c>
      <c r="V173" t="str">
        <f t="shared" si="50"/>
        <v>Usage_Bin|20-40</v>
      </c>
      <c r="W173">
        <f t="shared" si="51"/>
        <v>3</v>
      </c>
      <c r="X173">
        <f t="shared" si="52"/>
        <v>0</v>
      </c>
      <c r="Y173">
        <f t="shared" si="53"/>
        <v>0</v>
      </c>
      <c r="Z173">
        <f t="shared" si="54"/>
        <v>2</v>
      </c>
      <c r="AA173">
        <f t="shared" si="55"/>
        <v>1</v>
      </c>
      <c r="AB173" s="51">
        <f t="shared" si="56"/>
        <v>6</v>
      </c>
      <c r="AC173" t="str">
        <f t="shared" si="57"/>
        <v>Medium</v>
      </c>
      <c r="AD173" t="str">
        <f t="shared" si="58"/>
        <v>No</v>
      </c>
      <c r="AE173">
        <f t="shared" si="59"/>
        <v>0</v>
      </c>
      <c r="AF173">
        <f xml:space="preserve">
_xlfn.XLOOKUP(AB173, '3.3 Calibration'!$A$2:$A$14, '3.3 Calibration'!$F$2:$F$14,
        '3.3 Calibration'!$D$2, 1)</f>
        <v>0.33333333333333331</v>
      </c>
      <c r="AG173" t="str">
        <f t="shared" si="60"/>
        <v>No</v>
      </c>
      <c r="AH173" t="str">
        <f t="shared" si="61"/>
        <v>Low</v>
      </c>
      <c r="AI173" t="e">
        <f t="shared" si="62"/>
        <v>#N/A</v>
      </c>
    </row>
    <row r="174" spans="1:35" x14ac:dyDescent="0.2">
      <c r="A174">
        <v>173</v>
      </c>
      <c r="B174">
        <v>30</v>
      </c>
      <c r="C174" t="s">
        <v>16</v>
      </c>
      <c r="D174">
        <v>17</v>
      </c>
      <c r="E174">
        <v>102.09</v>
      </c>
      <c r="F174" t="s">
        <v>19</v>
      </c>
      <c r="G174" t="s">
        <v>24</v>
      </c>
      <c r="H174">
        <v>1</v>
      </c>
      <c r="I174">
        <v>31.8</v>
      </c>
      <c r="J174">
        <v>7</v>
      </c>
      <c r="K174">
        <v>1566.95</v>
      </c>
      <c r="L174">
        <v>0</v>
      </c>
      <c r="M174" t="s">
        <v>134</v>
      </c>
      <c r="N174" t="str">
        <f t="shared" si="42"/>
        <v>12-24</v>
      </c>
      <c r="O174" t="str">
        <f t="shared" si="43"/>
        <v>&gt;=90</v>
      </c>
      <c r="P174" t="str">
        <f t="shared" si="44"/>
        <v>7-10</v>
      </c>
      <c r="Q174" t="str">
        <f t="shared" si="45"/>
        <v>20-40</v>
      </c>
      <c r="R174" t="str">
        <f t="shared" si="46"/>
        <v>ContractType|2-Year</v>
      </c>
      <c r="S174" t="str">
        <f t="shared" si="47"/>
        <v>Tenure_Bin|12-24</v>
      </c>
      <c r="T174" t="str">
        <f t="shared" si="48"/>
        <v>Satis_Bin|7-10</v>
      </c>
      <c r="U174" t="str">
        <f t="shared" si="49"/>
        <v>Monthly_Bin|&gt;=90</v>
      </c>
      <c r="V174" t="str">
        <f t="shared" si="50"/>
        <v>Usage_Bin|20-40</v>
      </c>
      <c r="W174">
        <f t="shared" si="51"/>
        <v>0</v>
      </c>
      <c r="X174">
        <f t="shared" si="52"/>
        <v>1</v>
      </c>
      <c r="Y174">
        <f t="shared" si="53"/>
        <v>0</v>
      </c>
      <c r="Z174">
        <f t="shared" si="54"/>
        <v>2</v>
      </c>
      <c r="AA174">
        <f t="shared" si="55"/>
        <v>1</v>
      </c>
      <c r="AB174" s="51">
        <f t="shared" si="56"/>
        <v>4</v>
      </c>
      <c r="AC174" t="str">
        <f t="shared" si="57"/>
        <v>Medium</v>
      </c>
      <c r="AD174" t="str">
        <f t="shared" si="58"/>
        <v>No</v>
      </c>
      <c r="AE174">
        <f t="shared" si="59"/>
        <v>0</v>
      </c>
      <c r="AF174">
        <f xml:space="preserve">
_xlfn.XLOOKUP(AB174, '3.3 Calibration'!$A$2:$A$14, '3.3 Calibration'!$F$2:$F$14,
        '3.3 Calibration'!$D$2, 1)</f>
        <v>0.40740740740740738</v>
      </c>
      <c r="AG174" t="str">
        <f t="shared" si="60"/>
        <v>No</v>
      </c>
      <c r="AH174" t="str">
        <f t="shared" si="61"/>
        <v>Medium</v>
      </c>
      <c r="AI174" t="e">
        <f t="shared" si="62"/>
        <v>#N/A</v>
      </c>
    </row>
    <row r="175" spans="1:35" x14ac:dyDescent="0.2">
      <c r="A175">
        <v>174</v>
      </c>
      <c r="B175">
        <v>49</v>
      </c>
      <c r="C175" t="s">
        <v>16</v>
      </c>
      <c r="D175">
        <v>71</v>
      </c>
      <c r="E175">
        <v>91.85</v>
      </c>
      <c r="F175" t="s">
        <v>18</v>
      </c>
      <c r="G175" t="s">
        <v>23</v>
      </c>
      <c r="H175">
        <v>5</v>
      </c>
      <c r="I175">
        <v>42.1</v>
      </c>
      <c r="J175">
        <v>5</v>
      </c>
      <c r="K175">
        <v>6831.6</v>
      </c>
      <c r="L175">
        <v>0</v>
      </c>
      <c r="M175" t="s">
        <v>134</v>
      </c>
      <c r="N175" t="str">
        <f t="shared" si="42"/>
        <v>&gt;=24</v>
      </c>
      <c r="O175" t="str">
        <f t="shared" si="43"/>
        <v>&gt;=90</v>
      </c>
      <c r="P175" t="str">
        <f t="shared" si="44"/>
        <v>4-6</v>
      </c>
      <c r="Q175" t="str">
        <f t="shared" si="45"/>
        <v>40-80</v>
      </c>
      <c r="R175" t="str">
        <f t="shared" si="46"/>
        <v>ContractType|1-Year</v>
      </c>
      <c r="S175" t="str">
        <f t="shared" si="47"/>
        <v>Tenure_Bin|&gt;=24</v>
      </c>
      <c r="T175" t="str">
        <f t="shared" si="48"/>
        <v>Satis_Bin|4-6</v>
      </c>
      <c r="U175" t="str">
        <f t="shared" si="49"/>
        <v>Monthly_Bin|&gt;=90</v>
      </c>
      <c r="V175" t="str">
        <f t="shared" si="50"/>
        <v>Usage_Bin|40-80</v>
      </c>
      <c r="W175">
        <f t="shared" si="51"/>
        <v>1</v>
      </c>
      <c r="X175">
        <f t="shared" si="52"/>
        <v>0</v>
      </c>
      <c r="Y175">
        <f t="shared" si="53"/>
        <v>2</v>
      </c>
      <c r="Z175">
        <f t="shared" si="54"/>
        <v>2</v>
      </c>
      <c r="AA175">
        <f t="shared" si="55"/>
        <v>0</v>
      </c>
      <c r="AB175" s="51">
        <f t="shared" si="56"/>
        <v>5</v>
      </c>
      <c r="AC175" t="str">
        <f t="shared" si="57"/>
        <v>Medium</v>
      </c>
      <c r="AD175" t="str">
        <f t="shared" si="58"/>
        <v>No</v>
      </c>
      <c r="AE175">
        <f t="shared" si="59"/>
        <v>0</v>
      </c>
      <c r="AF175">
        <f xml:space="preserve">
_xlfn.XLOOKUP(AB175, '3.3 Calibration'!$A$2:$A$14, '3.3 Calibration'!$F$2:$F$14,
        '3.3 Calibration'!$D$2, 1)</f>
        <v>0.33333333333333331</v>
      </c>
      <c r="AG175" t="str">
        <f t="shared" si="60"/>
        <v>No</v>
      </c>
      <c r="AH175" t="str">
        <f t="shared" si="61"/>
        <v>Low</v>
      </c>
      <c r="AI175" t="e">
        <f t="shared" si="62"/>
        <v>#N/A</v>
      </c>
    </row>
    <row r="176" spans="1:35" x14ac:dyDescent="0.2">
      <c r="A176">
        <v>175</v>
      </c>
      <c r="B176">
        <v>24</v>
      </c>
      <c r="C176" t="s">
        <v>15</v>
      </c>
      <c r="D176">
        <v>45</v>
      </c>
      <c r="E176">
        <v>73.5</v>
      </c>
      <c r="F176" t="s">
        <v>18</v>
      </c>
      <c r="G176" t="s">
        <v>23</v>
      </c>
      <c r="H176">
        <v>0</v>
      </c>
      <c r="I176">
        <v>80.8</v>
      </c>
      <c r="J176">
        <v>5</v>
      </c>
      <c r="K176">
        <v>3528.54</v>
      </c>
      <c r="L176">
        <v>0</v>
      </c>
      <c r="M176" t="s">
        <v>134</v>
      </c>
      <c r="N176" t="str">
        <f t="shared" si="42"/>
        <v>&gt;=24</v>
      </c>
      <c r="O176" t="str">
        <f t="shared" si="43"/>
        <v>60-90</v>
      </c>
      <c r="P176" t="str">
        <f t="shared" si="44"/>
        <v>4-6</v>
      </c>
      <c r="Q176" t="str">
        <f t="shared" si="45"/>
        <v>&gt;=80</v>
      </c>
      <c r="R176" t="str">
        <f t="shared" si="46"/>
        <v>ContractType|1-Year</v>
      </c>
      <c r="S176" t="str">
        <f t="shared" si="47"/>
        <v>Tenure_Bin|&gt;=24</v>
      </c>
      <c r="T176" t="str">
        <f t="shared" si="48"/>
        <v>Satis_Bin|4-6</v>
      </c>
      <c r="U176" t="str">
        <f t="shared" si="49"/>
        <v>Monthly_Bin|60-90</v>
      </c>
      <c r="V176" t="str">
        <f t="shared" si="50"/>
        <v>Usage_Bin|&gt;=80</v>
      </c>
      <c r="W176">
        <f t="shared" si="51"/>
        <v>1</v>
      </c>
      <c r="X176">
        <f t="shared" si="52"/>
        <v>0</v>
      </c>
      <c r="Y176">
        <f t="shared" si="53"/>
        <v>2</v>
      </c>
      <c r="Z176">
        <f t="shared" si="54"/>
        <v>1</v>
      </c>
      <c r="AA176">
        <f t="shared" si="55"/>
        <v>0</v>
      </c>
      <c r="AB176" s="51">
        <f t="shared" si="56"/>
        <v>4</v>
      </c>
      <c r="AC176" t="str">
        <f t="shared" si="57"/>
        <v>Medium</v>
      </c>
      <c r="AD176" t="str">
        <f t="shared" si="58"/>
        <v>No</v>
      </c>
      <c r="AE176">
        <f t="shared" si="59"/>
        <v>0</v>
      </c>
      <c r="AF176">
        <f xml:space="preserve">
_xlfn.XLOOKUP(AB176, '3.3 Calibration'!$A$2:$A$14, '3.3 Calibration'!$F$2:$F$14,
        '3.3 Calibration'!$D$2, 1)</f>
        <v>0.40740740740740738</v>
      </c>
      <c r="AG176" t="str">
        <f t="shared" si="60"/>
        <v>No</v>
      </c>
      <c r="AH176" t="str">
        <f t="shared" si="61"/>
        <v>Medium</v>
      </c>
      <c r="AI176" t="e">
        <f t="shared" si="62"/>
        <v>#N/A</v>
      </c>
    </row>
    <row r="177" spans="1:35" x14ac:dyDescent="0.2">
      <c r="A177">
        <v>176</v>
      </c>
      <c r="B177">
        <v>68</v>
      </c>
      <c r="C177" t="s">
        <v>16</v>
      </c>
      <c r="D177">
        <v>4</v>
      </c>
      <c r="E177">
        <v>67.66</v>
      </c>
      <c r="F177" t="s">
        <v>18</v>
      </c>
      <c r="G177" t="s">
        <v>24</v>
      </c>
      <c r="H177">
        <v>2</v>
      </c>
      <c r="I177">
        <v>40.299999999999997</v>
      </c>
      <c r="J177">
        <v>1</v>
      </c>
      <c r="K177">
        <v>283.66000000000003</v>
      </c>
      <c r="L177">
        <v>0</v>
      </c>
      <c r="M177" t="s">
        <v>133</v>
      </c>
      <c r="N177" t="str">
        <f t="shared" si="42"/>
        <v>&lt;6</v>
      </c>
      <c r="O177" t="str">
        <f t="shared" si="43"/>
        <v>60-90</v>
      </c>
      <c r="P177" t="str">
        <f t="shared" si="44"/>
        <v>1-3</v>
      </c>
      <c r="Q177" t="str">
        <f t="shared" si="45"/>
        <v>40-80</v>
      </c>
      <c r="R177" t="str">
        <f t="shared" si="46"/>
        <v>ContractType|1-Year</v>
      </c>
      <c r="S177" t="str">
        <f t="shared" si="47"/>
        <v>Tenure_Bin|&lt;6</v>
      </c>
      <c r="T177" t="str">
        <f t="shared" si="48"/>
        <v>Satis_Bin|1-3</v>
      </c>
      <c r="U177" t="str">
        <f t="shared" si="49"/>
        <v>Monthly_Bin|60-90</v>
      </c>
      <c r="V177" t="str">
        <f t="shared" si="50"/>
        <v>Usage_Bin|40-80</v>
      </c>
      <c r="W177">
        <f t="shared" si="51"/>
        <v>1</v>
      </c>
      <c r="X177">
        <f t="shared" si="52"/>
        <v>3</v>
      </c>
      <c r="Y177">
        <f t="shared" si="53"/>
        <v>4</v>
      </c>
      <c r="Z177">
        <f t="shared" si="54"/>
        <v>1</v>
      </c>
      <c r="AA177">
        <f t="shared" si="55"/>
        <v>0</v>
      </c>
      <c r="AB177" s="51">
        <f t="shared" si="56"/>
        <v>9</v>
      </c>
      <c r="AC177" t="str">
        <f t="shared" si="57"/>
        <v>High</v>
      </c>
      <c r="AD177" t="str">
        <f t="shared" si="58"/>
        <v>No</v>
      </c>
      <c r="AE177">
        <f t="shared" si="59"/>
        <v>0</v>
      </c>
      <c r="AF177">
        <f xml:space="preserve">
_xlfn.XLOOKUP(AB177, '3.3 Calibration'!$A$2:$A$14, '3.3 Calibration'!$F$2:$F$14,
        '3.3 Calibration'!$D$2, 1)</f>
        <v>0.54545454545454541</v>
      </c>
      <c r="AG177" t="str">
        <f t="shared" si="60"/>
        <v>Yes</v>
      </c>
      <c r="AH177" t="str">
        <f t="shared" si="61"/>
        <v>Medium</v>
      </c>
      <c r="AI177" t="e">
        <f t="shared" si="62"/>
        <v>#N/A</v>
      </c>
    </row>
    <row r="178" spans="1:35" x14ac:dyDescent="0.2">
      <c r="A178">
        <v>177</v>
      </c>
      <c r="B178">
        <v>39</v>
      </c>
      <c r="C178" t="s">
        <v>15</v>
      </c>
      <c r="D178">
        <v>36</v>
      </c>
      <c r="E178">
        <v>103.86</v>
      </c>
      <c r="F178" t="s">
        <v>20</v>
      </c>
      <c r="G178" t="s">
        <v>23</v>
      </c>
      <c r="H178">
        <v>0</v>
      </c>
      <c r="I178">
        <v>47.9</v>
      </c>
      <c r="J178">
        <v>10</v>
      </c>
      <c r="K178">
        <v>3471.89</v>
      </c>
      <c r="L178">
        <v>1</v>
      </c>
      <c r="M178" t="s">
        <v>134</v>
      </c>
      <c r="N178" t="str">
        <f t="shared" si="42"/>
        <v>&gt;=24</v>
      </c>
      <c r="O178" t="str">
        <f t="shared" si="43"/>
        <v>&gt;=90</v>
      </c>
      <c r="P178" t="str">
        <f t="shared" si="44"/>
        <v>7-10</v>
      </c>
      <c r="Q178" t="str">
        <f t="shared" si="45"/>
        <v>40-80</v>
      </c>
      <c r="R178" t="str">
        <f t="shared" si="46"/>
        <v>ContractType|Month-to-Month</v>
      </c>
      <c r="S178" t="str">
        <f t="shared" si="47"/>
        <v>Tenure_Bin|&gt;=24</v>
      </c>
      <c r="T178" t="str">
        <f t="shared" si="48"/>
        <v>Satis_Bin|7-10</v>
      </c>
      <c r="U178" t="str">
        <f t="shared" si="49"/>
        <v>Monthly_Bin|&gt;=90</v>
      </c>
      <c r="V178" t="str">
        <f t="shared" si="50"/>
        <v>Usage_Bin|40-80</v>
      </c>
      <c r="W178">
        <f t="shared" si="51"/>
        <v>3</v>
      </c>
      <c r="X178">
        <f t="shared" si="52"/>
        <v>0</v>
      </c>
      <c r="Y178">
        <f t="shared" si="53"/>
        <v>0</v>
      </c>
      <c r="Z178">
        <f t="shared" si="54"/>
        <v>2</v>
      </c>
      <c r="AA178">
        <f t="shared" si="55"/>
        <v>0</v>
      </c>
      <c r="AB178" s="51">
        <f t="shared" si="56"/>
        <v>5</v>
      </c>
      <c r="AC178" t="str">
        <f t="shared" si="57"/>
        <v>Medium</v>
      </c>
      <c r="AD178" t="str">
        <f t="shared" si="58"/>
        <v>No</v>
      </c>
      <c r="AE178">
        <f t="shared" si="59"/>
        <v>0</v>
      </c>
      <c r="AF178">
        <f xml:space="preserve">
_xlfn.XLOOKUP(AB178, '3.3 Calibration'!$A$2:$A$14, '3.3 Calibration'!$F$2:$F$14,
        '3.3 Calibration'!$D$2, 1)</f>
        <v>0.33333333333333331</v>
      </c>
      <c r="AG178" t="str">
        <f t="shared" si="60"/>
        <v>No</v>
      </c>
      <c r="AH178" t="str">
        <f t="shared" si="61"/>
        <v>Low</v>
      </c>
      <c r="AI178" t="e">
        <f t="shared" si="62"/>
        <v>#N/A</v>
      </c>
    </row>
    <row r="179" spans="1:35" x14ac:dyDescent="0.2">
      <c r="A179">
        <v>178</v>
      </c>
      <c r="B179">
        <v>45</v>
      </c>
      <c r="C179" t="s">
        <v>16</v>
      </c>
      <c r="D179">
        <v>70</v>
      </c>
      <c r="E179">
        <v>40.51</v>
      </c>
      <c r="F179" t="s">
        <v>18</v>
      </c>
      <c r="G179" t="s">
        <v>22</v>
      </c>
      <c r="H179">
        <v>1</v>
      </c>
      <c r="I179">
        <v>42.8</v>
      </c>
      <c r="J179">
        <v>6</v>
      </c>
      <c r="K179">
        <v>2979.43</v>
      </c>
      <c r="L179">
        <v>0</v>
      </c>
      <c r="M179" t="s">
        <v>133</v>
      </c>
      <c r="N179" t="str">
        <f t="shared" si="42"/>
        <v>&gt;=24</v>
      </c>
      <c r="O179" t="str">
        <f t="shared" si="43"/>
        <v>30-60</v>
      </c>
      <c r="P179" t="str">
        <f t="shared" si="44"/>
        <v>4-6</v>
      </c>
      <c r="Q179" t="str">
        <f t="shared" si="45"/>
        <v>40-80</v>
      </c>
      <c r="R179" t="str">
        <f t="shared" si="46"/>
        <v>ContractType|1-Year</v>
      </c>
      <c r="S179" t="str">
        <f t="shared" si="47"/>
        <v>Tenure_Bin|&gt;=24</v>
      </c>
      <c r="T179" t="str">
        <f t="shared" si="48"/>
        <v>Satis_Bin|4-6</v>
      </c>
      <c r="U179" t="str">
        <f t="shared" si="49"/>
        <v>Monthly_Bin|30-60</v>
      </c>
      <c r="V179" t="str">
        <f t="shared" si="50"/>
        <v>Usage_Bin|40-80</v>
      </c>
      <c r="W179">
        <f t="shared" si="51"/>
        <v>1</v>
      </c>
      <c r="X179">
        <f t="shared" si="52"/>
        <v>0</v>
      </c>
      <c r="Y179">
        <f t="shared" si="53"/>
        <v>2</v>
      </c>
      <c r="Z179">
        <f t="shared" si="54"/>
        <v>0</v>
      </c>
      <c r="AA179">
        <f t="shared" si="55"/>
        <v>0</v>
      </c>
      <c r="AB179" s="51">
        <f t="shared" si="56"/>
        <v>3</v>
      </c>
      <c r="AC179" t="str">
        <f t="shared" si="57"/>
        <v>Low</v>
      </c>
      <c r="AD179" t="str">
        <f t="shared" si="58"/>
        <v>No</v>
      </c>
      <c r="AE179">
        <f t="shared" si="59"/>
        <v>0</v>
      </c>
      <c r="AF179">
        <f xml:space="preserve">
_xlfn.XLOOKUP(AB179, '3.3 Calibration'!$A$2:$A$14, '3.3 Calibration'!$F$2:$F$14,
        '3.3 Calibration'!$D$2, 1)</f>
        <v>0.42105263157894735</v>
      </c>
      <c r="AG179" t="str">
        <f t="shared" si="60"/>
        <v>No</v>
      </c>
      <c r="AH179" t="str">
        <f t="shared" si="61"/>
        <v>Medium</v>
      </c>
      <c r="AI179" t="e">
        <f t="shared" si="62"/>
        <v>#N/A</v>
      </c>
    </row>
    <row r="180" spans="1:35" x14ac:dyDescent="0.2">
      <c r="A180">
        <v>179</v>
      </c>
      <c r="B180">
        <v>19</v>
      </c>
      <c r="C180" t="s">
        <v>16</v>
      </c>
      <c r="D180">
        <v>31</v>
      </c>
      <c r="E180">
        <v>116.8</v>
      </c>
      <c r="F180" t="s">
        <v>20</v>
      </c>
      <c r="G180" t="s">
        <v>22</v>
      </c>
      <c r="H180">
        <v>4</v>
      </c>
      <c r="I180">
        <v>13.9</v>
      </c>
      <c r="J180">
        <v>9</v>
      </c>
      <c r="K180">
        <v>3815.54</v>
      </c>
      <c r="L180">
        <v>0</v>
      </c>
      <c r="M180" t="s">
        <v>134</v>
      </c>
      <c r="N180" t="str">
        <f t="shared" si="42"/>
        <v>&gt;=24</v>
      </c>
      <c r="O180" t="str">
        <f t="shared" si="43"/>
        <v>&gt;=90</v>
      </c>
      <c r="P180" t="str">
        <f t="shared" si="44"/>
        <v>7-10</v>
      </c>
      <c r="Q180" t="str">
        <f t="shared" si="45"/>
        <v>&lt;20</v>
      </c>
      <c r="R180" t="str">
        <f t="shared" si="46"/>
        <v>ContractType|Month-to-Month</v>
      </c>
      <c r="S180" t="str">
        <f t="shared" si="47"/>
        <v>Tenure_Bin|&gt;=24</v>
      </c>
      <c r="T180" t="str">
        <f t="shared" si="48"/>
        <v>Satis_Bin|7-10</v>
      </c>
      <c r="U180" t="str">
        <f t="shared" si="49"/>
        <v>Monthly_Bin|&gt;=90</v>
      </c>
      <c r="V180" t="str">
        <f t="shared" si="50"/>
        <v>Usage_Bin|&lt;20</v>
      </c>
      <c r="W180">
        <f t="shared" si="51"/>
        <v>3</v>
      </c>
      <c r="X180">
        <f t="shared" si="52"/>
        <v>0</v>
      </c>
      <c r="Y180">
        <f t="shared" si="53"/>
        <v>0</v>
      </c>
      <c r="Z180">
        <f t="shared" si="54"/>
        <v>2</v>
      </c>
      <c r="AA180">
        <f t="shared" si="55"/>
        <v>2</v>
      </c>
      <c r="AB180" s="51">
        <f t="shared" si="56"/>
        <v>7</v>
      </c>
      <c r="AC180" t="str">
        <f t="shared" si="57"/>
        <v>High</v>
      </c>
      <c r="AD180" t="str">
        <f t="shared" si="58"/>
        <v>No</v>
      </c>
      <c r="AE180">
        <f t="shared" si="59"/>
        <v>0</v>
      </c>
      <c r="AF180">
        <f xml:space="preserve">
_xlfn.XLOOKUP(AB180, '3.3 Calibration'!$A$2:$A$14, '3.3 Calibration'!$F$2:$F$14,
        '3.3 Calibration'!$D$2, 1)</f>
        <v>0.54166666666666663</v>
      </c>
      <c r="AG180" t="str">
        <f t="shared" si="60"/>
        <v>Yes</v>
      </c>
      <c r="AH180" t="str">
        <f t="shared" si="61"/>
        <v>Medium</v>
      </c>
      <c r="AI180" t="e">
        <f t="shared" si="62"/>
        <v>#N/A</v>
      </c>
    </row>
    <row r="181" spans="1:35" x14ac:dyDescent="0.2">
      <c r="A181">
        <v>180</v>
      </c>
      <c r="B181">
        <v>59</v>
      </c>
      <c r="C181" t="s">
        <v>16</v>
      </c>
      <c r="D181">
        <v>19</v>
      </c>
      <c r="E181">
        <v>91.1</v>
      </c>
      <c r="F181" t="s">
        <v>20</v>
      </c>
      <c r="G181" t="s">
        <v>23</v>
      </c>
      <c r="H181">
        <v>0</v>
      </c>
      <c r="I181">
        <v>46.9</v>
      </c>
      <c r="J181">
        <v>9</v>
      </c>
      <c r="K181">
        <v>1785.78</v>
      </c>
      <c r="L181">
        <v>0</v>
      </c>
      <c r="M181" t="s">
        <v>133</v>
      </c>
      <c r="N181" t="str">
        <f t="shared" si="42"/>
        <v>12-24</v>
      </c>
      <c r="O181" t="str">
        <f t="shared" si="43"/>
        <v>&gt;=90</v>
      </c>
      <c r="P181" t="str">
        <f t="shared" si="44"/>
        <v>7-10</v>
      </c>
      <c r="Q181" t="str">
        <f t="shared" si="45"/>
        <v>40-80</v>
      </c>
      <c r="R181" t="str">
        <f t="shared" si="46"/>
        <v>ContractType|Month-to-Month</v>
      </c>
      <c r="S181" t="str">
        <f t="shared" si="47"/>
        <v>Tenure_Bin|12-24</v>
      </c>
      <c r="T181" t="str">
        <f t="shared" si="48"/>
        <v>Satis_Bin|7-10</v>
      </c>
      <c r="U181" t="str">
        <f t="shared" si="49"/>
        <v>Monthly_Bin|&gt;=90</v>
      </c>
      <c r="V181" t="str">
        <f t="shared" si="50"/>
        <v>Usage_Bin|40-80</v>
      </c>
      <c r="W181">
        <f t="shared" si="51"/>
        <v>3</v>
      </c>
      <c r="X181">
        <f t="shared" si="52"/>
        <v>1</v>
      </c>
      <c r="Y181">
        <f t="shared" si="53"/>
        <v>0</v>
      </c>
      <c r="Z181">
        <f t="shared" si="54"/>
        <v>2</v>
      </c>
      <c r="AA181">
        <f t="shared" si="55"/>
        <v>0</v>
      </c>
      <c r="AB181" s="51">
        <f t="shared" si="56"/>
        <v>6</v>
      </c>
      <c r="AC181" t="str">
        <f t="shared" si="57"/>
        <v>Medium</v>
      </c>
      <c r="AD181" t="str">
        <f t="shared" si="58"/>
        <v>No</v>
      </c>
      <c r="AE181">
        <f t="shared" si="59"/>
        <v>0</v>
      </c>
      <c r="AF181">
        <f xml:space="preserve">
_xlfn.XLOOKUP(AB181, '3.3 Calibration'!$A$2:$A$14, '3.3 Calibration'!$F$2:$F$14,
        '3.3 Calibration'!$D$2, 1)</f>
        <v>0.33333333333333331</v>
      </c>
      <c r="AG181" t="str">
        <f t="shared" si="60"/>
        <v>No</v>
      </c>
      <c r="AH181" t="str">
        <f t="shared" si="61"/>
        <v>Low</v>
      </c>
      <c r="AI181" t="e">
        <f t="shared" si="62"/>
        <v>#N/A</v>
      </c>
    </row>
    <row r="182" spans="1:35" x14ac:dyDescent="0.2">
      <c r="A182">
        <v>181</v>
      </c>
      <c r="B182">
        <v>62</v>
      </c>
      <c r="C182" t="s">
        <v>15</v>
      </c>
      <c r="D182">
        <v>61</v>
      </c>
      <c r="E182">
        <v>39.950000000000003</v>
      </c>
      <c r="F182" t="s">
        <v>20</v>
      </c>
      <c r="G182" t="s">
        <v>24</v>
      </c>
      <c r="H182">
        <v>0</v>
      </c>
      <c r="I182">
        <v>23.6</v>
      </c>
      <c r="J182">
        <v>8</v>
      </c>
      <c r="K182">
        <v>2566.65</v>
      </c>
      <c r="L182">
        <v>0</v>
      </c>
      <c r="M182" t="s">
        <v>134</v>
      </c>
      <c r="N182" t="str">
        <f t="shared" si="42"/>
        <v>&gt;=24</v>
      </c>
      <c r="O182" t="str">
        <f t="shared" si="43"/>
        <v>30-60</v>
      </c>
      <c r="P182" t="str">
        <f t="shared" si="44"/>
        <v>7-10</v>
      </c>
      <c r="Q182" t="str">
        <f t="shared" si="45"/>
        <v>20-40</v>
      </c>
      <c r="R182" t="str">
        <f t="shared" si="46"/>
        <v>ContractType|Month-to-Month</v>
      </c>
      <c r="S182" t="str">
        <f t="shared" si="47"/>
        <v>Tenure_Bin|&gt;=24</v>
      </c>
      <c r="T182" t="str">
        <f t="shared" si="48"/>
        <v>Satis_Bin|7-10</v>
      </c>
      <c r="U182" t="str">
        <f t="shared" si="49"/>
        <v>Monthly_Bin|30-60</v>
      </c>
      <c r="V182" t="str">
        <f t="shared" si="50"/>
        <v>Usage_Bin|20-40</v>
      </c>
      <c r="W182">
        <f t="shared" si="51"/>
        <v>3</v>
      </c>
      <c r="X182">
        <f t="shared" si="52"/>
        <v>0</v>
      </c>
      <c r="Y182">
        <f t="shared" si="53"/>
        <v>0</v>
      </c>
      <c r="Z182">
        <f t="shared" si="54"/>
        <v>0</v>
      </c>
      <c r="AA182">
        <f t="shared" si="55"/>
        <v>1</v>
      </c>
      <c r="AB182" s="51">
        <f t="shared" si="56"/>
        <v>4</v>
      </c>
      <c r="AC182" t="str">
        <f t="shared" si="57"/>
        <v>Medium</v>
      </c>
      <c r="AD182" t="str">
        <f t="shared" si="58"/>
        <v>No</v>
      </c>
      <c r="AE182">
        <f t="shared" si="59"/>
        <v>0</v>
      </c>
      <c r="AF182">
        <f xml:space="preserve">
_xlfn.XLOOKUP(AB182, '3.3 Calibration'!$A$2:$A$14, '3.3 Calibration'!$F$2:$F$14,
        '3.3 Calibration'!$D$2, 1)</f>
        <v>0.40740740740740738</v>
      </c>
      <c r="AG182" t="str">
        <f t="shared" si="60"/>
        <v>No</v>
      </c>
      <c r="AH182" t="str">
        <f t="shared" si="61"/>
        <v>Medium</v>
      </c>
      <c r="AI182" t="e">
        <f t="shared" si="62"/>
        <v>#N/A</v>
      </c>
    </row>
    <row r="183" spans="1:35" x14ac:dyDescent="0.2">
      <c r="A183">
        <v>182</v>
      </c>
      <c r="B183">
        <v>23</v>
      </c>
      <c r="C183" t="s">
        <v>16</v>
      </c>
      <c r="D183">
        <v>54</v>
      </c>
      <c r="E183">
        <v>93.62</v>
      </c>
      <c r="F183" t="s">
        <v>20</v>
      </c>
      <c r="G183" t="s">
        <v>23</v>
      </c>
      <c r="H183">
        <v>2</v>
      </c>
      <c r="I183">
        <v>22.7</v>
      </c>
      <c r="J183">
        <v>5</v>
      </c>
      <c r="K183">
        <v>5405.24</v>
      </c>
      <c r="L183">
        <v>0</v>
      </c>
      <c r="M183" t="s">
        <v>134</v>
      </c>
      <c r="N183" t="str">
        <f t="shared" si="42"/>
        <v>&gt;=24</v>
      </c>
      <c r="O183" t="str">
        <f t="shared" si="43"/>
        <v>&gt;=90</v>
      </c>
      <c r="P183" t="str">
        <f t="shared" si="44"/>
        <v>4-6</v>
      </c>
      <c r="Q183" t="str">
        <f t="shared" si="45"/>
        <v>20-40</v>
      </c>
      <c r="R183" t="str">
        <f t="shared" si="46"/>
        <v>ContractType|Month-to-Month</v>
      </c>
      <c r="S183" t="str">
        <f t="shared" si="47"/>
        <v>Tenure_Bin|&gt;=24</v>
      </c>
      <c r="T183" t="str">
        <f t="shared" si="48"/>
        <v>Satis_Bin|4-6</v>
      </c>
      <c r="U183" t="str">
        <f t="shared" si="49"/>
        <v>Monthly_Bin|&gt;=90</v>
      </c>
      <c r="V183" t="str">
        <f t="shared" si="50"/>
        <v>Usage_Bin|20-40</v>
      </c>
      <c r="W183">
        <f t="shared" si="51"/>
        <v>3</v>
      </c>
      <c r="X183">
        <f t="shared" si="52"/>
        <v>0</v>
      </c>
      <c r="Y183">
        <f t="shared" si="53"/>
        <v>2</v>
      </c>
      <c r="Z183">
        <f t="shared" si="54"/>
        <v>2</v>
      </c>
      <c r="AA183">
        <f t="shared" si="55"/>
        <v>1</v>
      </c>
      <c r="AB183" s="51">
        <f t="shared" si="56"/>
        <v>8</v>
      </c>
      <c r="AC183" t="str">
        <f t="shared" si="57"/>
        <v>High</v>
      </c>
      <c r="AD183" t="str">
        <f t="shared" si="58"/>
        <v>No</v>
      </c>
      <c r="AE183">
        <f t="shared" si="59"/>
        <v>0</v>
      </c>
      <c r="AF183">
        <f xml:space="preserve">
_xlfn.XLOOKUP(AB183, '3.3 Calibration'!$A$2:$A$14, '3.3 Calibration'!$F$2:$F$14,
        '3.3 Calibration'!$D$2, 1)</f>
        <v>0.73684210526315785</v>
      </c>
      <c r="AG183" t="str">
        <f t="shared" si="60"/>
        <v>Yes</v>
      </c>
      <c r="AH183" t="str">
        <f t="shared" si="61"/>
        <v>High</v>
      </c>
      <c r="AI183" t="str">
        <f t="shared" si="62"/>
        <v>&gt;=24</v>
      </c>
    </row>
    <row r="184" spans="1:35" x14ac:dyDescent="0.2">
      <c r="A184">
        <v>183</v>
      </c>
      <c r="B184">
        <v>45</v>
      </c>
      <c r="C184" t="s">
        <v>16</v>
      </c>
      <c r="D184">
        <v>39</v>
      </c>
      <c r="E184">
        <v>72.98</v>
      </c>
      <c r="F184" t="s">
        <v>18</v>
      </c>
      <c r="G184" t="s">
        <v>23</v>
      </c>
      <c r="H184">
        <v>1</v>
      </c>
      <c r="I184">
        <v>13.9</v>
      </c>
      <c r="J184">
        <v>1</v>
      </c>
      <c r="K184">
        <v>2910.89</v>
      </c>
      <c r="L184">
        <v>1</v>
      </c>
      <c r="M184" t="s">
        <v>134</v>
      </c>
      <c r="N184" t="str">
        <f t="shared" si="42"/>
        <v>&gt;=24</v>
      </c>
      <c r="O184" t="str">
        <f t="shared" si="43"/>
        <v>60-90</v>
      </c>
      <c r="P184" t="str">
        <f t="shared" si="44"/>
        <v>1-3</v>
      </c>
      <c r="Q184" t="str">
        <f t="shared" si="45"/>
        <v>&lt;20</v>
      </c>
      <c r="R184" t="str">
        <f t="shared" si="46"/>
        <v>ContractType|1-Year</v>
      </c>
      <c r="S184" t="str">
        <f t="shared" si="47"/>
        <v>Tenure_Bin|&gt;=24</v>
      </c>
      <c r="T184" t="str">
        <f t="shared" si="48"/>
        <v>Satis_Bin|1-3</v>
      </c>
      <c r="U184" t="str">
        <f t="shared" si="49"/>
        <v>Monthly_Bin|60-90</v>
      </c>
      <c r="V184" t="str">
        <f t="shared" si="50"/>
        <v>Usage_Bin|&lt;20</v>
      </c>
      <c r="W184">
        <f t="shared" si="51"/>
        <v>1</v>
      </c>
      <c r="X184">
        <f t="shared" si="52"/>
        <v>0</v>
      </c>
      <c r="Y184">
        <f t="shared" si="53"/>
        <v>4</v>
      </c>
      <c r="Z184">
        <f t="shared" si="54"/>
        <v>1</v>
      </c>
      <c r="AA184">
        <f t="shared" si="55"/>
        <v>2</v>
      </c>
      <c r="AB184" s="51">
        <f t="shared" si="56"/>
        <v>8</v>
      </c>
      <c r="AC184" t="str">
        <f t="shared" si="57"/>
        <v>High</v>
      </c>
      <c r="AD184" t="str">
        <f t="shared" si="58"/>
        <v>No</v>
      </c>
      <c r="AE184">
        <f t="shared" si="59"/>
        <v>0</v>
      </c>
      <c r="AF184">
        <f xml:space="preserve">
_xlfn.XLOOKUP(AB184, '3.3 Calibration'!$A$2:$A$14, '3.3 Calibration'!$F$2:$F$14,
        '3.3 Calibration'!$D$2, 1)</f>
        <v>0.73684210526315785</v>
      </c>
      <c r="AG184" t="str">
        <f t="shared" si="60"/>
        <v>Yes</v>
      </c>
      <c r="AH184" t="str">
        <f t="shared" si="61"/>
        <v>High</v>
      </c>
      <c r="AI184" t="str">
        <f t="shared" si="62"/>
        <v>&gt;=24</v>
      </c>
    </row>
    <row r="185" spans="1:35" x14ac:dyDescent="0.2">
      <c r="A185">
        <v>184</v>
      </c>
      <c r="B185">
        <v>45</v>
      </c>
      <c r="C185" t="s">
        <v>15</v>
      </c>
      <c r="D185">
        <v>19</v>
      </c>
      <c r="E185">
        <v>90.72</v>
      </c>
      <c r="F185" t="s">
        <v>20</v>
      </c>
      <c r="G185" t="s">
        <v>24</v>
      </c>
      <c r="H185">
        <v>1</v>
      </c>
      <c r="I185">
        <v>38.9</v>
      </c>
      <c r="J185">
        <v>9</v>
      </c>
      <c r="K185">
        <v>1581.86</v>
      </c>
      <c r="L185">
        <v>1</v>
      </c>
      <c r="M185" t="s">
        <v>133</v>
      </c>
      <c r="N185" t="str">
        <f t="shared" si="42"/>
        <v>12-24</v>
      </c>
      <c r="O185" t="str">
        <f t="shared" si="43"/>
        <v>&gt;=90</v>
      </c>
      <c r="P185" t="str">
        <f t="shared" si="44"/>
        <v>7-10</v>
      </c>
      <c r="Q185" t="str">
        <f t="shared" si="45"/>
        <v>20-40</v>
      </c>
      <c r="R185" t="str">
        <f t="shared" si="46"/>
        <v>ContractType|Month-to-Month</v>
      </c>
      <c r="S185" t="str">
        <f t="shared" si="47"/>
        <v>Tenure_Bin|12-24</v>
      </c>
      <c r="T185" t="str">
        <f t="shared" si="48"/>
        <v>Satis_Bin|7-10</v>
      </c>
      <c r="U185" t="str">
        <f t="shared" si="49"/>
        <v>Monthly_Bin|&gt;=90</v>
      </c>
      <c r="V185" t="str">
        <f t="shared" si="50"/>
        <v>Usage_Bin|20-40</v>
      </c>
      <c r="W185">
        <f t="shared" si="51"/>
        <v>3</v>
      </c>
      <c r="X185">
        <f t="shared" si="52"/>
        <v>1</v>
      </c>
      <c r="Y185">
        <f t="shared" si="53"/>
        <v>0</v>
      </c>
      <c r="Z185">
        <f t="shared" si="54"/>
        <v>2</v>
      </c>
      <c r="AA185">
        <f t="shared" si="55"/>
        <v>1</v>
      </c>
      <c r="AB185" s="51">
        <f t="shared" si="56"/>
        <v>7</v>
      </c>
      <c r="AC185" t="str">
        <f t="shared" si="57"/>
        <v>High</v>
      </c>
      <c r="AD185" t="str">
        <f t="shared" si="58"/>
        <v>No</v>
      </c>
      <c r="AE185">
        <f t="shared" si="59"/>
        <v>0</v>
      </c>
      <c r="AF185">
        <f xml:space="preserve">
_xlfn.XLOOKUP(AB185, '3.3 Calibration'!$A$2:$A$14, '3.3 Calibration'!$F$2:$F$14,
        '3.3 Calibration'!$D$2, 1)</f>
        <v>0.54166666666666663</v>
      </c>
      <c r="AG185" t="str">
        <f t="shared" si="60"/>
        <v>Yes</v>
      </c>
      <c r="AH185" t="str">
        <f t="shared" si="61"/>
        <v>Medium</v>
      </c>
      <c r="AI185" t="e">
        <f t="shared" si="62"/>
        <v>#N/A</v>
      </c>
    </row>
    <row r="186" spans="1:35" x14ac:dyDescent="0.2">
      <c r="A186">
        <v>185</v>
      </c>
      <c r="B186">
        <v>61</v>
      </c>
      <c r="C186" t="s">
        <v>16</v>
      </c>
      <c r="D186">
        <v>39</v>
      </c>
      <c r="E186">
        <v>96.78</v>
      </c>
      <c r="F186" t="s">
        <v>20</v>
      </c>
      <c r="G186" t="s">
        <v>24</v>
      </c>
      <c r="H186">
        <v>3</v>
      </c>
      <c r="I186">
        <v>77</v>
      </c>
      <c r="J186">
        <v>1</v>
      </c>
      <c r="K186">
        <v>3765.08</v>
      </c>
      <c r="L186">
        <v>1</v>
      </c>
      <c r="M186" t="s">
        <v>133</v>
      </c>
      <c r="N186" t="str">
        <f t="shared" si="42"/>
        <v>&gt;=24</v>
      </c>
      <c r="O186" t="str">
        <f t="shared" si="43"/>
        <v>&gt;=90</v>
      </c>
      <c r="P186" t="str">
        <f t="shared" si="44"/>
        <v>1-3</v>
      </c>
      <c r="Q186" t="str">
        <f t="shared" si="45"/>
        <v>40-80</v>
      </c>
      <c r="R186" t="str">
        <f t="shared" si="46"/>
        <v>ContractType|Month-to-Month</v>
      </c>
      <c r="S186" t="str">
        <f t="shared" si="47"/>
        <v>Tenure_Bin|&gt;=24</v>
      </c>
      <c r="T186" t="str">
        <f t="shared" si="48"/>
        <v>Satis_Bin|1-3</v>
      </c>
      <c r="U186" t="str">
        <f t="shared" si="49"/>
        <v>Monthly_Bin|&gt;=90</v>
      </c>
      <c r="V186" t="str">
        <f t="shared" si="50"/>
        <v>Usage_Bin|40-80</v>
      </c>
      <c r="W186">
        <f t="shared" si="51"/>
        <v>3</v>
      </c>
      <c r="X186">
        <f t="shared" si="52"/>
        <v>0</v>
      </c>
      <c r="Y186">
        <f t="shared" si="53"/>
        <v>4</v>
      </c>
      <c r="Z186">
        <f t="shared" si="54"/>
        <v>2</v>
      </c>
      <c r="AA186">
        <f t="shared" si="55"/>
        <v>0</v>
      </c>
      <c r="AB186" s="51">
        <f t="shared" si="56"/>
        <v>9</v>
      </c>
      <c r="AC186" t="str">
        <f t="shared" si="57"/>
        <v>High</v>
      </c>
      <c r="AD186" t="str">
        <f t="shared" si="58"/>
        <v>No</v>
      </c>
      <c r="AE186">
        <f t="shared" si="59"/>
        <v>0</v>
      </c>
      <c r="AF186">
        <f xml:space="preserve">
_xlfn.XLOOKUP(AB186, '3.3 Calibration'!$A$2:$A$14, '3.3 Calibration'!$F$2:$F$14,
        '3.3 Calibration'!$D$2, 1)</f>
        <v>0.54545454545454541</v>
      </c>
      <c r="AG186" t="str">
        <f t="shared" si="60"/>
        <v>Yes</v>
      </c>
      <c r="AH186" t="str">
        <f t="shared" si="61"/>
        <v>Medium</v>
      </c>
      <c r="AI186" t="e">
        <f t="shared" si="62"/>
        <v>#N/A</v>
      </c>
    </row>
    <row r="187" spans="1:35" x14ac:dyDescent="0.2">
      <c r="A187">
        <v>186</v>
      </c>
      <c r="B187">
        <v>61</v>
      </c>
      <c r="C187" t="s">
        <v>15</v>
      </c>
      <c r="D187">
        <v>67</v>
      </c>
      <c r="E187">
        <v>28.73</v>
      </c>
      <c r="F187" t="s">
        <v>20</v>
      </c>
      <c r="G187" t="s">
        <v>22</v>
      </c>
      <c r="H187">
        <v>1</v>
      </c>
      <c r="I187">
        <v>31.3</v>
      </c>
      <c r="J187">
        <v>8</v>
      </c>
      <c r="K187">
        <v>1762.31</v>
      </c>
      <c r="L187">
        <v>1</v>
      </c>
      <c r="M187" t="s">
        <v>134</v>
      </c>
      <c r="N187" t="str">
        <f t="shared" si="42"/>
        <v>&gt;=24</v>
      </c>
      <c r="O187" t="str">
        <f t="shared" si="43"/>
        <v>&lt;30</v>
      </c>
      <c r="P187" t="str">
        <f t="shared" si="44"/>
        <v>7-10</v>
      </c>
      <c r="Q187" t="str">
        <f t="shared" si="45"/>
        <v>20-40</v>
      </c>
      <c r="R187" t="str">
        <f t="shared" si="46"/>
        <v>ContractType|Month-to-Month</v>
      </c>
      <c r="S187" t="str">
        <f t="shared" si="47"/>
        <v>Tenure_Bin|&gt;=24</v>
      </c>
      <c r="T187" t="str">
        <f t="shared" si="48"/>
        <v>Satis_Bin|7-10</v>
      </c>
      <c r="U187" t="str">
        <f t="shared" si="49"/>
        <v>Monthly_Bin|&lt;30</v>
      </c>
      <c r="V187" t="str">
        <f t="shared" si="50"/>
        <v>Usage_Bin|20-40</v>
      </c>
      <c r="W187">
        <f t="shared" si="51"/>
        <v>3</v>
      </c>
      <c r="X187">
        <f t="shared" si="52"/>
        <v>0</v>
      </c>
      <c r="Y187">
        <f t="shared" si="53"/>
        <v>0</v>
      </c>
      <c r="Z187">
        <f t="shared" si="54"/>
        <v>0</v>
      </c>
      <c r="AA187">
        <f t="shared" si="55"/>
        <v>1</v>
      </c>
      <c r="AB187" s="51">
        <f t="shared" si="56"/>
        <v>4</v>
      </c>
      <c r="AC187" t="str">
        <f t="shared" si="57"/>
        <v>Medium</v>
      </c>
      <c r="AD187" t="str">
        <f t="shared" si="58"/>
        <v>No</v>
      </c>
      <c r="AE187">
        <f t="shared" si="59"/>
        <v>0</v>
      </c>
      <c r="AF187">
        <f xml:space="preserve">
_xlfn.XLOOKUP(AB187, '3.3 Calibration'!$A$2:$A$14, '3.3 Calibration'!$F$2:$F$14,
        '3.3 Calibration'!$D$2, 1)</f>
        <v>0.40740740740740738</v>
      </c>
      <c r="AG187" t="str">
        <f t="shared" si="60"/>
        <v>No</v>
      </c>
      <c r="AH187" t="str">
        <f t="shared" si="61"/>
        <v>Medium</v>
      </c>
      <c r="AI187" t="e">
        <f t="shared" si="62"/>
        <v>#N/A</v>
      </c>
    </row>
    <row r="188" spans="1:35" x14ac:dyDescent="0.2">
      <c r="A188">
        <v>187</v>
      </c>
      <c r="B188">
        <v>37</v>
      </c>
      <c r="C188" t="s">
        <v>15</v>
      </c>
      <c r="D188">
        <v>45</v>
      </c>
      <c r="E188">
        <v>70.61</v>
      </c>
      <c r="F188" t="s">
        <v>20</v>
      </c>
      <c r="G188" t="s">
        <v>24</v>
      </c>
      <c r="H188">
        <v>2</v>
      </c>
      <c r="I188">
        <v>34.700000000000003</v>
      </c>
      <c r="J188">
        <v>5</v>
      </c>
      <c r="K188">
        <v>3118.69</v>
      </c>
      <c r="L188">
        <v>0</v>
      </c>
      <c r="M188" t="s">
        <v>134</v>
      </c>
      <c r="N188" t="str">
        <f t="shared" si="42"/>
        <v>&gt;=24</v>
      </c>
      <c r="O188" t="str">
        <f t="shared" si="43"/>
        <v>60-90</v>
      </c>
      <c r="P188" t="str">
        <f t="shared" si="44"/>
        <v>4-6</v>
      </c>
      <c r="Q188" t="str">
        <f t="shared" si="45"/>
        <v>20-40</v>
      </c>
      <c r="R188" t="str">
        <f t="shared" si="46"/>
        <v>ContractType|Month-to-Month</v>
      </c>
      <c r="S188" t="str">
        <f t="shared" si="47"/>
        <v>Tenure_Bin|&gt;=24</v>
      </c>
      <c r="T188" t="str">
        <f t="shared" si="48"/>
        <v>Satis_Bin|4-6</v>
      </c>
      <c r="U188" t="str">
        <f t="shared" si="49"/>
        <v>Monthly_Bin|60-90</v>
      </c>
      <c r="V188" t="str">
        <f t="shared" si="50"/>
        <v>Usage_Bin|20-40</v>
      </c>
      <c r="W188">
        <f t="shared" si="51"/>
        <v>3</v>
      </c>
      <c r="X188">
        <f t="shared" si="52"/>
        <v>0</v>
      </c>
      <c r="Y188">
        <f t="shared" si="53"/>
        <v>2</v>
      </c>
      <c r="Z188">
        <f t="shared" si="54"/>
        <v>1</v>
      </c>
      <c r="AA188">
        <f t="shared" si="55"/>
        <v>1</v>
      </c>
      <c r="AB188" s="51">
        <f t="shared" si="56"/>
        <v>7</v>
      </c>
      <c r="AC188" t="str">
        <f t="shared" si="57"/>
        <v>High</v>
      </c>
      <c r="AD188" t="str">
        <f t="shared" si="58"/>
        <v>No</v>
      </c>
      <c r="AE188">
        <f t="shared" si="59"/>
        <v>0</v>
      </c>
      <c r="AF188">
        <f xml:space="preserve">
_xlfn.XLOOKUP(AB188, '3.3 Calibration'!$A$2:$A$14, '3.3 Calibration'!$F$2:$F$14,
        '3.3 Calibration'!$D$2, 1)</f>
        <v>0.54166666666666663</v>
      </c>
      <c r="AG188" t="str">
        <f t="shared" si="60"/>
        <v>Yes</v>
      </c>
      <c r="AH188" t="str">
        <f t="shared" si="61"/>
        <v>Medium</v>
      </c>
      <c r="AI188" t="e">
        <f t="shared" si="62"/>
        <v>#N/A</v>
      </c>
    </row>
    <row r="189" spans="1:35" x14ac:dyDescent="0.2">
      <c r="A189">
        <v>188</v>
      </c>
      <c r="B189">
        <v>47</v>
      </c>
      <c r="C189" t="s">
        <v>16</v>
      </c>
      <c r="D189">
        <v>13</v>
      </c>
      <c r="E189">
        <v>113.2</v>
      </c>
      <c r="F189" t="s">
        <v>18</v>
      </c>
      <c r="G189" t="s">
        <v>22</v>
      </c>
      <c r="H189">
        <v>3</v>
      </c>
      <c r="I189">
        <v>66.099999999999994</v>
      </c>
      <c r="J189">
        <v>3</v>
      </c>
      <c r="K189">
        <v>1444.26</v>
      </c>
      <c r="L189">
        <v>0</v>
      </c>
      <c r="M189" t="s">
        <v>134</v>
      </c>
      <c r="N189" t="str">
        <f t="shared" si="42"/>
        <v>12-24</v>
      </c>
      <c r="O189" t="str">
        <f t="shared" si="43"/>
        <v>&gt;=90</v>
      </c>
      <c r="P189" t="str">
        <f t="shared" si="44"/>
        <v>1-3</v>
      </c>
      <c r="Q189" t="str">
        <f t="shared" si="45"/>
        <v>40-80</v>
      </c>
      <c r="R189" t="str">
        <f t="shared" si="46"/>
        <v>ContractType|1-Year</v>
      </c>
      <c r="S189" t="str">
        <f t="shared" si="47"/>
        <v>Tenure_Bin|12-24</v>
      </c>
      <c r="T189" t="str">
        <f t="shared" si="48"/>
        <v>Satis_Bin|1-3</v>
      </c>
      <c r="U189" t="str">
        <f t="shared" si="49"/>
        <v>Monthly_Bin|&gt;=90</v>
      </c>
      <c r="V189" t="str">
        <f t="shared" si="50"/>
        <v>Usage_Bin|40-80</v>
      </c>
      <c r="W189">
        <f t="shared" si="51"/>
        <v>1</v>
      </c>
      <c r="X189">
        <f t="shared" si="52"/>
        <v>1</v>
      </c>
      <c r="Y189">
        <f t="shared" si="53"/>
        <v>4</v>
      </c>
      <c r="Z189">
        <f t="shared" si="54"/>
        <v>2</v>
      </c>
      <c r="AA189">
        <f t="shared" si="55"/>
        <v>0</v>
      </c>
      <c r="AB189" s="51">
        <f t="shared" si="56"/>
        <v>8</v>
      </c>
      <c r="AC189" t="str">
        <f t="shared" si="57"/>
        <v>High</v>
      </c>
      <c r="AD189" t="str">
        <f t="shared" si="58"/>
        <v>No</v>
      </c>
      <c r="AE189">
        <f t="shared" si="59"/>
        <v>0</v>
      </c>
      <c r="AF189">
        <f xml:space="preserve">
_xlfn.XLOOKUP(AB189, '3.3 Calibration'!$A$2:$A$14, '3.3 Calibration'!$F$2:$F$14,
        '3.3 Calibration'!$D$2, 1)</f>
        <v>0.73684210526315785</v>
      </c>
      <c r="AG189" t="str">
        <f t="shared" si="60"/>
        <v>Yes</v>
      </c>
      <c r="AH189" t="str">
        <f t="shared" si="61"/>
        <v>High</v>
      </c>
      <c r="AI189" t="str">
        <f t="shared" si="62"/>
        <v>12-24</v>
      </c>
    </row>
    <row r="190" spans="1:35" x14ac:dyDescent="0.2">
      <c r="A190">
        <v>189</v>
      </c>
      <c r="B190">
        <v>28</v>
      </c>
      <c r="C190" t="s">
        <v>15</v>
      </c>
      <c r="D190">
        <v>58</v>
      </c>
      <c r="E190">
        <v>52.06</v>
      </c>
      <c r="F190" t="s">
        <v>20</v>
      </c>
      <c r="G190" t="s">
        <v>24</v>
      </c>
      <c r="H190">
        <v>1</v>
      </c>
      <c r="I190">
        <v>23.6</v>
      </c>
      <c r="J190">
        <v>7</v>
      </c>
      <c r="K190">
        <v>2757.4</v>
      </c>
      <c r="L190">
        <v>1</v>
      </c>
      <c r="M190" t="s">
        <v>134</v>
      </c>
      <c r="N190" t="str">
        <f t="shared" si="42"/>
        <v>&gt;=24</v>
      </c>
      <c r="O190" t="str">
        <f t="shared" si="43"/>
        <v>30-60</v>
      </c>
      <c r="P190" t="str">
        <f t="shared" si="44"/>
        <v>7-10</v>
      </c>
      <c r="Q190" t="str">
        <f t="shared" si="45"/>
        <v>20-40</v>
      </c>
      <c r="R190" t="str">
        <f t="shared" si="46"/>
        <v>ContractType|Month-to-Month</v>
      </c>
      <c r="S190" t="str">
        <f t="shared" si="47"/>
        <v>Tenure_Bin|&gt;=24</v>
      </c>
      <c r="T190" t="str">
        <f t="shared" si="48"/>
        <v>Satis_Bin|7-10</v>
      </c>
      <c r="U190" t="str">
        <f t="shared" si="49"/>
        <v>Monthly_Bin|30-60</v>
      </c>
      <c r="V190" t="str">
        <f t="shared" si="50"/>
        <v>Usage_Bin|20-40</v>
      </c>
      <c r="W190">
        <f t="shared" si="51"/>
        <v>3</v>
      </c>
      <c r="X190">
        <f t="shared" si="52"/>
        <v>0</v>
      </c>
      <c r="Y190">
        <f t="shared" si="53"/>
        <v>0</v>
      </c>
      <c r="Z190">
        <f t="shared" si="54"/>
        <v>0</v>
      </c>
      <c r="AA190">
        <f t="shared" si="55"/>
        <v>1</v>
      </c>
      <c r="AB190" s="51">
        <f t="shared" si="56"/>
        <v>4</v>
      </c>
      <c r="AC190" t="str">
        <f t="shared" si="57"/>
        <v>Medium</v>
      </c>
      <c r="AD190" t="str">
        <f t="shared" si="58"/>
        <v>No</v>
      </c>
      <c r="AE190">
        <f t="shared" si="59"/>
        <v>0</v>
      </c>
      <c r="AF190">
        <f xml:space="preserve">
_xlfn.XLOOKUP(AB190, '3.3 Calibration'!$A$2:$A$14, '3.3 Calibration'!$F$2:$F$14,
        '3.3 Calibration'!$D$2, 1)</f>
        <v>0.40740740740740738</v>
      </c>
      <c r="AG190" t="str">
        <f t="shared" si="60"/>
        <v>No</v>
      </c>
      <c r="AH190" t="str">
        <f t="shared" si="61"/>
        <v>Medium</v>
      </c>
      <c r="AI190" t="e">
        <f t="shared" si="62"/>
        <v>#N/A</v>
      </c>
    </row>
    <row r="191" spans="1:35" x14ac:dyDescent="0.2">
      <c r="A191">
        <v>190</v>
      </c>
      <c r="B191">
        <v>45</v>
      </c>
      <c r="C191" t="s">
        <v>16</v>
      </c>
      <c r="D191">
        <v>20</v>
      </c>
      <c r="E191">
        <v>79.39</v>
      </c>
      <c r="F191" t="s">
        <v>18</v>
      </c>
      <c r="G191" t="s">
        <v>23</v>
      </c>
      <c r="H191">
        <v>1</v>
      </c>
      <c r="I191">
        <v>90.2</v>
      </c>
      <c r="J191">
        <v>7</v>
      </c>
      <c r="K191">
        <v>1539.79</v>
      </c>
      <c r="L191">
        <v>0</v>
      </c>
      <c r="M191" t="s">
        <v>133</v>
      </c>
      <c r="N191" t="str">
        <f t="shared" si="42"/>
        <v>12-24</v>
      </c>
      <c r="O191" t="str">
        <f t="shared" si="43"/>
        <v>60-90</v>
      </c>
      <c r="P191" t="str">
        <f t="shared" si="44"/>
        <v>7-10</v>
      </c>
      <c r="Q191" t="str">
        <f t="shared" si="45"/>
        <v>&gt;=80</v>
      </c>
      <c r="R191" t="str">
        <f t="shared" si="46"/>
        <v>ContractType|1-Year</v>
      </c>
      <c r="S191" t="str">
        <f t="shared" si="47"/>
        <v>Tenure_Bin|12-24</v>
      </c>
      <c r="T191" t="str">
        <f t="shared" si="48"/>
        <v>Satis_Bin|7-10</v>
      </c>
      <c r="U191" t="str">
        <f t="shared" si="49"/>
        <v>Monthly_Bin|60-90</v>
      </c>
      <c r="V191" t="str">
        <f t="shared" si="50"/>
        <v>Usage_Bin|&gt;=80</v>
      </c>
      <c r="W191">
        <f t="shared" si="51"/>
        <v>1</v>
      </c>
      <c r="X191">
        <f t="shared" si="52"/>
        <v>1</v>
      </c>
      <c r="Y191">
        <f t="shared" si="53"/>
        <v>0</v>
      </c>
      <c r="Z191">
        <f t="shared" si="54"/>
        <v>1</v>
      </c>
      <c r="AA191">
        <f t="shared" si="55"/>
        <v>0</v>
      </c>
      <c r="AB191" s="51">
        <f t="shared" si="56"/>
        <v>3</v>
      </c>
      <c r="AC191" t="str">
        <f t="shared" si="57"/>
        <v>Low</v>
      </c>
      <c r="AD191" t="str">
        <f t="shared" si="58"/>
        <v>No</v>
      </c>
      <c r="AE191">
        <f t="shared" si="59"/>
        <v>0</v>
      </c>
      <c r="AF191">
        <f xml:space="preserve">
_xlfn.XLOOKUP(AB191, '3.3 Calibration'!$A$2:$A$14, '3.3 Calibration'!$F$2:$F$14,
        '3.3 Calibration'!$D$2, 1)</f>
        <v>0.42105263157894735</v>
      </c>
      <c r="AG191" t="str">
        <f t="shared" si="60"/>
        <v>No</v>
      </c>
      <c r="AH191" t="str">
        <f t="shared" si="61"/>
        <v>Medium</v>
      </c>
      <c r="AI191" t="e">
        <f t="shared" si="62"/>
        <v>#N/A</v>
      </c>
    </row>
    <row r="192" spans="1:35" x14ac:dyDescent="0.2">
      <c r="A192">
        <v>191</v>
      </c>
      <c r="B192">
        <v>42</v>
      </c>
      <c r="C192" t="s">
        <v>15</v>
      </c>
      <c r="D192">
        <v>61</v>
      </c>
      <c r="E192">
        <v>56.92</v>
      </c>
      <c r="F192" t="s">
        <v>20</v>
      </c>
      <c r="G192" t="s">
        <v>22</v>
      </c>
      <c r="H192">
        <v>4</v>
      </c>
      <c r="I192">
        <v>54.4</v>
      </c>
      <c r="J192">
        <v>9</v>
      </c>
      <c r="K192">
        <v>3201.99</v>
      </c>
      <c r="L192">
        <v>0</v>
      </c>
      <c r="M192" t="s">
        <v>134</v>
      </c>
      <c r="N192" t="str">
        <f t="shared" si="42"/>
        <v>&gt;=24</v>
      </c>
      <c r="O192" t="str">
        <f t="shared" si="43"/>
        <v>30-60</v>
      </c>
      <c r="P192" t="str">
        <f t="shared" si="44"/>
        <v>7-10</v>
      </c>
      <c r="Q192" t="str">
        <f t="shared" si="45"/>
        <v>40-80</v>
      </c>
      <c r="R192" t="str">
        <f t="shared" si="46"/>
        <v>ContractType|Month-to-Month</v>
      </c>
      <c r="S192" t="str">
        <f t="shared" si="47"/>
        <v>Tenure_Bin|&gt;=24</v>
      </c>
      <c r="T192" t="str">
        <f t="shared" si="48"/>
        <v>Satis_Bin|7-10</v>
      </c>
      <c r="U192" t="str">
        <f t="shared" si="49"/>
        <v>Monthly_Bin|30-60</v>
      </c>
      <c r="V192" t="str">
        <f t="shared" si="50"/>
        <v>Usage_Bin|40-80</v>
      </c>
      <c r="W192">
        <f t="shared" si="51"/>
        <v>3</v>
      </c>
      <c r="X192">
        <f t="shared" si="52"/>
        <v>0</v>
      </c>
      <c r="Y192">
        <f t="shared" si="53"/>
        <v>0</v>
      </c>
      <c r="Z192">
        <f t="shared" si="54"/>
        <v>0</v>
      </c>
      <c r="AA192">
        <f t="shared" si="55"/>
        <v>0</v>
      </c>
      <c r="AB192" s="51">
        <f t="shared" si="56"/>
        <v>3</v>
      </c>
      <c r="AC192" t="str">
        <f t="shared" si="57"/>
        <v>Low</v>
      </c>
      <c r="AD192" t="str">
        <f t="shared" si="58"/>
        <v>No</v>
      </c>
      <c r="AE192">
        <f t="shared" si="59"/>
        <v>0</v>
      </c>
      <c r="AF192">
        <f xml:space="preserve">
_xlfn.XLOOKUP(AB192, '3.3 Calibration'!$A$2:$A$14, '3.3 Calibration'!$F$2:$F$14,
        '3.3 Calibration'!$D$2, 1)</f>
        <v>0.42105263157894735</v>
      </c>
      <c r="AG192" t="str">
        <f t="shared" si="60"/>
        <v>No</v>
      </c>
      <c r="AH192" t="str">
        <f t="shared" si="61"/>
        <v>Medium</v>
      </c>
      <c r="AI192" t="e">
        <f t="shared" si="62"/>
        <v>#N/A</v>
      </c>
    </row>
    <row r="193" spans="1:35" x14ac:dyDescent="0.2">
      <c r="A193">
        <v>192</v>
      </c>
      <c r="B193">
        <v>56</v>
      </c>
      <c r="C193" t="s">
        <v>15</v>
      </c>
      <c r="D193">
        <v>39</v>
      </c>
      <c r="E193">
        <v>65.430000000000007</v>
      </c>
      <c r="F193" t="s">
        <v>20</v>
      </c>
      <c r="G193" t="s">
        <v>22</v>
      </c>
      <c r="H193">
        <v>2</v>
      </c>
      <c r="I193">
        <v>47.5</v>
      </c>
      <c r="J193">
        <v>7</v>
      </c>
      <c r="K193">
        <v>2709.08</v>
      </c>
      <c r="L193">
        <v>0</v>
      </c>
      <c r="M193" t="s">
        <v>133</v>
      </c>
      <c r="N193" t="str">
        <f t="shared" si="42"/>
        <v>&gt;=24</v>
      </c>
      <c r="O193" t="str">
        <f t="shared" si="43"/>
        <v>60-90</v>
      </c>
      <c r="P193" t="str">
        <f t="shared" si="44"/>
        <v>7-10</v>
      </c>
      <c r="Q193" t="str">
        <f t="shared" si="45"/>
        <v>40-80</v>
      </c>
      <c r="R193" t="str">
        <f t="shared" si="46"/>
        <v>ContractType|Month-to-Month</v>
      </c>
      <c r="S193" t="str">
        <f t="shared" si="47"/>
        <v>Tenure_Bin|&gt;=24</v>
      </c>
      <c r="T193" t="str">
        <f t="shared" si="48"/>
        <v>Satis_Bin|7-10</v>
      </c>
      <c r="U193" t="str">
        <f t="shared" si="49"/>
        <v>Monthly_Bin|60-90</v>
      </c>
      <c r="V193" t="str">
        <f t="shared" si="50"/>
        <v>Usage_Bin|40-80</v>
      </c>
      <c r="W193">
        <f t="shared" si="51"/>
        <v>3</v>
      </c>
      <c r="X193">
        <f t="shared" si="52"/>
        <v>0</v>
      </c>
      <c r="Y193">
        <f t="shared" si="53"/>
        <v>0</v>
      </c>
      <c r="Z193">
        <f t="shared" si="54"/>
        <v>1</v>
      </c>
      <c r="AA193">
        <f t="shared" si="55"/>
        <v>0</v>
      </c>
      <c r="AB193" s="51">
        <f t="shared" si="56"/>
        <v>4</v>
      </c>
      <c r="AC193" t="str">
        <f t="shared" si="57"/>
        <v>Medium</v>
      </c>
      <c r="AD193" t="str">
        <f t="shared" si="58"/>
        <v>No</v>
      </c>
      <c r="AE193">
        <f t="shared" si="59"/>
        <v>0</v>
      </c>
      <c r="AF193">
        <f xml:space="preserve">
_xlfn.XLOOKUP(AB193, '3.3 Calibration'!$A$2:$A$14, '3.3 Calibration'!$F$2:$F$14,
        '3.3 Calibration'!$D$2, 1)</f>
        <v>0.40740740740740738</v>
      </c>
      <c r="AG193" t="str">
        <f t="shared" si="60"/>
        <v>No</v>
      </c>
      <c r="AH193" t="str">
        <f t="shared" si="61"/>
        <v>Medium</v>
      </c>
      <c r="AI193" t="e">
        <f t="shared" si="62"/>
        <v>#N/A</v>
      </c>
    </row>
    <row r="194" spans="1:35" x14ac:dyDescent="0.2">
      <c r="A194">
        <v>193</v>
      </c>
      <c r="B194">
        <v>50</v>
      </c>
      <c r="C194" t="s">
        <v>16</v>
      </c>
      <c r="D194">
        <v>1</v>
      </c>
      <c r="E194">
        <v>74.86</v>
      </c>
      <c r="F194" t="s">
        <v>18</v>
      </c>
      <c r="G194" t="s">
        <v>22</v>
      </c>
      <c r="H194">
        <v>1</v>
      </c>
      <c r="I194">
        <v>58</v>
      </c>
      <c r="J194">
        <v>3</v>
      </c>
      <c r="K194">
        <v>81.56</v>
      </c>
      <c r="L194">
        <v>0</v>
      </c>
      <c r="M194" t="s">
        <v>134</v>
      </c>
      <c r="N194" t="str">
        <f t="shared" si="42"/>
        <v>&lt;6</v>
      </c>
      <c r="O194" t="str">
        <f t="shared" si="43"/>
        <v>60-90</v>
      </c>
      <c r="P194" t="str">
        <f t="shared" si="44"/>
        <v>1-3</v>
      </c>
      <c r="Q194" t="str">
        <f t="shared" si="45"/>
        <v>40-80</v>
      </c>
      <c r="R194" t="str">
        <f t="shared" si="46"/>
        <v>ContractType|1-Year</v>
      </c>
      <c r="S194" t="str">
        <f t="shared" si="47"/>
        <v>Tenure_Bin|&lt;6</v>
      </c>
      <c r="T194" t="str">
        <f t="shared" si="48"/>
        <v>Satis_Bin|1-3</v>
      </c>
      <c r="U194" t="str">
        <f t="shared" si="49"/>
        <v>Monthly_Bin|60-90</v>
      </c>
      <c r="V194" t="str">
        <f t="shared" si="50"/>
        <v>Usage_Bin|40-80</v>
      </c>
      <c r="W194">
        <f t="shared" si="51"/>
        <v>1</v>
      </c>
      <c r="X194">
        <f t="shared" si="52"/>
        <v>3</v>
      </c>
      <c r="Y194">
        <f t="shared" si="53"/>
        <v>4</v>
      </c>
      <c r="Z194">
        <f t="shared" si="54"/>
        <v>1</v>
      </c>
      <c r="AA194">
        <f t="shared" si="55"/>
        <v>0</v>
      </c>
      <c r="AB194" s="51">
        <f t="shared" si="56"/>
        <v>9</v>
      </c>
      <c r="AC194" t="str">
        <f t="shared" si="57"/>
        <v>High</v>
      </c>
      <c r="AD194" t="str">
        <f t="shared" si="58"/>
        <v>No</v>
      </c>
      <c r="AE194">
        <f t="shared" si="59"/>
        <v>0</v>
      </c>
      <c r="AF194">
        <f xml:space="preserve">
_xlfn.XLOOKUP(AB194, '3.3 Calibration'!$A$2:$A$14, '3.3 Calibration'!$F$2:$F$14,
        '3.3 Calibration'!$D$2, 1)</f>
        <v>0.54545454545454541</v>
      </c>
      <c r="AG194" t="str">
        <f t="shared" si="60"/>
        <v>Yes</v>
      </c>
      <c r="AH194" t="str">
        <f t="shared" si="61"/>
        <v>Medium</v>
      </c>
      <c r="AI194" t="e">
        <f t="shared" si="62"/>
        <v>#N/A</v>
      </c>
    </row>
    <row r="195" spans="1:35" x14ac:dyDescent="0.2">
      <c r="A195">
        <v>194</v>
      </c>
      <c r="B195">
        <v>18</v>
      </c>
      <c r="C195" t="s">
        <v>15</v>
      </c>
      <c r="D195">
        <v>3</v>
      </c>
      <c r="E195">
        <v>74.89</v>
      </c>
      <c r="F195" t="s">
        <v>20</v>
      </c>
      <c r="G195" t="s">
        <v>23</v>
      </c>
      <c r="H195">
        <v>2</v>
      </c>
      <c r="I195">
        <v>20.8</v>
      </c>
      <c r="J195">
        <v>1</v>
      </c>
      <c r="K195">
        <v>205.45</v>
      </c>
      <c r="L195">
        <v>1</v>
      </c>
      <c r="M195" t="s">
        <v>134</v>
      </c>
      <c r="N195" t="str">
        <f t="shared" ref="N195:N251" si="63">IF(D195&lt;6,"&lt;6",
 IF(D195&lt;12,"6-12",
 IF(D195&lt;24,"12-24","&gt;=24")))</f>
        <v>&lt;6</v>
      </c>
      <c r="O195" t="str">
        <f t="shared" ref="O195:O251" si="64">IF(E195&lt;30,"&lt;30",
 IF(E195&lt;60,"30-60",
 IF(E195&lt;90,"60-90","&gt;=90")))</f>
        <v>60-90</v>
      </c>
      <c r="P195" t="str">
        <f t="shared" ref="P195:P251" si="65">IF(J195&lt;4,"1-3",
 IF(J195&lt;7,"4-6","7-10"))</f>
        <v>1-3</v>
      </c>
      <c r="Q195" t="str">
        <f t="shared" ref="Q195:Q251" si="66">IF(I195&lt;20,"&lt;20",
 IF(I195&lt;40,"20-40",
 IF(I195&lt;80,"40-80","&gt;=80")))</f>
        <v>20-40</v>
      </c>
      <c r="R195" t="str">
        <f t="shared" ref="R195:R251" si="67">"ContractType|"&amp;F195</f>
        <v>ContractType|Month-to-Month</v>
      </c>
      <c r="S195" t="str">
        <f t="shared" ref="S195:S251" si="68">"Tenure_Bin|"&amp;N195</f>
        <v>Tenure_Bin|&lt;6</v>
      </c>
      <c r="T195" t="str">
        <f t="shared" ref="T195:T251" si="69">"Satis_Bin|"&amp;P195</f>
        <v>Satis_Bin|1-3</v>
      </c>
      <c r="U195" t="str">
        <f t="shared" ref="U195:U251" si="70">"Monthly_Bin|"&amp;O195</f>
        <v>Monthly_Bin|60-90</v>
      </c>
      <c r="V195" t="str">
        <f t="shared" ref="V195:V251" si="71">"Usage_Bin|"&amp;Q195</f>
        <v>Usage_Bin|20-40</v>
      </c>
      <c r="W195">
        <f t="shared" ref="W195:W251" si="72">_xlfn.XLOOKUP(R195,$AN$2:$AN$19,$AO$2:$AO$19,0)</f>
        <v>3</v>
      </c>
      <c r="X195">
        <f t="shared" ref="X195:X251" si="73">_xlfn.XLOOKUP(N195,$AN$2:$AN$19,$AO$2:$AO$19,0)</f>
        <v>3</v>
      </c>
      <c r="Y195">
        <f t="shared" ref="Y195:Y251" si="74">_xlfn.XLOOKUP(P195,$AN$2:$AN$19,$AO$2:$AO$19,0)</f>
        <v>4</v>
      </c>
      <c r="Z195">
        <f t="shared" ref="Z195:Z251" si="75">_xlfn.XLOOKUP(O195,$AN$2:$AN$19,$AO$2:$AO$19,0)</f>
        <v>1</v>
      </c>
      <c r="AA195">
        <f t="shared" ref="AA195:AA251" si="76">_xlfn.XLOOKUP(Q195,$AN$2:$AN$19,$AO$2:$AO$19,0)</f>
        <v>1</v>
      </c>
      <c r="AB195" s="51">
        <f t="shared" ref="AB195:AB251" si="77">SUM(W195:AA195)</f>
        <v>12</v>
      </c>
      <c r="AC195" t="str">
        <f t="shared" ref="AC195:AC251" si="78">IF(AB195&gt;=7,"High",
   IF(AB195&gt;=4,"Medium","Low"))</f>
        <v>High</v>
      </c>
      <c r="AD195" t="str">
        <f t="shared" ref="AD195:AD251" si="79">IF(AB195&gt;=$AK$2,"Yes","No")</f>
        <v>No</v>
      </c>
      <c r="AE195">
        <f t="shared" ref="AE195:AE251" si="80">IF(AD195="Yes",1,0)</f>
        <v>0</v>
      </c>
      <c r="AF195">
        <f xml:space="preserve">
_xlfn.XLOOKUP(AB195, '3.3 Calibration'!$A$2:$A$14, '3.3 Calibration'!$F$2:$F$14,
        '3.3 Calibration'!$D$2, 1)</f>
        <v>0.8</v>
      </c>
      <c r="AG195" t="str">
        <f t="shared" ref="AG195:AG258" si="81">IF(AF195 &gt;= 0.5, "Yes", "No")</f>
        <v>Yes</v>
      </c>
      <c r="AH195" t="str">
        <f t="shared" ref="AH195:AH258" si="82">IF(AF195&gt;=0.6,"High",
   IF(AF195&gt;=0.4,"Medium","Low"))</f>
        <v>High</v>
      </c>
      <c r="AI195" t="str">
        <f t="shared" ref="AI195:AI258" si="83">IF(AH195="High",N195,NA())</f>
        <v>&lt;6</v>
      </c>
    </row>
    <row r="196" spans="1:35" x14ac:dyDescent="0.2">
      <c r="A196">
        <v>195</v>
      </c>
      <c r="B196">
        <v>44</v>
      </c>
      <c r="C196" t="s">
        <v>15</v>
      </c>
      <c r="D196">
        <v>62</v>
      </c>
      <c r="E196">
        <v>40.17</v>
      </c>
      <c r="F196" t="s">
        <v>18</v>
      </c>
      <c r="G196" t="s">
        <v>23</v>
      </c>
      <c r="H196">
        <v>3</v>
      </c>
      <c r="I196">
        <v>63.3</v>
      </c>
      <c r="J196">
        <v>8</v>
      </c>
      <c r="K196">
        <v>2717.24</v>
      </c>
      <c r="L196">
        <v>0</v>
      </c>
      <c r="M196" t="s">
        <v>134</v>
      </c>
      <c r="N196" t="str">
        <f t="shared" si="63"/>
        <v>&gt;=24</v>
      </c>
      <c r="O196" t="str">
        <f t="shared" si="64"/>
        <v>30-60</v>
      </c>
      <c r="P196" t="str">
        <f t="shared" si="65"/>
        <v>7-10</v>
      </c>
      <c r="Q196" t="str">
        <f t="shared" si="66"/>
        <v>40-80</v>
      </c>
      <c r="R196" t="str">
        <f t="shared" si="67"/>
        <v>ContractType|1-Year</v>
      </c>
      <c r="S196" t="str">
        <f t="shared" si="68"/>
        <v>Tenure_Bin|&gt;=24</v>
      </c>
      <c r="T196" t="str">
        <f t="shared" si="69"/>
        <v>Satis_Bin|7-10</v>
      </c>
      <c r="U196" t="str">
        <f t="shared" si="70"/>
        <v>Monthly_Bin|30-60</v>
      </c>
      <c r="V196" t="str">
        <f t="shared" si="71"/>
        <v>Usage_Bin|40-80</v>
      </c>
      <c r="W196">
        <f t="shared" si="72"/>
        <v>1</v>
      </c>
      <c r="X196">
        <f t="shared" si="73"/>
        <v>0</v>
      </c>
      <c r="Y196">
        <f t="shared" si="74"/>
        <v>0</v>
      </c>
      <c r="Z196">
        <f t="shared" si="75"/>
        <v>0</v>
      </c>
      <c r="AA196">
        <f t="shared" si="76"/>
        <v>0</v>
      </c>
      <c r="AB196" s="51">
        <f t="shared" si="77"/>
        <v>1</v>
      </c>
      <c r="AC196" t="str">
        <f t="shared" si="78"/>
        <v>Low</v>
      </c>
      <c r="AD196" t="str">
        <f t="shared" si="79"/>
        <v>No</v>
      </c>
      <c r="AE196">
        <f t="shared" si="80"/>
        <v>0</v>
      </c>
      <c r="AF196">
        <f xml:space="preserve">
_xlfn.XLOOKUP(AB196, '3.3 Calibration'!$A$2:$A$14, '3.3 Calibration'!$F$2:$F$14,
        '3.3 Calibration'!$D$2, 1)</f>
        <v>0.25</v>
      </c>
      <c r="AG196" t="str">
        <f t="shared" si="81"/>
        <v>No</v>
      </c>
      <c r="AH196" t="str">
        <f t="shared" si="82"/>
        <v>Low</v>
      </c>
      <c r="AI196" t="e">
        <f t="shared" si="83"/>
        <v>#N/A</v>
      </c>
    </row>
    <row r="197" spans="1:35" x14ac:dyDescent="0.2">
      <c r="A197">
        <v>196</v>
      </c>
      <c r="B197">
        <v>69</v>
      </c>
      <c r="C197" t="s">
        <v>15</v>
      </c>
      <c r="D197">
        <v>63</v>
      </c>
      <c r="E197">
        <v>88.46</v>
      </c>
      <c r="F197" t="s">
        <v>20</v>
      </c>
      <c r="G197" t="s">
        <v>23</v>
      </c>
      <c r="H197">
        <v>1</v>
      </c>
      <c r="I197">
        <v>39.5</v>
      </c>
      <c r="J197">
        <v>3</v>
      </c>
      <c r="K197">
        <v>5598.14</v>
      </c>
      <c r="L197">
        <v>0</v>
      </c>
      <c r="M197" t="s">
        <v>134</v>
      </c>
      <c r="N197" t="str">
        <f t="shared" si="63"/>
        <v>&gt;=24</v>
      </c>
      <c r="O197" t="str">
        <f t="shared" si="64"/>
        <v>60-90</v>
      </c>
      <c r="P197" t="str">
        <f t="shared" si="65"/>
        <v>1-3</v>
      </c>
      <c r="Q197" t="str">
        <f t="shared" si="66"/>
        <v>20-40</v>
      </c>
      <c r="R197" t="str">
        <f t="shared" si="67"/>
        <v>ContractType|Month-to-Month</v>
      </c>
      <c r="S197" t="str">
        <f t="shared" si="68"/>
        <v>Tenure_Bin|&gt;=24</v>
      </c>
      <c r="T197" t="str">
        <f t="shared" si="69"/>
        <v>Satis_Bin|1-3</v>
      </c>
      <c r="U197" t="str">
        <f t="shared" si="70"/>
        <v>Monthly_Bin|60-90</v>
      </c>
      <c r="V197" t="str">
        <f t="shared" si="71"/>
        <v>Usage_Bin|20-40</v>
      </c>
      <c r="W197">
        <f t="shared" si="72"/>
        <v>3</v>
      </c>
      <c r="X197">
        <f t="shared" si="73"/>
        <v>0</v>
      </c>
      <c r="Y197">
        <f t="shared" si="74"/>
        <v>4</v>
      </c>
      <c r="Z197">
        <f t="shared" si="75"/>
        <v>1</v>
      </c>
      <c r="AA197">
        <f t="shared" si="76"/>
        <v>1</v>
      </c>
      <c r="AB197" s="51">
        <f t="shared" si="77"/>
        <v>9</v>
      </c>
      <c r="AC197" t="str">
        <f t="shared" si="78"/>
        <v>High</v>
      </c>
      <c r="AD197" t="str">
        <f t="shared" si="79"/>
        <v>No</v>
      </c>
      <c r="AE197">
        <f t="shared" si="80"/>
        <v>0</v>
      </c>
      <c r="AF197">
        <f xml:space="preserve">
_xlfn.XLOOKUP(AB197, '3.3 Calibration'!$A$2:$A$14, '3.3 Calibration'!$F$2:$F$14,
        '3.3 Calibration'!$D$2, 1)</f>
        <v>0.54545454545454541</v>
      </c>
      <c r="AG197" t="str">
        <f t="shared" si="81"/>
        <v>Yes</v>
      </c>
      <c r="AH197" t="str">
        <f t="shared" si="82"/>
        <v>Medium</v>
      </c>
      <c r="AI197" t="e">
        <f t="shared" si="83"/>
        <v>#N/A</v>
      </c>
    </row>
    <row r="198" spans="1:35" x14ac:dyDescent="0.2">
      <c r="A198">
        <v>197</v>
      </c>
      <c r="B198">
        <v>30</v>
      </c>
      <c r="C198" t="s">
        <v>15</v>
      </c>
      <c r="D198">
        <v>25</v>
      </c>
      <c r="E198">
        <v>28.79</v>
      </c>
      <c r="F198" t="s">
        <v>20</v>
      </c>
      <c r="G198" t="s">
        <v>23</v>
      </c>
      <c r="H198">
        <v>3</v>
      </c>
      <c r="I198">
        <v>90.2</v>
      </c>
      <c r="J198">
        <v>8</v>
      </c>
      <c r="K198">
        <v>690.9</v>
      </c>
      <c r="L198">
        <v>1</v>
      </c>
      <c r="M198" t="s">
        <v>134</v>
      </c>
      <c r="N198" t="str">
        <f t="shared" si="63"/>
        <v>&gt;=24</v>
      </c>
      <c r="O198" t="str">
        <f t="shared" si="64"/>
        <v>&lt;30</v>
      </c>
      <c r="P198" t="str">
        <f t="shared" si="65"/>
        <v>7-10</v>
      </c>
      <c r="Q198" t="str">
        <f t="shared" si="66"/>
        <v>&gt;=80</v>
      </c>
      <c r="R198" t="str">
        <f t="shared" si="67"/>
        <v>ContractType|Month-to-Month</v>
      </c>
      <c r="S198" t="str">
        <f t="shared" si="68"/>
        <v>Tenure_Bin|&gt;=24</v>
      </c>
      <c r="T198" t="str">
        <f t="shared" si="69"/>
        <v>Satis_Bin|7-10</v>
      </c>
      <c r="U198" t="str">
        <f t="shared" si="70"/>
        <v>Monthly_Bin|&lt;30</v>
      </c>
      <c r="V198" t="str">
        <f t="shared" si="71"/>
        <v>Usage_Bin|&gt;=80</v>
      </c>
      <c r="W198">
        <f t="shared" si="72"/>
        <v>3</v>
      </c>
      <c r="X198">
        <f t="shared" si="73"/>
        <v>0</v>
      </c>
      <c r="Y198">
        <f t="shared" si="74"/>
        <v>0</v>
      </c>
      <c r="Z198">
        <f t="shared" si="75"/>
        <v>0</v>
      </c>
      <c r="AA198">
        <f t="shared" si="76"/>
        <v>0</v>
      </c>
      <c r="AB198" s="51">
        <f t="shared" si="77"/>
        <v>3</v>
      </c>
      <c r="AC198" t="str">
        <f t="shared" si="78"/>
        <v>Low</v>
      </c>
      <c r="AD198" t="str">
        <f t="shared" si="79"/>
        <v>No</v>
      </c>
      <c r="AE198">
        <f t="shared" si="80"/>
        <v>0</v>
      </c>
      <c r="AF198">
        <f xml:space="preserve">
_xlfn.XLOOKUP(AB198, '3.3 Calibration'!$A$2:$A$14, '3.3 Calibration'!$F$2:$F$14,
        '3.3 Calibration'!$D$2, 1)</f>
        <v>0.42105263157894735</v>
      </c>
      <c r="AG198" t="str">
        <f t="shared" si="81"/>
        <v>No</v>
      </c>
      <c r="AH198" t="str">
        <f t="shared" si="82"/>
        <v>Medium</v>
      </c>
      <c r="AI198" t="e">
        <f t="shared" si="83"/>
        <v>#N/A</v>
      </c>
    </row>
    <row r="199" spans="1:35" x14ac:dyDescent="0.2">
      <c r="A199">
        <v>198</v>
      </c>
      <c r="B199">
        <v>58</v>
      </c>
      <c r="C199" t="s">
        <v>15</v>
      </c>
      <c r="D199">
        <v>56</v>
      </c>
      <c r="E199">
        <v>33.880000000000003</v>
      </c>
      <c r="F199" t="s">
        <v>19</v>
      </c>
      <c r="G199" t="s">
        <v>23</v>
      </c>
      <c r="H199">
        <v>0</v>
      </c>
      <c r="I199">
        <v>21</v>
      </c>
      <c r="J199">
        <v>8</v>
      </c>
      <c r="K199">
        <v>1736.72</v>
      </c>
      <c r="L199">
        <v>0</v>
      </c>
      <c r="M199" t="s">
        <v>134</v>
      </c>
      <c r="N199" t="str">
        <f t="shared" si="63"/>
        <v>&gt;=24</v>
      </c>
      <c r="O199" t="str">
        <f t="shared" si="64"/>
        <v>30-60</v>
      </c>
      <c r="P199" t="str">
        <f t="shared" si="65"/>
        <v>7-10</v>
      </c>
      <c r="Q199" t="str">
        <f t="shared" si="66"/>
        <v>20-40</v>
      </c>
      <c r="R199" t="str">
        <f t="shared" si="67"/>
        <v>ContractType|2-Year</v>
      </c>
      <c r="S199" t="str">
        <f t="shared" si="68"/>
        <v>Tenure_Bin|&gt;=24</v>
      </c>
      <c r="T199" t="str">
        <f t="shared" si="69"/>
        <v>Satis_Bin|7-10</v>
      </c>
      <c r="U199" t="str">
        <f t="shared" si="70"/>
        <v>Monthly_Bin|30-60</v>
      </c>
      <c r="V199" t="str">
        <f t="shared" si="71"/>
        <v>Usage_Bin|20-40</v>
      </c>
      <c r="W199">
        <f t="shared" si="72"/>
        <v>0</v>
      </c>
      <c r="X199">
        <f t="shared" si="73"/>
        <v>0</v>
      </c>
      <c r="Y199">
        <f t="shared" si="74"/>
        <v>0</v>
      </c>
      <c r="Z199">
        <f t="shared" si="75"/>
        <v>0</v>
      </c>
      <c r="AA199">
        <f t="shared" si="76"/>
        <v>1</v>
      </c>
      <c r="AB199" s="51">
        <f t="shared" si="77"/>
        <v>1</v>
      </c>
      <c r="AC199" t="str">
        <f t="shared" si="78"/>
        <v>Low</v>
      </c>
      <c r="AD199" t="str">
        <f t="shared" si="79"/>
        <v>No</v>
      </c>
      <c r="AE199">
        <f t="shared" si="80"/>
        <v>0</v>
      </c>
      <c r="AF199">
        <f xml:space="preserve">
_xlfn.XLOOKUP(AB199, '3.3 Calibration'!$A$2:$A$14, '3.3 Calibration'!$F$2:$F$14,
        '3.3 Calibration'!$D$2, 1)</f>
        <v>0.25</v>
      </c>
      <c r="AG199" t="str">
        <f t="shared" si="81"/>
        <v>No</v>
      </c>
      <c r="AH199" t="str">
        <f t="shared" si="82"/>
        <v>Low</v>
      </c>
      <c r="AI199" t="e">
        <f t="shared" si="83"/>
        <v>#N/A</v>
      </c>
    </row>
    <row r="200" spans="1:35" x14ac:dyDescent="0.2">
      <c r="A200">
        <v>199</v>
      </c>
      <c r="B200">
        <v>20</v>
      </c>
      <c r="C200" t="s">
        <v>16</v>
      </c>
      <c r="D200">
        <v>33</v>
      </c>
      <c r="E200">
        <v>20.27</v>
      </c>
      <c r="F200" t="s">
        <v>20</v>
      </c>
      <c r="G200" t="s">
        <v>22</v>
      </c>
      <c r="H200">
        <v>0</v>
      </c>
      <c r="I200">
        <v>53.2</v>
      </c>
      <c r="J200">
        <v>5</v>
      </c>
      <c r="K200">
        <v>668.99</v>
      </c>
      <c r="L200">
        <v>0</v>
      </c>
      <c r="M200" t="s">
        <v>134</v>
      </c>
      <c r="N200" t="str">
        <f t="shared" si="63"/>
        <v>&gt;=24</v>
      </c>
      <c r="O200" t="str">
        <f t="shared" si="64"/>
        <v>&lt;30</v>
      </c>
      <c r="P200" t="str">
        <f t="shared" si="65"/>
        <v>4-6</v>
      </c>
      <c r="Q200" t="str">
        <f t="shared" si="66"/>
        <v>40-80</v>
      </c>
      <c r="R200" t="str">
        <f t="shared" si="67"/>
        <v>ContractType|Month-to-Month</v>
      </c>
      <c r="S200" t="str">
        <f t="shared" si="68"/>
        <v>Tenure_Bin|&gt;=24</v>
      </c>
      <c r="T200" t="str">
        <f t="shared" si="69"/>
        <v>Satis_Bin|4-6</v>
      </c>
      <c r="U200" t="str">
        <f t="shared" si="70"/>
        <v>Monthly_Bin|&lt;30</v>
      </c>
      <c r="V200" t="str">
        <f t="shared" si="71"/>
        <v>Usage_Bin|40-80</v>
      </c>
      <c r="W200">
        <f t="shared" si="72"/>
        <v>3</v>
      </c>
      <c r="X200">
        <f t="shared" si="73"/>
        <v>0</v>
      </c>
      <c r="Y200">
        <f t="shared" si="74"/>
        <v>2</v>
      </c>
      <c r="Z200">
        <f t="shared" si="75"/>
        <v>0</v>
      </c>
      <c r="AA200">
        <f t="shared" si="76"/>
        <v>0</v>
      </c>
      <c r="AB200" s="51">
        <f t="shared" si="77"/>
        <v>5</v>
      </c>
      <c r="AC200" t="str">
        <f t="shared" si="78"/>
        <v>Medium</v>
      </c>
      <c r="AD200" t="str">
        <f t="shared" si="79"/>
        <v>No</v>
      </c>
      <c r="AE200">
        <f t="shared" si="80"/>
        <v>0</v>
      </c>
      <c r="AF200">
        <f xml:space="preserve">
_xlfn.XLOOKUP(AB200, '3.3 Calibration'!$A$2:$A$14, '3.3 Calibration'!$F$2:$F$14,
        '3.3 Calibration'!$D$2, 1)</f>
        <v>0.33333333333333331</v>
      </c>
      <c r="AG200" t="str">
        <f t="shared" si="81"/>
        <v>No</v>
      </c>
      <c r="AH200" t="str">
        <f t="shared" si="82"/>
        <v>Low</v>
      </c>
      <c r="AI200" t="e">
        <f t="shared" si="83"/>
        <v>#N/A</v>
      </c>
    </row>
    <row r="201" spans="1:35" x14ac:dyDescent="0.2">
      <c r="A201">
        <v>200</v>
      </c>
      <c r="B201">
        <v>56</v>
      </c>
      <c r="C201" t="s">
        <v>15</v>
      </c>
      <c r="D201">
        <v>38</v>
      </c>
      <c r="E201">
        <v>31.67</v>
      </c>
      <c r="F201" t="s">
        <v>20</v>
      </c>
      <c r="G201" t="s">
        <v>23</v>
      </c>
      <c r="H201">
        <v>1</v>
      </c>
      <c r="I201">
        <v>61.8</v>
      </c>
      <c r="J201">
        <v>1</v>
      </c>
      <c r="K201">
        <v>1274.3499999999999</v>
      </c>
      <c r="L201">
        <v>1</v>
      </c>
      <c r="M201" t="s">
        <v>134</v>
      </c>
      <c r="N201" t="str">
        <f t="shared" si="63"/>
        <v>&gt;=24</v>
      </c>
      <c r="O201" t="str">
        <f t="shared" si="64"/>
        <v>30-60</v>
      </c>
      <c r="P201" t="str">
        <f t="shared" si="65"/>
        <v>1-3</v>
      </c>
      <c r="Q201" t="str">
        <f t="shared" si="66"/>
        <v>40-80</v>
      </c>
      <c r="R201" t="str">
        <f t="shared" si="67"/>
        <v>ContractType|Month-to-Month</v>
      </c>
      <c r="S201" t="str">
        <f t="shared" si="68"/>
        <v>Tenure_Bin|&gt;=24</v>
      </c>
      <c r="T201" t="str">
        <f t="shared" si="69"/>
        <v>Satis_Bin|1-3</v>
      </c>
      <c r="U201" t="str">
        <f t="shared" si="70"/>
        <v>Monthly_Bin|30-60</v>
      </c>
      <c r="V201" t="str">
        <f t="shared" si="71"/>
        <v>Usage_Bin|40-80</v>
      </c>
      <c r="W201">
        <f t="shared" si="72"/>
        <v>3</v>
      </c>
      <c r="X201">
        <f t="shared" si="73"/>
        <v>0</v>
      </c>
      <c r="Y201">
        <f t="shared" si="74"/>
        <v>4</v>
      </c>
      <c r="Z201">
        <f t="shared" si="75"/>
        <v>0</v>
      </c>
      <c r="AA201">
        <f t="shared" si="76"/>
        <v>0</v>
      </c>
      <c r="AB201" s="51">
        <f t="shared" si="77"/>
        <v>7</v>
      </c>
      <c r="AC201" t="str">
        <f t="shared" si="78"/>
        <v>High</v>
      </c>
      <c r="AD201" t="str">
        <f t="shared" si="79"/>
        <v>No</v>
      </c>
      <c r="AE201">
        <f t="shared" si="80"/>
        <v>0</v>
      </c>
      <c r="AF201">
        <f xml:space="preserve">
_xlfn.XLOOKUP(AB201, '3.3 Calibration'!$A$2:$A$14, '3.3 Calibration'!$F$2:$F$14,
        '3.3 Calibration'!$D$2, 1)</f>
        <v>0.54166666666666663</v>
      </c>
      <c r="AG201" t="str">
        <f t="shared" si="81"/>
        <v>Yes</v>
      </c>
      <c r="AH201" t="str">
        <f t="shared" si="82"/>
        <v>Medium</v>
      </c>
      <c r="AI201" t="e">
        <f t="shared" si="83"/>
        <v>#N/A</v>
      </c>
    </row>
    <row r="202" spans="1:35" x14ac:dyDescent="0.2">
      <c r="A202">
        <v>201</v>
      </c>
      <c r="B202">
        <v>23</v>
      </c>
      <c r="C202" t="s">
        <v>16</v>
      </c>
      <c r="D202">
        <v>6</v>
      </c>
      <c r="E202">
        <v>67.319999999999993</v>
      </c>
      <c r="F202" t="s">
        <v>18</v>
      </c>
      <c r="G202" t="s">
        <v>22</v>
      </c>
      <c r="H202">
        <v>2</v>
      </c>
      <c r="I202">
        <v>8.1999999999999993</v>
      </c>
      <c r="J202">
        <v>10</v>
      </c>
      <c r="K202">
        <v>420.65</v>
      </c>
      <c r="L202">
        <v>0</v>
      </c>
      <c r="M202" t="s">
        <v>134</v>
      </c>
      <c r="N202" t="str">
        <f t="shared" si="63"/>
        <v>6-12</v>
      </c>
      <c r="O202" t="str">
        <f t="shared" si="64"/>
        <v>60-90</v>
      </c>
      <c r="P202" t="str">
        <f t="shared" si="65"/>
        <v>7-10</v>
      </c>
      <c r="Q202" t="str">
        <f t="shared" si="66"/>
        <v>&lt;20</v>
      </c>
      <c r="R202" t="str">
        <f t="shared" si="67"/>
        <v>ContractType|1-Year</v>
      </c>
      <c r="S202" t="str">
        <f t="shared" si="68"/>
        <v>Tenure_Bin|6-12</v>
      </c>
      <c r="T202" t="str">
        <f t="shared" si="69"/>
        <v>Satis_Bin|7-10</v>
      </c>
      <c r="U202" t="str">
        <f t="shared" si="70"/>
        <v>Monthly_Bin|60-90</v>
      </c>
      <c r="V202" t="str">
        <f t="shared" si="71"/>
        <v>Usage_Bin|&lt;20</v>
      </c>
      <c r="W202">
        <f t="shared" si="72"/>
        <v>1</v>
      </c>
      <c r="X202">
        <f t="shared" si="73"/>
        <v>2</v>
      </c>
      <c r="Y202">
        <f t="shared" si="74"/>
        <v>0</v>
      </c>
      <c r="Z202">
        <f t="shared" si="75"/>
        <v>1</v>
      </c>
      <c r="AA202">
        <f t="shared" si="76"/>
        <v>2</v>
      </c>
      <c r="AB202" s="51">
        <f t="shared" si="77"/>
        <v>6</v>
      </c>
      <c r="AC202" t="str">
        <f t="shared" si="78"/>
        <v>Medium</v>
      </c>
      <c r="AD202" t="str">
        <f t="shared" si="79"/>
        <v>No</v>
      </c>
      <c r="AE202">
        <f t="shared" si="80"/>
        <v>0</v>
      </c>
      <c r="AF202">
        <f xml:space="preserve">
_xlfn.XLOOKUP(AB202, '3.3 Calibration'!$A$2:$A$14, '3.3 Calibration'!$F$2:$F$14,
        '3.3 Calibration'!$D$2, 1)</f>
        <v>0.33333333333333331</v>
      </c>
      <c r="AG202" t="str">
        <f t="shared" si="81"/>
        <v>No</v>
      </c>
      <c r="AH202" t="str">
        <f t="shared" si="82"/>
        <v>Low</v>
      </c>
      <c r="AI202" t="e">
        <f t="shared" si="83"/>
        <v>#N/A</v>
      </c>
    </row>
    <row r="203" spans="1:35" x14ac:dyDescent="0.2">
      <c r="A203">
        <v>202</v>
      </c>
      <c r="B203">
        <v>25</v>
      </c>
      <c r="C203" t="s">
        <v>15</v>
      </c>
      <c r="D203">
        <v>58</v>
      </c>
      <c r="E203">
        <v>80.61</v>
      </c>
      <c r="F203" t="s">
        <v>20</v>
      </c>
      <c r="G203" t="s">
        <v>23</v>
      </c>
      <c r="H203">
        <v>1</v>
      </c>
      <c r="I203">
        <v>39.6</v>
      </c>
      <c r="J203">
        <v>7</v>
      </c>
      <c r="K203">
        <v>4254.8100000000004</v>
      </c>
      <c r="L203">
        <v>0</v>
      </c>
      <c r="M203" t="s">
        <v>134</v>
      </c>
      <c r="N203" t="str">
        <f t="shared" si="63"/>
        <v>&gt;=24</v>
      </c>
      <c r="O203" t="str">
        <f t="shared" si="64"/>
        <v>60-90</v>
      </c>
      <c r="P203" t="str">
        <f t="shared" si="65"/>
        <v>7-10</v>
      </c>
      <c r="Q203" t="str">
        <f t="shared" si="66"/>
        <v>20-40</v>
      </c>
      <c r="R203" t="str">
        <f t="shared" si="67"/>
        <v>ContractType|Month-to-Month</v>
      </c>
      <c r="S203" t="str">
        <f t="shared" si="68"/>
        <v>Tenure_Bin|&gt;=24</v>
      </c>
      <c r="T203" t="str">
        <f t="shared" si="69"/>
        <v>Satis_Bin|7-10</v>
      </c>
      <c r="U203" t="str">
        <f t="shared" si="70"/>
        <v>Monthly_Bin|60-90</v>
      </c>
      <c r="V203" t="str">
        <f t="shared" si="71"/>
        <v>Usage_Bin|20-40</v>
      </c>
      <c r="W203">
        <f t="shared" si="72"/>
        <v>3</v>
      </c>
      <c r="X203">
        <f t="shared" si="73"/>
        <v>0</v>
      </c>
      <c r="Y203">
        <f t="shared" si="74"/>
        <v>0</v>
      </c>
      <c r="Z203">
        <f t="shared" si="75"/>
        <v>1</v>
      </c>
      <c r="AA203">
        <f t="shared" si="76"/>
        <v>1</v>
      </c>
      <c r="AB203" s="51">
        <f t="shared" si="77"/>
        <v>5</v>
      </c>
      <c r="AC203" t="str">
        <f t="shared" si="78"/>
        <v>Medium</v>
      </c>
      <c r="AD203" t="str">
        <f t="shared" si="79"/>
        <v>No</v>
      </c>
      <c r="AE203">
        <f t="shared" si="80"/>
        <v>0</v>
      </c>
      <c r="AF203">
        <f xml:space="preserve">
_xlfn.XLOOKUP(AB203, '3.3 Calibration'!$A$2:$A$14, '3.3 Calibration'!$F$2:$F$14,
        '3.3 Calibration'!$D$2, 1)</f>
        <v>0.33333333333333331</v>
      </c>
      <c r="AG203" t="str">
        <f t="shared" si="81"/>
        <v>No</v>
      </c>
      <c r="AH203" t="str">
        <f t="shared" si="82"/>
        <v>Low</v>
      </c>
      <c r="AI203" t="e">
        <f t="shared" si="83"/>
        <v>#N/A</v>
      </c>
    </row>
    <row r="204" spans="1:35" x14ac:dyDescent="0.2">
      <c r="A204">
        <v>203</v>
      </c>
      <c r="B204">
        <v>44</v>
      </c>
      <c r="C204" t="s">
        <v>16</v>
      </c>
      <c r="D204">
        <v>44</v>
      </c>
      <c r="E204">
        <v>99.43</v>
      </c>
      <c r="F204" t="s">
        <v>18</v>
      </c>
      <c r="G204" t="s">
        <v>24</v>
      </c>
      <c r="H204">
        <v>3</v>
      </c>
      <c r="I204">
        <v>74.599999999999994</v>
      </c>
      <c r="J204">
        <v>10</v>
      </c>
      <c r="K204">
        <v>4001.22</v>
      </c>
      <c r="L204">
        <v>1</v>
      </c>
      <c r="M204" t="s">
        <v>134</v>
      </c>
      <c r="N204" t="str">
        <f t="shared" si="63"/>
        <v>&gt;=24</v>
      </c>
      <c r="O204" t="str">
        <f t="shared" si="64"/>
        <v>&gt;=90</v>
      </c>
      <c r="P204" t="str">
        <f t="shared" si="65"/>
        <v>7-10</v>
      </c>
      <c r="Q204" t="str">
        <f t="shared" si="66"/>
        <v>40-80</v>
      </c>
      <c r="R204" t="str">
        <f t="shared" si="67"/>
        <v>ContractType|1-Year</v>
      </c>
      <c r="S204" t="str">
        <f t="shared" si="68"/>
        <v>Tenure_Bin|&gt;=24</v>
      </c>
      <c r="T204" t="str">
        <f t="shared" si="69"/>
        <v>Satis_Bin|7-10</v>
      </c>
      <c r="U204" t="str">
        <f t="shared" si="70"/>
        <v>Monthly_Bin|&gt;=90</v>
      </c>
      <c r="V204" t="str">
        <f t="shared" si="71"/>
        <v>Usage_Bin|40-80</v>
      </c>
      <c r="W204">
        <f t="shared" si="72"/>
        <v>1</v>
      </c>
      <c r="X204">
        <f t="shared" si="73"/>
        <v>0</v>
      </c>
      <c r="Y204">
        <f t="shared" si="74"/>
        <v>0</v>
      </c>
      <c r="Z204">
        <f t="shared" si="75"/>
        <v>2</v>
      </c>
      <c r="AA204">
        <f t="shared" si="76"/>
        <v>0</v>
      </c>
      <c r="AB204" s="51">
        <f t="shared" si="77"/>
        <v>3</v>
      </c>
      <c r="AC204" t="str">
        <f t="shared" si="78"/>
        <v>Low</v>
      </c>
      <c r="AD204" t="str">
        <f t="shared" si="79"/>
        <v>No</v>
      </c>
      <c r="AE204">
        <f t="shared" si="80"/>
        <v>0</v>
      </c>
      <c r="AF204">
        <f xml:space="preserve">
_xlfn.XLOOKUP(AB204, '3.3 Calibration'!$A$2:$A$14, '3.3 Calibration'!$F$2:$F$14,
        '3.3 Calibration'!$D$2, 1)</f>
        <v>0.42105263157894735</v>
      </c>
      <c r="AG204" t="str">
        <f t="shared" si="81"/>
        <v>No</v>
      </c>
      <c r="AH204" t="str">
        <f t="shared" si="82"/>
        <v>Medium</v>
      </c>
      <c r="AI204" t="e">
        <f t="shared" si="83"/>
        <v>#N/A</v>
      </c>
    </row>
    <row r="205" spans="1:35" x14ac:dyDescent="0.2">
      <c r="A205">
        <v>204</v>
      </c>
      <c r="B205">
        <v>26</v>
      </c>
      <c r="C205" t="s">
        <v>16</v>
      </c>
      <c r="D205">
        <v>45</v>
      </c>
      <c r="E205">
        <v>30.67</v>
      </c>
      <c r="F205" t="s">
        <v>20</v>
      </c>
      <c r="G205" t="s">
        <v>22</v>
      </c>
      <c r="H205">
        <v>4</v>
      </c>
      <c r="I205">
        <v>82.9</v>
      </c>
      <c r="J205">
        <v>5</v>
      </c>
      <c r="K205">
        <v>1353.34</v>
      </c>
      <c r="L205">
        <v>0</v>
      </c>
      <c r="M205" t="s">
        <v>133</v>
      </c>
      <c r="N205" t="str">
        <f t="shared" si="63"/>
        <v>&gt;=24</v>
      </c>
      <c r="O205" t="str">
        <f t="shared" si="64"/>
        <v>30-60</v>
      </c>
      <c r="P205" t="str">
        <f t="shared" si="65"/>
        <v>4-6</v>
      </c>
      <c r="Q205" t="str">
        <f t="shared" si="66"/>
        <v>&gt;=80</v>
      </c>
      <c r="R205" t="str">
        <f t="shared" si="67"/>
        <v>ContractType|Month-to-Month</v>
      </c>
      <c r="S205" t="str">
        <f t="shared" si="68"/>
        <v>Tenure_Bin|&gt;=24</v>
      </c>
      <c r="T205" t="str">
        <f t="shared" si="69"/>
        <v>Satis_Bin|4-6</v>
      </c>
      <c r="U205" t="str">
        <f t="shared" si="70"/>
        <v>Monthly_Bin|30-60</v>
      </c>
      <c r="V205" t="str">
        <f t="shared" si="71"/>
        <v>Usage_Bin|&gt;=80</v>
      </c>
      <c r="W205">
        <f t="shared" si="72"/>
        <v>3</v>
      </c>
      <c r="X205">
        <f t="shared" si="73"/>
        <v>0</v>
      </c>
      <c r="Y205">
        <f t="shared" si="74"/>
        <v>2</v>
      </c>
      <c r="Z205">
        <f t="shared" si="75"/>
        <v>0</v>
      </c>
      <c r="AA205">
        <f t="shared" si="76"/>
        <v>0</v>
      </c>
      <c r="AB205" s="51">
        <f t="shared" si="77"/>
        <v>5</v>
      </c>
      <c r="AC205" t="str">
        <f t="shared" si="78"/>
        <v>Medium</v>
      </c>
      <c r="AD205" t="str">
        <f t="shared" si="79"/>
        <v>No</v>
      </c>
      <c r="AE205">
        <f t="shared" si="80"/>
        <v>0</v>
      </c>
      <c r="AF205">
        <f xml:space="preserve">
_xlfn.XLOOKUP(AB205, '3.3 Calibration'!$A$2:$A$14, '3.3 Calibration'!$F$2:$F$14,
        '3.3 Calibration'!$D$2, 1)</f>
        <v>0.33333333333333331</v>
      </c>
      <c r="AG205" t="str">
        <f t="shared" si="81"/>
        <v>No</v>
      </c>
      <c r="AH205" t="str">
        <f t="shared" si="82"/>
        <v>Low</v>
      </c>
      <c r="AI205" t="e">
        <f t="shared" si="83"/>
        <v>#N/A</v>
      </c>
    </row>
    <row r="206" spans="1:35" x14ac:dyDescent="0.2">
      <c r="A206">
        <v>205</v>
      </c>
      <c r="B206">
        <v>54</v>
      </c>
      <c r="C206" t="s">
        <v>15</v>
      </c>
      <c r="D206">
        <v>32</v>
      </c>
      <c r="E206">
        <v>105.07</v>
      </c>
      <c r="F206" t="s">
        <v>19</v>
      </c>
      <c r="G206" t="s">
        <v>24</v>
      </c>
      <c r="H206">
        <v>0</v>
      </c>
      <c r="I206">
        <v>34.799999999999997</v>
      </c>
      <c r="J206">
        <v>8</v>
      </c>
      <c r="K206">
        <v>3224.58</v>
      </c>
      <c r="L206">
        <v>0</v>
      </c>
      <c r="M206" t="s">
        <v>134</v>
      </c>
      <c r="N206" t="str">
        <f t="shared" si="63"/>
        <v>&gt;=24</v>
      </c>
      <c r="O206" t="str">
        <f t="shared" si="64"/>
        <v>&gt;=90</v>
      </c>
      <c r="P206" t="str">
        <f t="shared" si="65"/>
        <v>7-10</v>
      </c>
      <c r="Q206" t="str">
        <f t="shared" si="66"/>
        <v>20-40</v>
      </c>
      <c r="R206" t="str">
        <f t="shared" si="67"/>
        <v>ContractType|2-Year</v>
      </c>
      <c r="S206" t="str">
        <f t="shared" si="68"/>
        <v>Tenure_Bin|&gt;=24</v>
      </c>
      <c r="T206" t="str">
        <f t="shared" si="69"/>
        <v>Satis_Bin|7-10</v>
      </c>
      <c r="U206" t="str">
        <f t="shared" si="70"/>
        <v>Monthly_Bin|&gt;=90</v>
      </c>
      <c r="V206" t="str">
        <f t="shared" si="71"/>
        <v>Usage_Bin|20-40</v>
      </c>
      <c r="W206">
        <f t="shared" si="72"/>
        <v>0</v>
      </c>
      <c r="X206">
        <f t="shared" si="73"/>
        <v>0</v>
      </c>
      <c r="Y206">
        <f t="shared" si="74"/>
        <v>0</v>
      </c>
      <c r="Z206">
        <f t="shared" si="75"/>
        <v>2</v>
      </c>
      <c r="AA206">
        <f t="shared" si="76"/>
        <v>1</v>
      </c>
      <c r="AB206" s="51">
        <f t="shared" si="77"/>
        <v>3</v>
      </c>
      <c r="AC206" t="str">
        <f t="shared" si="78"/>
        <v>Low</v>
      </c>
      <c r="AD206" t="str">
        <f t="shared" si="79"/>
        <v>No</v>
      </c>
      <c r="AE206">
        <f t="shared" si="80"/>
        <v>0</v>
      </c>
      <c r="AF206">
        <f xml:space="preserve">
_xlfn.XLOOKUP(AB206, '3.3 Calibration'!$A$2:$A$14, '3.3 Calibration'!$F$2:$F$14,
        '3.3 Calibration'!$D$2, 1)</f>
        <v>0.42105263157894735</v>
      </c>
      <c r="AG206" t="str">
        <f t="shared" si="81"/>
        <v>No</v>
      </c>
      <c r="AH206" t="str">
        <f t="shared" si="82"/>
        <v>Medium</v>
      </c>
      <c r="AI206" t="e">
        <f t="shared" si="83"/>
        <v>#N/A</v>
      </c>
    </row>
    <row r="207" spans="1:35" x14ac:dyDescent="0.2">
      <c r="A207">
        <v>206</v>
      </c>
      <c r="B207">
        <v>50</v>
      </c>
      <c r="C207" t="s">
        <v>15</v>
      </c>
      <c r="D207">
        <v>45</v>
      </c>
      <c r="E207">
        <v>94.6</v>
      </c>
      <c r="F207" t="s">
        <v>18</v>
      </c>
      <c r="G207" t="s">
        <v>22</v>
      </c>
      <c r="H207">
        <v>3</v>
      </c>
      <c r="I207">
        <v>80.900000000000006</v>
      </c>
      <c r="J207">
        <v>9</v>
      </c>
      <c r="K207">
        <v>4029.15</v>
      </c>
      <c r="L207">
        <v>0</v>
      </c>
      <c r="M207" t="s">
        <v>133</v>
      </c>
      <c r="N207" t="str">
        <f t="shared" si="63"/>
        <v>&gt;=24</v>
      </c>
      <c r="O207" t="str">
        <f t="shared" si="64"/>
        <v>&gt;=90</v>
      </c>
      <c r="P207" t="str">
        <f t="shared" si="65"/>
        <v>7-10</v>
      </c>
      <c r="Q207" t="str">
        <f t="shared" si="66"/>
        <v>&gt;=80</v>
      </c>
      <c r="R207" t="str">
        <f t="shared" si="67"/>
        <v>ContractType|1-Year</v>
      </c>
      <c r="S207" t="str">
        <f t="shared" si="68"/>
        <v>Tenure_Bin|&gt;=24</v>
      </c>
      <c r="T207" t="str">
        <f t="shared" si="69"/>
        <v>Satis_Bin|7-10</v>
      </c>
      <c r="U207" t="str">
        <f t="shared" si="70"/>
        <v>Monthly_Bin|&gt;=90</v>
      </c>
      <c r="V207" t="str">
        <f t="shared" si="71"/>
        <v>Usage_Bin|&gt;=80</v>
      </c>
      <c r="W207">
        <f t="shared" si="72"/>
        <v>1</v>
      </c>
      <c r="X207">
        <f t="shared" si="73"/>
        <v>0</v>
      </c>
      <c r="Y207">
        <f t="shared" si="74"/>
        <v>0</v>
      </c>
      <c r="Z207">
        <f t="shared" si="75"/>
        <v>2</v>
      </c>
      <c r="AA207">
        <f t="shared" si="76"/>
        <v>0</v>
      </c>
      <c r="AB207" s="51">
        <f t="shared" si="77"/>
        <v>3</v>
      </c>
      <c r="AC207" t="str">
        <f t="shared" si="78"/>
        <v>Low</v>
      </c>
      <c r="AD207" t="str">
        <f t="shared" si="79"/>
        <v>No</v>
      </c>
      <c r="AE207">
        <f t="shared" si="80"/>
        <v>0</v>
      </c>
      <c r="AF207">
        <f xml:space="preserve">
_xlfn.XLOOKUP(AB207, '3.3 Calibration'!$A$2:$A$14, '3.3 Calibration'!$F$2:$F$14,
        '3.3 Calibration'!$D$2, 1)</f>
        <v>0.42105263157894735</v>
      </c>
      <c r="AG207" t="str">
        <f t="shared" si="81"/>
        <v>No</v>
      </c>
      <c r="AH207" t="str">
        <f t="shared" si="82"/>
        <v>Medium</v>
      </c>
      <c r="AI207" t="e">
        <f t="shared" si="83"/>
        <v>#N/A</v>
      </c>
    </row>
    <row r="208" spans="1:35" x14ac:dyDescent="0.2">
      <c r="A208">
        <v>207</v>
      </c>
      <c r="B208">
        <v>68</v>
      </c>
      <c r="C208" t="s">
        <v>15</v>
      </c>
      <c r="D208">
        <v>61</v>
      </c>
      <c r="E208">
        <v>60.85</v>
      </c>
      <c r="F208" t="s">
        <v>18</v>
      </c>
      <c r="G208" t="s">
        <v>24</v>
      </c>
      <c r="H208">
        <v>2</v>
      </c>
      <c r="I208">
        <v>96.9</v>
      </c>
      <c r="J208">
        <v>7</v>
      </c>
      <c r="K208">
        <v>3549.27</v>
      </c>
      <c r="L208">
        <v>1</v>
      </c>
      <c r="M208" t="s">
        <v>134</v>
      </c>
      <c r="N208" t="str">
        <f t="shared" si="63"/>
        <v>&gt;=24</v>
      </c>
      <c r="O208" t="str">
        <f t="shared" si="64"/>
        <v>60-90</v>
      </c>
      <c r="P208" t="str">
        <f t="shared" si="65"/>
        <v>7-10</v>
      </c>
      <c r="Q208" t="str">
        <f t="shared" si="66"/>
        <v>&gt;=80</v>
      </c>
      <c r="R208" t="str">
        <f t="shared" si="67"/>
        <v>ContractType|1-Year</v>
      </c>
      <c r="S208" t="str">
        <f t="shared" si="68"/>
        <v>Tenure_Bin|&gt;=24</v>
      </c>
      <c r="T208" t="str">
        <f t="shared" si="69"/>
        <v>Satis_Bin|7-10</v>
      </c>
      <c r="U208" t="str">
        <f t="shared" si="70"/>
        <v>Monthly_Bin|60-90</v>
      </c>
      <c r="V208" t="str">
        <f t="shared" si="71"/>
        <v>Usage_Bin|&gt;=80</v>
      </c>
      <c r="W208">
        <f t="shared" si="72"/>
        <v>1</v>
      </c>
      <c r="X208">
        <f t="shared" si="73"/>
        <v>0</v>
      </c>
      <c r="Y208">
        <f t="shared" si="74"/>
        <v>0</v>
      </c>
      <c r="Z208">
        <f t="shared" si="75"/>
        <v>1</v>
      </c>
      <c r="AA208">
        <f t="shared" si="76"/>
        <v>0</v>
      </c>
      <c r="AB208" s="51">
        <f t="shared" si="77"/>
        <v>2</v>
      </c>
      <c r="AC208" t="str">
        <f t="shared" si="78"/>
        <v>Low</v>
      </c>
      <c r="AD208" t="str">
        <f t="shared" si="79"/>
        <v>No</v>
      </c>
      <c r="AE208">
        <f t="shared" si="80"/>
        <v>0</v>
      </c>
      <c r="AF208">
        <f xml:space="preserve">
_xlfn.XLOOKUP(AB208, '3.3 Calibration'!$A$2:$A$14, '3.3 Calibration'!$F$2:$F$14,
        '3.3 Calibration'!$D$2, 1)</f>
        <v>0.6</v>
      </c>
      <c r="AG208" t="str">
        <f t="shared" si="81"/>
        <v>Yes</v>
      </c>
      <c r="AH208" t="str">
        <f t="shared" si="82"/>
        <v>High</v>
      </c>
      <c r="AI208" t="str">
        <f t="shared" si="83"/>
        <v>&gt;=24</v>
      </c>
    </row>
    <row r="209" spans="1:35" x14ac:dyDescent="0.2">
      <c r="A209">
        <v>208</v>
      </c>
      <c r="B209">
        <v>59</v>
      </c>
      <c r="C209" t="s">
        <v>16</v>
      </c>
      <c r="D209">
        <v>47</v>
      </c>
      <c r="E209">
        <v>113.29</v>
      </c>
      <c r="F209" t="s">
        <v>19</v>
      </c>
      <c r="G209" t="s">
        <v>23</v>
      </c>
      <c r="H209">
        <v>3</v>
      </c>
      <c r="I209">
        <v>86.4</v>
      </c>
      <c r="J209">
        <v>7</v>
      </c>
      <c r="K209">
        <v>5647.82</v>
      </c>
      <c r="L209">
        <v>1</v>
      </c>
      <c r="M209" t="s">
        <v>134</v>
      </c>
      <c r="N209" t="str">
        <f t="shared" si="63"/>
        <v>&gt;=24</v>
      </c>
      <c r="O209" t="str">
        <f t="shared" si="64"/>
        <v>&gt;=90</v>
      </c>
      <c r="P209" t="str">
        <f t="shared" si="65"/>
        <v>7-10</v>
      </c>
      <c r="Q209" t="str">
        <f t="shared" si="66"/>
        <v>&gt;=80</v>
      </c>
      <c r="R209" t="str">
        <f t="shared" si="67"/>
        <v>ContractType|2-Year</v>
      </c>
      <c r="S209" t="str">
        <f t="shared" si="68"/>
        <v>Tenure_Bin|&gt;=24</v>
      </c>
      <c r="T209" t="str">
        <f t="shared" si="69"/>
        <v>Satis_Bin|7-10</v>
      </c>
      <c r="U209" t="str">
        <f t="shared" si="70"/>
        <v>Monthly_Bin|&gt;=90</v>
      </c>
      <c r="V209" t="str">
        <f t="shared" si="71"/>
        <v>Usage_Bin|&gt;=80</v>
      </c>
      <c r="W209">
        <f t="shared" si="72"/>
        <v>0</v>
      </c>
      <c r="X209">
        <f t="shared" si="73"/>
        <v>0</v>
      </c>
      <c r="Y209">
        <f t="shared" si="74"/>
        <v>0</v>
      </c>
      <c r="Z209">
        <f t="shared" si="75"/>
        <v>2</v>
      </c>
      <c r="AA209">
        <f t="shared" si="76"/>
        <v>0</v>
      </c>
      <c r="AB209" s="51">
        <f t="shared" si="77"/>
        <v>2</v>
      </c>
      <c r="AC209" t="str">
        <f t="shared" si="78"/>
        <v>Low</v>
      </c>
      <c r="AD209" t="str">
        <f t="shared" si="79"/>
        <v>No</v>
      </c>
      <c r="AE209">
        <f t="shared" si="80"/>
        <v>0</v>
      </c>
      <c r="AF209">
        <f xml:space="preserve">
_xlfn.XLOOKUP(AB209, '3.3 Calibration'!$A$2:$A$14, '3.3 Calibration'!$F$2:$F$14,
        '3.3 Calibration'!$D$2, 1)</f>
        <v>0.6</v>
      </c>
      <c r="AG209" t="str">
        <f t="shared" si="81"/>
        <v>Yes</v>
      </c>
      <c r="AH209" t="str">
        <f t="shared" si="82"/>
        <v>High</v>
      </c>
      <c r="AI209" t="str">
        <f t="shared" si="83"/>
        <v>&gt;=24</v>
      </c>
    </row>
    <row r="210" spans="1:35" x14ac:dyDescent="0.2">
      <c r="A210">
        <v>209</v>
      </c>
      <c r="B210">
        <v>61</v>
      </c>
      <c r="C210" t="s">
        <v>15</v>
      </c>
      <c r="D210">
        <v>21</v>
      </c>
      <c r="E210">
        <v>119.09</v>
      </c>
      <c r="F210" t="s">
        <v>20</v>
      </c>
      <c r="G210" t="s">
        <v>23</v>
      </c>
      <c r="H210">
        <v>1</v>
      </c>
      <c r="I210">
        <v>16.2</v>
      </c>
      <c r="J210">
        <v>1</v>
      </c>
      <c r="K210">
        <v>2715.58</v>
      </c>
      <c r="L210">
        <v>1</v>
      </c>
      <c r="M210" t="s">
        <v>133</v>
      </c>
      <c r="N210" t="str">
        <f t="shared" si="63"/>
        <v>12-24</v>
      </c>
      <c r="O210" t="str">
        <f t="shared" si="64"/>
        <v>&gt;=90</v>
      </c>
      <c r="P210" t="str">
        <f t="shared" si="65"/>
        <v>1-3</v>
      </c>
      <c r="Q210" t="str">
        <f t="shared" si="66"/>
        <v>&lt;20</v>
      </c>
      <c r="R210" t="str">
        <f t="shared" si="67"/>
        <v>ContractType|Month-to-Month</v>
      </c>
      <c r="S210" t="str">
        <f t="shared" si="68"/>
        <v>Tenure_Bin|12-24</v>
      </c>
      <c r="T210" t="str">
        <f t="shared" si="69"/>
        <v>Satis_Bin|1-3</v>
      </c>
      <c r="U210" t="str">
        <f t="shared" si="70"/>
        <v>Monthly_Bin|&gt;=90</v>
      </c>
      <c r="V210" t="str">
        <f t="shared" si="71"/>
        <v>Usage_Bin|&lt;20</v>
      </c>
      <c r="W210">
        <f t="shared" si="72"/>
        <v>3</v>
      </c>
      <c r="X210">
        <f t="shared" si="73"/>
        <v>1</v>
      </c>
      <c r="Y210">
        <f t="shared" si="74"/>
        <v>4</v>
      </c>
      <c r="Z210">
        <f t="shared" si="75"/>
        <v>2</v>
      </c>
      <c r="AA210">
        <f t="shared" si="76"/>
        <v>2</v>
      </c>
      <c r="AB210" s="51">
        <f t="shared" si="77"/>
        <v>12</v>
      </c>
      <c r="AC210" t="str">
        <f t="shared" si="78"/>
        <v>High</v>
      </c>
      <c r="AD210" t="str">
        <f t="shared" si="79"/>
        <v>No</v>
      </c>
      <c r="AE210">
        <f t="shared" si="80"/>
        <v>0</v>
      </c>
      <c r="AF210">
        <f xml:space="preserve">
_xlfn.XLOOKUP(AB210, '3.3 Calibration'!$A$2:$A$14, '3.3 Calibration'!$F$2:$F$14,
        '3.3 Calibration'!$D$2, 1)</f>
        <v>0.8</v>
      </c>
      <c r="AG210" t="str">
        <f t="shared" si="81"/>
        <v>Yes</v>
      </c>
      <c r="AH210" t="str">
        <f t="shared" si="82"/>
        <v>High</v>
      </c>
      <c r="AI210" t="str">
        <f t="shared" si="83"/>
        <v>12-24</v>
      </c>
    </row>
    <row r="211" spans="1:35" x14ac:dyDescent="0.2">
      <c r="A211">
        <v>210</v>
      </c>
      <c r="B211">
        <v>41</v>
      </c>
      <c r="C211" t="s">
        <v>16</v>
      </c>
      <c r="D211">
        <v>36</v>
      </c>
      <c r="E211">
        <v>40.5</v>
      </c>
      <c r="F211" t="s">
        <v>19</v>
      </c>
      <c r="G211" t="s">
        <v>23</v>
      </c>
      <c r="H211">
        <v>3</v>
      </c>
      <c r="I211">
        <v>75.3</v>
      </c>
      <c r="J211">
        <v>4</v>
      </c>
      <c r="K211">
        <v>1430.33</v>
      </c>
      <c r="L211">
        <v>0</v>
      </c>
      <c r="M211" t="s">
        <v>133</v>
      </c>
      <c r="N211" t="str">
        <f t="shared" si="63"/>
        <v>&gt;=24</v>
      </c>
      <c r="O211" t="str">
        <f t="shared" si="64"/>
        <v>30-60</v>
      </c>
      <c r="P211" t="str">
        <f t="shared" si="65"/>
        <v>4-6</v>
      </c>
      <c r="Q211" t="str">
        <f t="shared" si="66"/>
        <v>40-80</v>
      </c>
      <c r="R211" t="str">
        <f t="shared" si="67"/>
        <v>ContractType|2-Year</v>
      </c>
      <c r="S211" t="str">
        <f t="shared" si="68"/>
        <v>Tenure_Bin|&gt;=24</v>
      </c>
      <c r="T211" t="str">
        <f t="shared" si="69"/>
        <v>Satis_Bin|4-6</v>
      </c>
      <c r="U211" t="str">
        <f t="shared" si="70"/>
        <v>Monthly_Bin|30-60</v>
      </c>
      <c r="V211" t="str">
        <f t="shared" si="71"/>
        <v>Usage_Bin|40-80</v>
      </c>
      <c r="W211">
        <f t="shared" si="72"/>
        <v>0</v>
      </c>
      <c r="X211">
        <f t="shared" si="73"/>
        <v>0</v>
      </c>
      <c r="Y211">
        <f t="shared" si="74"/>
        <v>2</v>
      </c>
      <c r="Z211">
        <f t="shared" si="75"/>
        <v>0</v>
      </c>
      <c r="AA211">
        <f t="shared" si="76"/>
        <v>0</v>
      </c>
      <c r="AB211" s="51">
        <f t="shared" si="77"/>
        <v>2</v>
      </c>
      <c r="AC211" t="str">
        <f t="shared" si="78"/>
        <v>Low</v>
      </c>
      <c r="AD211" t="str">
        <f t="shared" si="79"/>
        <v>No</v>
      </c>
      <c r="AE211">
        <f t="shared" si="80"/>
        <v>0</v>
      </c>
      <c r="AF211">
        <f xml:space="preserve">
_xlfn.XLOOKUP(AB211, '3.3 Calibration'!$A$2:$A$14, '3.3 Calibration'!$F$2:$F$14,
        '3.3 Calibration'!$D$2, 1)</f>
        <v>0.6</v>
      </c>
      <c r="AG211" t="str">
        <f t="shared" si="81"/>
        <v>Yes</v>
      </c>
      <c r="AH211" t="str">
        <f t="shared" si="82"/>
        <v>High</v>
      </c>
      <c r="AI211" t="str">
        <f t="shared" si="83"/>
        <v>&gt;=24</v>
      </c>
    </row>
    <row r="212" spans="1:35" x14ac:dyDescent="0.2">
      <c r="A212">
        <v>211</v>
      </c>
      <c r="B212">
        <v>32</v>
      </c>
      <c r="C212" t="s">
        <v>16</v>
      </c>
      <c r="D212">
        <v>19</v>
      </c>
      <c r="E212">
        <v>57.92</v>
      </c>
      <c r="F212" t="s">
        <v>20</v>
      </c>
      <c r="G212" t="s">
        <v>22</v>
      </c>
      <c r="H212">
        <v>2</v>
      </c>
      <c r="I212">
        <v>35.4</v>
      </c>
      <c r="J212">
        <v>2</v>
      </c>
      <c r="K212">
        <v>1189.8599999999999</v>
      </c>
      <c r="L212">
        <v>1</v>
      </c>
      <c r="M212" t="s">
        <v>134</v>
      </c>
      <c r="N212" t="str">
        <f t="shared" si="63"/>
        <v>12-24</v>
      </c>
      <c r="O212" t="str">
        <f t="shared" si="64"/>
        <v>30-60</v>
      </c>
      <c r="P212" t="str">
        <f t="shared" si="65"/>
        <v>1-3</v>
      </c>
      <c r="Q212" t="str">
        <f t="shared" si="66"/>
        <v>20-40</v>
      </c>
      <c r="R212" t="str">
        <f t="shared" si="67"/>
        <v>ContractType|Month-to-Month</v>
      </c>
      <c r="S212" t="str">
        <f t="shared" si="68"/>
        <v>Tenure_Bin|12-24</v>
      </c>
      <c r="T212" t="str">
        <f t="shared" si="69"/>
        <v>Satis_Bin|1-3</v>
      </c>
      <c r="U212" t="str">
        <f t="shared" si="70"/>
        <v>Monthly_Bin|30-60</v>
      </c>
      <c r="V212" t="str">
        <f t="shared" si="71"/>
        <v>Usage_Bin|20-40</v>
      </c>
      <c r="W212">
        <f t="shared" si="72"/>
        <v>3</v>
      </c>
      <c r="X212">
        <f t="shared" si="73"/>
        <v>1</v>
      </c>
      <c r="Y212">
        <f t="shared" si="74"/>
        <v>4</v>
      </c>
      <c r="Z212">
        <f t="shared" si="75"/>
        <v>0</v>
      </c>
      <c r="AA212">
        <f t="shared" si="76"/>
        <v>1</v>
      </c>
      <c r="AB212" s="51">
        <f t="shared" si="77"/>
        <v>9</v>
      </c>
      <c r="AC212" t="str">
        <f t="shared" si="78"/>
        <v>High</v>
      </c>
      <c r="AD212" t="str">
        <f t="shared" si="79"/>
        <v>No</v>
      </c>
      <c r="AE212">
        <f t="shared" si="80"/>
        <v>0</v>
      </c>
      <c r="AF212">
        <f xml:space="preserve">
_xlfn.XLOOKUP(AB212, '3.3 Calibration'!$A$2:$A$14, '3.3 Calibration'!$F$2:$F$14,
        '3.3 Calibration'!$D$2, 1)</f>
        <v>0.54545454545454541</v>
      </c>
      <c r="AG212" t="str">
        <f t="shared" si="81"/>
        <v>Yes</v>
      </c>
      <c r="AH212" t="str">
        <f t="shared" si="82"/>
        <v>Medium</v>
      </c>
      <c r="AI212" t="e">
        <f t="shared" si="83"/>
        <v>#N/A</v>
      </c>
    </row>
    <row r="213" spans="1:35" x14ac:dyDescent="0.2">
      <c r="A213">
        <v>212</v>
      </c>
      <c r="B213">
        <v>49</v>
      </c>
      <c r="C213" t="s">
        <v>16</v>
      </c>
      <c r="D213">
        <v>20</v>
      </c>
      <c r="E213">
        <v>112.64</v>
      </c>
      <c r="F213" t="s">
        <v>20</v>
      </c>
      <c r="G213" t="s">
        <v>24</v>
      </c>
      <c r="H213">
        <v>0</v>
      </c>
      <c r="I213">
        <v>98.9</v>
      </c>
      <c r="J213">
        <v>2</v>
      </c>
      <c r="K213">
        <v>2172.37</v>
      </c>
      <c r="L213">
        <v>1</v>
      </c>
      <c r="M213" t="s">
        <v>133</v>
      </c>
      <c r="N213" t="str">
        <f t="shared" si="63"/>
        <v>12-24</v>
      </c>
      <c r="O213" t="str">
        <f t="shared" si="64"/>
        <v>&gt;=90</v>
      </c>
      <c r="P213" t="str">
        <f t="shared" si="65"/>
        <v>1-3</v>
      </c>
      <c r="Q213" t="str">
        <f t="shared" si="66"/>
        <v>&gt;=80</v>
      </c>
      <c r="R213" t="str">
        <f t="shared" si="67"/>
        <v>ContractType|Month-to-Month</v>
      </c>
      <c r="S213" t="str">
        <f t="shared" si="68"/>
        <v>Tenure_Bin|12-24</v>
      </c>
      <c r="T213" t="str">
        <f t="shared" si="69"/>
        <v>Satis_Bin|1-3</v>
      </c>
      <c r="U213" t="str">
        <f t="shared" si="70"/>
        <v>Monthly_Bin|&gt;=90</v>
      </c>
      <c r="V213" t="str">
        <f t="shared" si="71"/>
        <v>Usage_Bin|&gt;=80</v>
      </c>
      <c r="W213">
        <f t="shared" si="72"/>
        <v>3</v>
      </c>
      <c r="X213">
        <f t="shared" si="73"/>
        <v>1</v>
      </c>
      <c r="Y213">
        <f t="shared" si="74"/>
        <v>4</v>
      </c>
      <c r="Z213">
        <f t="shared" si="75"/>
        <v>2</v>
      </c>
      <c r="AA213">
        <f t="shared" si="76"/>
        <v>0</v>
      </c>
      <c r="AB213" s="51">
        <f t="shared" si="77"/>
        <v>10</v>
      </c>
      <c r="AC213" t="str">
        <f t="shared" si="78"/>
        <v>High</v>
      </c>
      <c r="AD213" t="str">
        <f t="shared" si="79"/>
        <v>No</v>
      </c>
      <c r="AE213">
        <f t="shared" si="80"/>
        <v>0</v>
      </c>
      <c r="AF213">
        <f xml:space="preserve">
_xlfn.XLOOKUP(AB213, '3.3 Calibration'!$A$2:$A$14, '3.3 Calibration'!$F$2:$F$14,
        '3.3 Calibration'!$D$2, 1)</f>
        <v>0.5</v>
      </c>
      <c r="AG213" t="str">
        <f t="shared" si="81"/>
        <v>Yes</v>
      </c>
      <c r="AH213" t="str">
        <f t="shared" si="82"/>
        <v>Medium</v>
      </c>
      <c r="AI213" t="e">
        <f t="shared" si="83"/>
        <v>#N/A</v>
      </c>
    </row>
    <row r="214" spans="1:35" x14ac:dyDescent="0.2">
      <c r="A214">
        <v>213</v>
      </c>
      <c r="B214">
        <v>49</v>
      </c>
      <c r="C214" t="s">
        <v>15</v>
      </c>
      <c r="D214">
        <v>57</v>
      </c>
      <c r="E214">
        <v>92.16</v>
      </c>
      <c r="F214" t="s">
        <v>20</v>
      </c>
      <c r="G214" t="s">
        <v>23</v>
      </c>
      <c r="H214">
        <v>3</v>
      </c>
      <c r="I214">
        <v>51.1</v>
      </c>
      <c r="J214">
        <v>2</v>
      </c>
      <c r="K214">
        <v>5228.3599999999997</v>
      </c>
      <c r="L214">
        <v>1</v>
      </c>
      <c r="M214" t="s">
        <v>134</v>
      </c>
      <c r="N214" t="str">
        <f t="shared" si="63"/>
        <v>&gt;=24</v>
      </c>
      <c r="O214" t="str">
        <f t="shared" si="64"/>
        <v>&gt;=90</v>
      </c>
      <c r="P214" t="str">
        <f t="shared" si="65"/>
        <v>1-3</v>
      </c>
      <c r="Q214" t="str">
        <f t="shared" si="66"/>
        <v>40-80</v>
      </c>
      <c r="R214" t="str">
        <f t="shared" si="67"/>
        <v>ContractType|Month-to-Month</v>
      </c>
      <c r="S214" t="str">
        <f t="shared" si="68"/>
        <v>Tenure_Bin|&gt;=24</v>
      </c>
      <c r="T214" t="str">
        <f t="shared" si="69"/>
        <v>Satis_Bin|1-3</v>
      </c>
      <c r="U214" t="str">
        <f t="shared" si="70"/>
        <v>Monthly_Bin|&gt;=90</v>
      </c>
      <c r="V214" t="str">
        <f t="shared" si="71"/>
        <v>Usage_Bin|40-80</v>
      </c>
      <c r="W214">
        <f t="shared" si="72"/>
        <v>3</v>
      </c>
      <c r="X214">
        <f t="shared" si="73"/>
        <v>0</v>
      </c>
      <c r="Y214">
        <f t="shared" si="74"/>
        <v>4</v>
      </c>
      <c r="Z214">
        <f t="shared" si="75"/>
        <v>2</v>
      </c>
      <c r="AA214">
        <f t="shared" si="76"/>
        <v>0</v>
      </c>
      <c r="AB214" s="51">
        <f t="shared" si="77"/>
        <v>9</v>
      </c>
      <c r="AC214" t="str">
        <f t="shared" si="78"/>
        <v>High</v>
      </c>
      <c r="AD214" t="str">
        <f t="shared" si="79"/>
        <v>No</v>
      </c>
      <c r="AE214">
        <f t="shared" si="80"/>
        <v>0</v>
      </c>
      <c r="AF214">
        <f xml:space="preserve">
_xlfn.XLOOKUP(AB214, '3.3 Calibration'!$A$2:$A$14, '3.3 Calibration'!$F$2:$F$14,
        '3.3 Calibration'!$D$2, 1)</f>
        <v>0.54545454545454541</v>
      </c>
      <c r="AG214" t="str">
        <f t="shared" si="81"/>
        <v>Yes</v>
      </c>
      <c r="AH214" t="str">
        <f t="shared" si="82"/>
        <v>Medium</v>
      </c>
      <c r="AI214" t="e">
        <f t="shared" si="83"/>
        <v>#N/A</v>
      </c>
    </row>
    <row r="215" spans="1:35" x14ac:dyDescent="0.2">
      <c r="A215">
        <v>214</v>
      </c>
      <c r="B215">
        <v>41</v>
      </c>
      <c r="C215" t="s">
        <v>15</v>
      </c>
      <c r="D215">
        <v>18</v>
      </c>
      <c r="E215">
        <v>24.81</v>
      </c>
      <c r="F215" t="s">
        <v>20</v>
      </c>
      <c r="G215" t="s">
        <v>24</v>
      </c>
      <c r="H215">
        <v>0</v>
      </c>
      <c r="I215">
        <v>16.600000000000001</v>
      </c>
      <c r="J215">
        <v>4</v>
      </c>
      <c r="K215">
        <v>422.11</v>
      </c>
      <c r="L215">
        <v>1</v>
      </c>
      <c r="M215" t="s">
        <v>134</v>
      </c>
      <c r="N215" t="str">
        <f t="shared" si="63"/>
        <v>12-24</v>
      </c>
      <c r="O215" t="str">
        <f t="shared" si="64"/>
        <v>&lt;30</v>
      </c>
      <c r="P215" t="str">
        <f t="shared" si="65"/>
        <v>4-6</v>
      </c>
      <c r="Q215" t="str">
        <f t="shared" si="66"/>
        <v>&lt;20</v>
      </c>
      <c r="R215" t="str">
        <f t="shared" si="67"/>
        <v>ContractType|Month-to-Month</v>
      </c>
      <c r="S215" t="str">
        <f t="shared" si="68"/>
        <v>Tenure_Bin|12-24</v>
      </c>
      <c r="T215" t="str">
        <f t="shared" si="69"/>
        <v>Satis_Bin|4-6</v>
      </c>
      <c r="U215" t="str">
        <f t="shared" si="70"/>
        <v>Monthly_Bin|&lt;30</v>
      </c>
      <c r="V215" t="str">
        <f t="shared" si="71"/>
        <v>Usage_Bin|&lt;20</v>
      </c>
      <c r="W215">
        <f t="shared" si="72"/>
        <v>3</v>
      </c>
      <c r="X215">
        <f t="shared" si="73"/>
        <v>1</v>
      </c>
      <c r="Y215">
        <f t="shared" si="74"/>
        <v>2</v>
      </c>
      <c r="Z215">
        <f t="shared" si="75"/>
        <v>0</v>
      </c>
      <c r="AA215">
        <f t="shared" si="76"/>
        <v>2</v>
      </c>
      <c r="AB215" s="51">
        <f t="shared" si="77"/>
        <v>8</v>
      </c>
      <c r="AC215" t="str">
        <f t="shared" si="78"/>
        <v>High</v>
      </c>
      <c r="AD215" t="str">
        <f t="shared" si="79"/>
        <v>No</v>
      </c>
      <c r="AE215">
        <f t="shared" si="80"/>
        <v>0</v>
      </c>
      <c r="AF215">
        <f xml:space="preserve">
_xlfn.XLOOKUP(AB215, '3.3 Calibration'!$A$2:$A$14, '3.3 Calibration'!$F$2:$F$14,
        '3.3 Calibration'!$D$2, 1)</f>
        <v>0.73684210526315785</v>
      </c>
      <c r="AG215" t="str">
        <f t="shared" si="81"/>
        <v>Yes</v>
      </c>
      <c r="AH215" t="str">
        <f t="shared" si="82"/>
        <v>High</v>
      </c>
      <c r="AI215" t="str">
        <f t="shared" si="83"/>
        <v>12-24</v>
      </c>
    </row>
    <row r="216" spans="1:35" x14ac:dyDescent="0.2">
      <c r="A216">
        <v>215</v>
      </c>
      <c r="B216">
        <v>58</v>
      </c>
      <c r="C216" t="s">
        <v>16</v>
      </c>
      <c r="D216">
        <v>47</v>
      </c>
      <c r="E216">
        <v>98.15</v>
      </c>
      <c r="F216" t="s">
        <v>20</v>
      </c>
      <c r="G216" t="s">
        <v>24</v>
      </c>
      <c r="H216">
        <v>2</v>
      </c>
      <c r="I216">
        <v>73.900000000000006</v>
      </c>
      <c r="J216">
        <v>1</v>
      </c>
      <c r="K216">
        <v>4742.6499999999996</v>
      </c>
      <c r="L216">
        <v>0</v>
      </c>
      <c r="M216" t="s">
        <v>134</v>
      </c>
      <c r="N216" t="str">
        <f t="shared" si="63"/>
        <v>&gt;=24</v>
      </c>
      <c r="O216" t="str">
        <f t="shared" si="64"/>
        <v>&gt;=90</v>
      </c>
      <c r="P216" t="str">
        <f t="shared" si="65"/>
        <v>1-3</v>
      </c>
      <c r="Q216" t="str">
        <f t="shared" si="66"/>
        <v>40-80</v>
      </c>
      <c r="R216" t="str">
        <f t="shared" si="67"/>
        <v>ContractType|Month-to-Month</v>
      </c>
      <c r="S216" t="str">
        <f t="shared" si="68"/>
        <v>Tenure_Bin|&gt;=24</v>
      </c>
      <c r="T216" t="str">
        <f t="shared" si="69"/>
        <v>Satis_Bin|1-3</v>
      </c>
      <c r="U216" t="str">
        <f t="shared" si="70"/>
        <v>Monthly_Bin|&gt;=90</v>
      </c>
      <c r="V216" t="str">
        <f t="shared" si="71"/>
        <v>Usage_Bin|40-80</v>
      </c>
      <c r="W216">
        <f t="shared" si="72"/>
        <v>3</v>
      </c>
      <c r="X216">
        <f t="shared" si="73"/>
        <v>0</v>
      </c>
      <c r="Y216">
        <f t="shared" si="74"/>
        <v>4</v>
      </c>
      <c r="Z216">
        <f t="shared" si="75"/>
        <v>2</v>
      </c>
      <c r="AA216">
        <f t="shared" si="76"/>
        <v>0</v>
      </c>
      <c r="AB216" s="51">
        <f t="shared" si="77"/>
        <v>9</v>
      </c>
      <c r="AC216" t="str">
        <f t="shared" si="78"/>
        <v>High</v>
      </c>
      <c r="AD216" t="str">
        <f t="shared" si="79"/>
        <v>No</v>
      </c>
      <c r="AE216">
        <f t="shared" si="80"/>
        <v>0</v>
      </c>
      <c r="AF216">
        <f xml:space="preserve">
_xlfn.XLOOKUP(AB216, '3.3 Calibration'!$A$2:$A$14, '3.3 Calibration'!$F$2:$F$14,
        '3.3 Calibration'!$D$2, 1)</f>
        <v>0.54545454545454541</v>
      </c>
      <c r="AG216" t="str">
        <f t="shared" si="81"/>
        <v>Yes</v>
      </c>
      <c r="AH216" t="str">
        <f t="shared" si="82"/>
        <v>Medium</v>
      </c>
      <c r="AI216" t="e">
        <f t="shared" si="83"/>
        <v>#N/A</v>
      </c>
    </row>
    <row r="217" spans="1:35" x14ac:dyDescent="0.2">
      <c r="A217">
        <v>216</v>
      </c>
      <c r="B217">
        <v>69</v>
      </c>
      <c r="C217" t="s">
        <v>16</v>
      </c>
      <c r="D217">
        <v>49</v>
      </c>
      <c r="E217">
        <v>102.79</v>
      </c>
      <c r="F217" t="s">
        <v>18</v>
      </c>
      <c r="G217" t="s">
        <v>23</v>
      </c>
      <c r="H217">
        <v>5</v>
      </c>
      <c r="I217">
        <v>35.700000000000003</v>
      </c>
      <c r="J217">
        <v>4</v>
      </c>
      <c r="K217">
        <v>5519.21</v>
      </c>
      <c r="L217">
        <v>0</v>
      </c>
      <c r="M217" t="s">
        <v>134</v>
      </c>
      <c r="N217" t="str">
        <f t="shared" si="63"/>
        <v>&gt;=24</v>
      </c>
      <c r="O217" t="str">
        <f t="shared" si="64"/>
        <v>&gt;=90</v>
      </c>
      <c r="P217" t="str">
        <f t="shared" si="65"/>
        <v>4-6</v>
      </c>
      <c r="Q217" t="str">
        <f t="shared" si="66"/>
        <v>20-40</v>
      </c>
      <c r="R217" t="str">
        <f t="shared" si="67"/>
        <v>ContractType|1-Year</v>
      </c>
      <c r="S217" t="str">
        <f t="shared" si="68"/>
        <v>Tenure_Bin|&gt;=24</v>
      </c>
      <c r="T217" t="str">
        <f t="shared" si="69"/>
        <v>Satis_Bin|4-6</v>
      </c>
      <c r="U217" t="str">
        <f t="shared" si="70"/>
        <v>Monthly_Bin|&gt;=90</v>
      </c>
      <c r="V217" t="str">
        <f t="shared" si="71"/>
        <v>Usage_Bin|20-40</v>
      </c>
      <c r="W217">
        <f t="shared" si="72"/>
        <v>1</v>
      </c>
      <c r="X217">
        <f t="shared" si="73"/>
        <v>0</v>
      </c>
      <c r="Y217">
        <f t="shared" si="74"/>
        <v>2</v>
      </c>
      <c r="Z217">
        <f t="shared" si="75"/>
        <v>2</v>
      </c>
      <c r="AA217">
        <f t="shared" si="76"/>
        <v>1</v>
      </c>
      <c r="AB217" s="51">
        <f t="shared" si="77"/>
        <v>6</v>
      </c>
      <c r="AC217" t="str">
        <f t="shared" si="78"/>
        <v>Medium</v>
      </c>
      <c r="AD217" t="str">
        <f t="shared" si="79"/>
        <v>No</v>
      </c>
      <c r="AE217">
        <f t="shared" si="80"/>
        <v>0</v>
      </c>
      <c r="AF217">
        <f xml:space="preserve">
_xlfn.XLOOKUP(AB217, '3.3 Calibration'!$A$2:$A$14, '3.3 Calibration'!$F$2:$F$14,
        '3.3 Calibration'!$D$2, 1)</f>
        <v>0.33333333333333331</v>
      </c>
      <c r="AG217" t="str">
        <f t="shared" si="81"/>
        <v>No</v>
      </c>
      <c r="AH217" t="str">
        <f t="shared" si="82"/>
        <v>Low</v>
      </c>
      <c r="AI217" t="e">
        <f t="shared" si="83"/>
        <v>#N/A</v>
      </c>
    </row>
    <row r="218" spans="1:35" x14ac:dyDescent="0.2">
      <c r="A218">
        <v>217</v>
      </c>
      <c r="B218">
        <v>66</v>
      </c>
      <c r="C218" t="s">
        <v>15</v>
      </c>
      <c r="D218">
        <v>14</v>
      </c>
      <c r="E218">
        <v>95.05</v>
      </c>
      <c r="F218" t="s">
        <v>18</v>
      </c>
      <c r="G218" t="s">
        <v>23</v>
      </c>
      <c r="H218">
        <v>2</v>
      </c>
      <c r="I218">
        <v>99.7</v>
      </c>
      <c r="J218">
        <v>2</v>
      </c>
      <c r="K218">
        <v>1358.24</v>
      </c>
      <c r="L218">
        <v>1</v>
      </c>
      <c r="M218" t="s">
        <v>134</v>
      </c>
      <c r="N218" t="str">
        <f t="shared" si="63"/>
        <v>12-24</v>
      </c>
      <c r="O218" t="str">
        <f t="shared" si="64"/>
        <v>&gt;=90</v>
      </c>
      <c r="P218" t="str">
        <f t="shared" si="65"/>
        <v>1-3</v>
      </c>
      <c r="Q218" t="str">
        <f t="shared" si="66"/>
        <v>&gt;=80</v>
      </c>
      <c r="R218" t="str">
        <f t="shared" si="67"/>
        <v>ContractType|1-Year</v>
      </c>
      <c r="S218" t="str">
        <f t="shared" si="68"/>
        <v>Tenure_Bin|12-24</v>
      </c>
      <c r="T218" t="str">
        <f t="shared" si="69"/>
        <v>Satis_Bin|1-3</v>
      </c>
      <c r="U218" t="str">
        <f t="shared" si="70"/>
        <v>Monthly_Bin|&gt;=90</v>
      </c>
      <c r="V218" t="str">
        <f t="shared" si="71"/>
        <v>Usage_Bin|&gt;=80</v>
      </c>
      <c r="W218">
        <f t="shared" si="72"/>
        <v>1</v>
      </c>
      <c r="X218">
        <f t="shared" si="73"/>
        <v>1</v>
      </c>
      <c r="Y218">
        <f t="shared" si="74"/>
        <v>4</v>
      </c>
      <c r="Z218">
        <f t="shared" si="75"/>
        <v>2</v>
      </c>
      <c r="AA218">
        <f t="shared" si="76"/>
        <v>0</v>
      </c>
      <c r="AB218" s="51">
        <f t="shared" si="77"/>
        <v>8</v>
      </c>
      <c r="AC218" t="str">
        <f t="shared" si="78"/>
        <v>High</v>
      </c>
      <c r="AD218" t="str">
        <f t="shared" si="79"/>
        <v>No</v>
      </c>
      <c r="AE218">
        <f t="shared" si="80"/>
        <v>0</v>
      </c>
      <c r="AF218">
        <f xml:space="preserve">
_xlfn.XLOOKUP(AB218, '3.3 Calibration'!$A$2:$A$14, '3.3 Calibration'!$F$2:$F$14,
        '3.3 Calibration'!$D$2, 1)</f>
        <v>0.73684210526315785</v>
      </c>
      <c r="AG218" t="str">
        <f t="shared" si="81"/>
        <v>Yes</v>
      </c>
      <c r="AH218" t="str">
        <f t="shared" si="82"/>
        <v>High</v>
      </c>
      <c r="AI218" t="str">
        <f t="shared" si="83"/>
        <v>12-24</v>
      </c>
    </row>
    <row r="219" spans="1:35" x14ac:dyDescent="0.2">
      <c r="A219">
        <v>218</v>
      </c>
      <c r="B219">
        <v>66</v>
      </c>
      <c r="C219" t="s">
        <v>16</v>
      </c>
      <c r="D219">
        <v>15</v>
      </c>
      <c r="E219">
        <v>99.95</v>
      </c>
      <c r="F219" t="s">
        <v>19</v>
      </c>
      <c r="G219" t="s">
        <v>24</v>
      </c>
      <c r="H219">
        <v>1</v>
      </c>
      <c r="I219">
        <v>98.1</v>
      </c>
      <c r="J219">
        <v>5</v>
      </c>
      <c r="K219">
        <v>1456.62</v>
      </c>
      <c r="L219">
        <v>0</v>
      </c>
      <c r="M219" t="s">
        <v>134</v>
      </c>
      <c r="N219" t="str">
        <f t="shared" si="63"/>
        <v>12-24</v>
      </c>
      <c r="O219" t="str">
        <f t="shared" si="64"/>
        <v>&gt;=90</v>
      </c>
      <c r="P219" t="str">
        <f t="shared" si="65"/>
        <v>4-6</v>
      </c>
      <c r="Q219" t="str">
        <f t="shared" si="66"/>
        <v>&gt;=80</v>
      </c>
      <c r="R219" t="str">
        <f t="shared" si="67"/>
        <v>ContractType|2-Year</v>
      </c>
      <c r="S219" t="str">
        <f t="shared" si="68"/>
        <v>Tenure_Bin|12-24</v>
      </c>
      <c r="T219" t="str">
        <f t="shared" si="69"/>
        <v>Satis_Bin|4-6</v>
      </c>
      <c r="U219" t="str">
        <f t="shared" si="70"/>
        <v>Monthly_Bin|&gt;=90</v>
      </c>
      <c r="V219" t="str">
        <f t="shared" si="71"/>
        <v>Usage_Bin|&gt;=80</v>
      </c>
      <c r="W219">
        <f t="shared" si="72"/>
        <v>0</v>
      </c>
      <c r="X219">
        <f t="shared" si="73"/>
        <v>1</v>
      </c>
      <c r="Y219">
        <f t="shared" si="74"/>
        <v>2</v>
      </c>
      <c r="Z219">
        <f t="shared" si="75"/>
        <v>2</v>
      </c>
      <c r="AA219">
        <f t="shared" si="76"/>
        <v>0</v>
      </c>
      <c r="AB219" s="51">
        <f t="shared" si="77"/>
        <v>5</v>
      </c>
      <c r="AC219" t="str">
        <f t="shared" si="78"/>
        <v>Medium</v>
      </c>
      <c r="AD219" t="str">
        <f t="shared" si="79"/>
        <v>No</v>
      </c>
      <c r="AE219">
        <f t="shared" si="80"/>
        <v>0</v>
      </c>
      <c r="AF219">
        <f xml:space="preserve">
_xlfn.XLOOKUP(AB219, '3.3 Calibration'!$A$2:$A$14, '3.3 Calibration'!$F$2:$F$14,
        '3.3 Calibration'!$D$2, 1)</f>
        <v>0.33333333333333331</v>
      </c>
      <c r="AG219" t="str">
        <f t="shared" si="81"/>
        <v>No</v>
      </c>
      <c r="AH219" t="str">
        <f t="shared" si="82"/>
        <v>Low</v>
      </c>
      <c r="AI219" t="e">
        <f t="shared" si="83"/>
        <v>#N/A</v>
      </c>
    </row>
    <row r="220" spans="1:35" x14ac:dyDescent="0.2">
      <c r="A220">
        <v>219</v>
      </c>
      <c r="B220">
        <v>69</v>
      </c>
      <c r="C220" t="s">
        <v>15</v>
      </c>
      <c r="D220">
        <v>31</v>
      </c>
      <c r="E220">
        <v>102.51</v>
      </c>
      <c r="F220" t="s">
        <v>20</v>
      </c>
      <c r="G220" t="s">
        <v>23</v>
      </c>
      <c r="H220">
        <v>3</v>
      </c>
      <c r="I220">
        <v>67.3</v>
      </c>
      <c r="J220">
        <v>3</v>
      </c>
      <c r="K220">
        <v>3271.76</v>
      </c>
      <c r="L220">
        <v>1</v>
      </c>
      <c r="M220" t="s">
        <v>133</v>
      </c>
      <c r="N220" t="str">
        <f t="shared" si="63"/>
        <v>&gt;=24</v>
      </c>
      <c r="O220" t="str">
        <f t="shared" si="64"/>
        <v>&gt;=90</v>
      </c>
      <c r="P220" t="str">
        <f t="shared" si="65"/>
        <v>1-3</v>
      </c>
      <c r="Q220" t="str">
        <f t="shared" si="66"/>
        <v>40-80</v>
      </c>
      <c r="R220" t="str">
        <f t="shared" si="67"/>
        <v>ContractType|Month-to-Month</v>
      </c>
      <c r="S220" t="str">
        <f t="shared" si="68"/>
        <v>Tenure_Bin|&gt;=24</v>
      </c>
      <c r="T220" t="str">
        <f t="shared" si="69"/>
        <v>Satis_Bin|1-3</v>
      </c>
      <c r="U220" t="str">
        <f t="shared" si="70"/>
        <v>Monthly_Bin|&gt;=90</v>
      </c>
      <c r="V220" t="str">
        <f t="shared" si="71"/>
        <v>Usage_Bin|40-80</v>
      </c>
      <c r="W220">
        <f t="shared" si="72"/>
        <v>3</v>
      </c>
      <c r="X220">
        <f t="shared" si="73"/>
        <v>0</v>
      </c>
      <c r="Y220">
        <f t="shared" si="74"/>
        <v>4</v>
      </c>
      <c r="Z220">
        <f t="shared" si="75"/>
        <v>2</v>
      </c>
      <c r="AA220">
        <f t="shared" si="76"/>
        <v>0</v>
      </c>
      <c r="AB220" s="51">
        <f t="shared" si="77"/>
        <v>9</v>
      </c>
      <c r="AC220" t="str">
        <f t="shared" si="78"/>
        <v>High</v>
      </c>
      <c r="AD220" t="str">
        <f t="shared" si="79"/>
        <v>No</v>
      </c>
      <c r="AE220">
        <f t="shared" si="80"/>
        <v>0</v>
      </c>
      <c r="AF220">
        <f xml:space="preserve">
_xlfn.XLOOKUP(AB220, '3.3 Calibration'!$A$2:$A$14, '3.3 Calibration'!$F$2:$F$14,
        '3.3 Calibration'!$D$2, 1)</f>
        <v>0.54545454545454541</v>
      </c>
      <c r="AG220" t="str">
        <f t="shared" si="81"/>
        <v>Yes</v>
      </c>
      <c r="AH220" t="str">
        <f t="shared" si="82"/>
        <v>Medium</v>
      </c>
      <c r="AI220" t="e">
        <f t="shared" si="83"/>
        <v>#N/A</v>
      </c>
    </row>
    <row r="221" spans="1:35" x14ac:dyDescent="0.2">
      <c r="A221">
        <v>220</v>
      </c>
      <c r="B221">
        <v>29</v>
      </c>
      <c r="C221" t="s">
        <v>16</v>
      </c>
      <c r="D221">
        <v>1</v>
      </c>
      <c r="E221">
        <v>38.64</v>
      </c>
      <c r="F221" t="s">
        <v>18</v>
      </c>
      <c r="G221" t="s">
        <v>23</v>
      </c>
      <c r="H221">
        <v>2</v>
      </c>
      <c r="I221">
        <v>17.3</v>
      </c>
      <c r="J221">
        <v>8</v>
      </c>
      <c r="K221">
        <v>35.729999999999997</v>
      </c>
      <c r="L221">
        <v>0</v>
      </c>
      <c r="M221" t="s">
        <v>134</v>
      </c>
      <c r="N221" t="str">
        <f t="shared" si="63"/>
        <v>&lt;6</v>
      </c>
      <c r="O221" t="str">
        <f t="shared" si="64"/>
        <v>30-60</v>
      </c>
      <c r="P221" t="str">
        <f t="shared" si="65"/>
        <v>7-10</v>
      </c>
      <c r="Q221" t="str">
        <f t="shared" si="66"/>
        <v>&lt;20</v>
      </c>
      <c r="R221" t="str">
        <f t="shared" si="67"/>
        <v>ContractType|1-Year</v>
      </c>
      <c r="S221" t="str">
        <f t="shared" si="68"/>
        <v>Tenure_Bin|&lt;6</v>
      </c>
      <c r="T221" t="str">
        <f t="shared" si="69"/>
        <v>Satis_Bin|7-10</v>
      </c>
      <c r="U221" t="str">
        <f t="shared" si="70"/>
        <v>Monthly_Bin|30-60</v>
      </c>
      <c r="V221" t="str">
        <f t="shared" si="71"/>
        <v>Usage_Bin|&lt;20</v>
      </c>
      <c r="W221">
        <f t="shared" si="72"/>
        <v>1</v>
      </c>
      <c r="X221">
        <f t="shared" si="73"/>
        <v>3</v>
      </c>
      <c r="Y221">
        <f t="shared" si="74"/>
        <v>0</v>
      </c>
      <c r="Z221">
        <f t="shared" si="75"/>
        <v>0</v>
      </c>
      <c r="AA221">
        <f t="shared" si="76"/>
        <v>2</v>
      </c>
      <c r="AB221" s="51">
        <f t="shared" si="77"/>
        <v>6</v>
      </c>
      <c r="AC221" t="str">
        <f t="shared" si="78"/>
        <v>Medium</v>
      </c>
      <c r="AD221" t="str">
        <f t="shared" si="79"/>
        <v>No</v>
      </c>
      <c r="AE221">
        <f t="shared" si="80"/>
        <v>0</v>
      </c>
      <c r="AF221">
        <f xml:space="preserve">
_xlfn.XLOOKUP(AB221, '3.3 Calibration'!$A$2:$A$14, '3.3 Calibration'!$F$2:$F$14,
        '3.3 Calibration'!$D$2, 1)</f>
        <v>0.33333333333333331</v>
      </c>
      <c r="AG221" t="str">
        <f t="shared" si="81"/>
        <v>No</v>
      </c>
      <c r="AH221" t="str">
        <f t="shared" si="82"/>
        <v>Low</v>
      </c>
      <c r="AI221" t="e">
        <f t="shared" si="83"/>
        <v>#N/A</v>
      </c>
    </row>
    <row r="222" spans="1:35" x14ac:dyDescent="0.2">
      <c r="A222">
        <v>221</v>
      </c>
      <c r="B222">
        <v>56</v>
      </c>
      <c r="C222" t="s">
        <v>15</v>
      </c>
      <c r="D222">
        <v>54</v>
      </c>
      <c r="E222">
        <v>43.57</v>
      </c>
      <c r="F222" t="s">
        <v>20</v>
      </c>
      <c r="G222" t="s">
        <v>23</v>
      </c>
      <c r="H222">
        <v>1</v>
      </c>
      <c r="I222">
        <v>70.3</v>
      </c>
      <c r="J222">
        <v>4</v>
      </c>
      <c r="K222">
        <v>2535.67</v>
      </c>
      <c r="L222">
        <v>0</v>
      </c>
      <c r="M222" t="s">
        <v>134</v>
      </c>
      <c r="N222" t="str">
        <f t="shared" si="63"/>
        <v>&gt;=24</v>
      </c>
      <c r="O222" t="str">
        <f t="shared" si="64"/>
        <v>30-60</v>
      </c>
      <c r="P222" t="str">
        <f t="shared" si="65"/>
        <v>4-6</v>
      </c>
      <c r="Q222" t="str">
        <f t="shared" si="66"/>
        <v>40-80</v>
      </c>
      <c r="R222" t="str">
        <f t="shared" si="67"/>
        <v>ContractType|Month-to-Month</v>
      </c>
      <c r="S222" t="str">
        <f t="shared" si="68"/>
        <v>Tenure_Bin|&gt;=24</v>
      </c>
      <c r="T222" t="str">
        <f t="shared" si="69"/>
        <v>Satis_Bin|4-6</v>
      </c>
      <c r="U222" t="str">
        <f t="shared" si="70"/>
        <v>Monthly_Bin|30-60</v>
      </c>
      <c r="V222" t="str">
        <f t="shared" si="71"/>
        <v>Usage_Bin|40-80</v>
      </c>
      <c r="W222">
        <f t="shared" si="72"/>
        <v>3</v>
      </c>
      <c r="X222">
        <f t="shared" si="73"/>
        <v>0</v>
      </c>
      <c r="Y222">
        <f t="shared" si="74"/>
        <v>2</v>
      </c>
      <c r="Z222">
        <f t="shared" si="75"/>
        <v>0</v>
      </c>
      <c r="AA222">
        <f t="shared" si="76"/>
        <v>0</v>
      </c>
      <c r="AB222" s="51">
        <f t="shared" si="77"/>
        <v>5</v>
      </c>
      <c r="AC222" t="str">
        <f t="shared" si="78"/>
        <v>Medium</v>
      </c>
      <c r="AD222" t="str">
        <f t="shared" si="79"/>
        <v>No</v>
      </c>
      <c r="AE222">
        <f t="shared" si="80"/>
        <v>0</v>
      </c>
      <c r="AF222">
        <f xml:space="preserve">
_xlfn.XLOOKUP(AB222, '3.3 Calibration'!$A$2:$A$14, '3.3 Calibration'!$F$2:$F$14,
        '3.3 Calibration'!$D$2, 1)</f>
        <v>0.33333333333333331</v>
      </c>
      <c r="AG222" t="str">
        <f t="shared" si="81"/>
        <v>No</v>
      </c>
      <c r="AH222" t="str">
        <f t="shared" si="82"/>
        <v>Low</v>
      </c>
      <c r="AI222" t="e">
        <f t="shared" si="83"/>
        <v>#N/A</v>
      </c>
    </row>
    <row r="223" spans="1:35" x14ac:dyDescent="0.2">
      <c r="A223">
        <v>222</v>
      </c>
      <c r="B223">
        <v>19</v>
      </c>
      <c r="C223" t="s">
        <v>16</v>
      </c>
      <c r="D223">
        <v>3</v>
      </c>
      <c r="E223">
        <v>83.38</v>
      </c>
      <c r="F223" t="s">
        <v>20</v>
      </c>
      <c r="G223" t="s">
        <v>22</v>
      </c>
      <c r="H223">
        <v>0</v>
      </c>
      <c r="I223">
        <v>13.8</v>
      </c>
      <c r="J223">
        <v>1</v>
      </c>
      <c r="K223">
        <v>250.29</v>
      </c>
      <c r="L223">
        <v>1</v>
      </c>
      <c r="M223" t="s">
        <v>134</v>
      </c>
      <c r="N223" t="str">
        <f t="shared" si="63"/>
        <v>&lt;6</v>
      </c>
      <c r="O223" t="str">
        <f t="shared" si="64"/>
        <v>60-90</v>
      </c>
      <c r="P223" t="str">
        <f t="shared" si="65"/>
        <v>1-3</v>
      </c>
      <c r="Q223" t="str">
        <f t="shared" si="66"/>
        <v>&lt;20</v>
      </c>
      <c r="R223" t="str">
        <f t="shared" si="67"/>
        <v>ContractType|Month-to-Month</v>
      </c>
      <c r="S223" t="str">
        <f t="shared" si="68"/>
        <v>Tenure_Bin|&lt;6</v>
      </c>
      <c r="T223" t="str">
        <f t="shared" si="69"/>
        <v>Satis_Bin|1-3</v>
      </c>
      <c r="U223" t="str">
        <f t="shared" si="70"/>
        <v>Monthly_Bin|60-90</v>
      </c>
      <c r="V223" t="str">
        <f t="shared" si="71"/>
        <v>Usage_Bin|&lt;20</v>
      </c>
      <c r="W223">
        <f t="shared" si="72"/>
        <v>3</v>
      </c>
      <c r="X223">
        <f t="shared" si="73"/>
        <v>3</v>
      </c>
      <c r="Y223">
        <f t="shared" si="74"/>
        <v>4</v>
      </c>
      <c r="Z223">
        <f t="shared" si="75"/>
        <v>1</v>
      </c>
      <c r="AA223">
        <f t="shared" si="76"/>
        <v>2</v>
      </c>
      <c r="AB223" s="51">
        <f t="shared" si="77"/>
        <v>13</v>
      </c>
      <c r="AC223" t="str">
        <f t="shared" si="78"/>
        <v>High</v>
      </c>
      <c r="AD223" t="str">
        <f t="shared" si="79"/>
        <v>Yes</v>
      </c>
      <c r="AE223">
        <f t="shared" si="80"/>
        <v>1</v>
      </c>
      <c r="AF223">
        <f xml:space="preserve">
_xlfn.XLOOKUP(AB223, '3.3 Calibration'!$A$2:$A$14, '3.3 Calibration'!$F$2:$F$14,
        '3.3 Calibration'!$D$2, 1)</f>
        <v>0.5</v>
      </c>
      <c r="AG223" t="str">
        <f t="shared" si="81"/>
        <v>Yes</v>
      </c>
      <c r="AH223" t="str">
        <f t="shared" si="82"/>
        <v>Medium</v>
      </c>
      <c r="AI223" t="e">
        <f t="shared" si="83"/>
        <v>#N/A</v>
      </c>
    </row>
    <row r="224" spans="1:35" x14ac:dyDescent="0.2">
      <c r="A224">
        <v>223</v>
      </c>
      <c r="B224">
        <v>20</v>
      </c>
      <c r="C224" t="s">
        <v>15</v>
      </c>
      <c r="D224">
        <v>16</v>
      </c>
      <c r="E224">
        <v>110.79</v>
      </c>
      <c r="F224" t="s">
        <v>20</v>
      </c>
      <c r="G224" t="s">
        <v>24</v>
      </c>
      <c r="H224">
        <v>3</v>
      </c>
      <c r="I224">
        <v>7.8</v>
      </c>
      <c r="J224">
        <v>1</v>
      </c>
      <c r="K224">
        <v>1754.68</v>
      </c>
      <c r="L224">
        <v>1</v>
      </c>
      <c r="M224" t="s">
        <v>134</v>
      </c>
      <c r="N224" t="str">
        <f t="shared" si="63"/>
        <v>12-24</v>
      </c>
      <c r="O224" t="str">
        <f t="shared" si="64"/>
        <v>&gt;=90</v>
      </c>
      <c r="P224" t="str">
        <f t="shared" si="65"/>
        <v>1-3</v>
      </c>
      <c r="Q224" t="str">
        <f t="shared" si="66"/>
        <v>&lt;20</v>
      </c>
      <c r="R224" t="str">
        <f t="shared" si="67"/>
        <v>ContractType|Month-to-Month</v>
      </c>
      <c r="S224" t="str">
        <f t="shared" si="68"/>
        <v>Tenure_Bin|12-24</v>
      </c>
      <c r="T224" t="str">
        <f t="shared" si="69"/>
        <v>Satis_Bin|1-3</v>
      </c>
      <c r="U224" t="str">
        <f t="shared" si="70"/>
        <v>Monthly_Bin|&gt;=90</v>
      </c>
      <c r="V224" t="str">
        <f t="shared" si="71"/>
        <v>Usage_Bin|&lt;20</v>
      </c>
      <c r="W224">
        <f t="shared" si="72"/>
        <v>3</v>
      </c>
      <c r="X224">
        <f t="shared" si="73"/>
        <v>1</v>
      </c>
      <c r="Y224">
        <f t="shared" si="74"/>
        <v>4</v>
      </c>
      <c r="Z224">
        <f t="shared" si="75"/>
        <v>2</v>
      </c>
      <c r="AA224">
        <f t="shared" si="76"/>
        <v>2</v>
      </c>
      <c r="AB224" s="51">
        <f t="shared" si="77"/>
        <v>12</v>
      </c>
      <c r="AC224" t="str">
        <f t="shared" si="78"/>
        <v>High</v>
      </c>
      <c r="AD224" t="str">
        <f t="shared" si="79"/>
        <v>No</v>
      </c>
      <c r="AE224">
        <f t="shared" si="80"/>
        <v>0</v>
      </c>
      <c r="AF224">
        <f xml:space="preserve">
_xlfn.XLOOKUP(AB224, '3.3 Calibration'!$A$2:$A$14, '3.3 Calibration'!$F$2:$F$14,
        '3.3 Calibration'!$D$2, 1)</f>
        <v>0.8</v>
      </c>
      <c r="AG224" t="str">
        <f t="shared" si="81"/>
        <v>Yes</v>
      </c>
      <c r="AH224" t="str">
        <f t="shared" si="82"/>
        <v>High</v>
      </c>
      <c r="AI224" t="str">
        <f t="shared" si="83"/>
        <v>12-24</v>
      </c>
    </row>
    <row r="225" spans="1:35" x14ac:dyDescent="0.2">
      <c r="A225">
        <v>224</v>
      </c>
      <c r="B225">
        <v>66</v>
      </c>
      <c r="C225" t="s">
        <v>16</v>
      </c>
      <c r="D225">
        <v>57</v>
      </c>
      <c r="E225">
        <v>51.62</v>
      </c>
      <c r="F225" t="s">
        <v>20</v>
      </c>
      <c r="G225" t="s">
        <v>24</v>
      </c>
      <c r="H225">
        <v>0</v>
      </c>
      <c r="I225">
        <v>83.2</v>
      </c>
      <c r="J225">
        <v>10</v>
      </c>
      <c r="K225">
        <v>2992.87</v>
      </c>
      <c r="L225">
        <v>1</v>
      </c>
      <c r="M225" t="s">
        <v>133</v>
      </c>
      <c r="N225" t="str">
        <f t="shared" si="63"/>
        <v>&gt;=24</v>
      </c>
      <c r="O225" t="str">
        <f t="shared" si="64"/>
        <v>30-60</v>
      </c>
      <c r="P225" t="str">
        <f t="shared" si="65"/>
        <v>7-10</v>
      </c>
      <c r="Q225" t="str">
        <f t="shared" si="66"/>
        <v>&gt;=80</v>
      </c>
      <c r="R225" t="str">
        <f t="shared" si="67"/>
        <v>ContractType|Month-to-Month</v>
      </c>
      <c r="S225" t="str">
        <f t="shared" si="68"/>
        <v>Tenure_Bin|&gt;=24</v>
      </c>
      <c r="T225" t="str">
        <f t="shared" si="69"/>
        <v>Satis_Bin|7-10</v>
      </c>
      <c r="U225" t="str">
        <f t="shared" si="70"/>
        <v>Monthly_Bin|30-60</v>
      </c>
      <c r="V225" t="str">
        <f t="shared" si="71"/>
        <v>Usage_Bin|&gt;=80</v>
      </c>
      <c r="W225">
        <f t="shared" si="72"/>
        <v>3</v>
      </c>
      <c r="X225">
        <f t="shared" si="73"/>
        <v>0</v>
      </c>
      <c r="Y225">
        <f t="shared" si="74"/>
        <v>0</v>
      </c>
      <c r="Z225">
        <f t="shared" si="75"/>
        <v>0</v>
      </c>
      <c r="AA225">
        <f t="shared" si="76"/>
        <v>0</v>
      </c>
      <c r="AB225" s="51">
        <f t="shared" si="77"/>
        <v>3</v>
      </c>
      <c r="AC225" t="str">
        <f t="shared" si="78"/>
        <v>Low</v>
      </c>
      <c r="AD225" t="str">
        <f t="shared" si="79"/>
        <v>No</v>
      </c>
      <c r="AE225">
        <f t="shared" si="80"/>
        <v>0</v>
      </c>
      <c r="AF225">
        <f xml:space="preserve">
_xlfn.XLOOKUP(AB225, '3.3 Calibration'!$A$2:$A$14, '3.3 Calibration'!$F$2:$F$14,
        '3.3 Calibration'!$D$2, 1)</f>
        <v>0.42105263157894735</v>
      </c>
      <c r="AG225" t="str">
        <f t="shared" si="81"/>
        <v>No</v>
      </c>
      <c r="AH225" t="str">
        <f t="shared" si="82"/>
        <v>Medium</v>
      </c>
      <c r="AI225" t="e">
        <f t="shared" si="83"/>
        <v>#N/A</v>
      </c>
    </row>
    <row r="226" spans="1:35" x14ac:dyDescent="0.2">
      <c r="A226">
        <v>225</v>
      </c>
      <c r="B226">
        <v>54</v>
      </c>
      <c r="C226" t="s">
        <v>15</v>
      </c>
      <c r="D226">
        <v>12</v>
      </c>
      <c r="E226">
        <v>78.83</v>
      </c>
      <c r="F226" t="s">
        <v>18</v>
      </c>
      <c r="G226" t="s">
        <v>22</v>
      </c>
      <c r="H226">
        <v>1</v>
      </c>
      <c r="I226">
        <v>24.9</v>
      </c>
      <c r="J226">
        <v>3</v>
      </c>
      <c r="K226">
        <v>969.57</v>
      </c>
      <c r="L226">
        <v>0</v>
      </c>
      <c r="M226" t="s">
        <v>133</v>
      </c>
      <c r="N226" t="str">
        <f t="shared" si="63"/>
        <v>12-24</v>
      </c>
      <c r="O226" t="str">
        <f t="shared" si="64"/>
        <v>60-90</v>
      </c>
      <c r="P226" t="str">
        <f t="shared" si="65"/>
        <v>1-3</v>
      </c>
      <c r="Q226" t="str">
        <f t="shared" si="66"/>
        <v>20-40</v>
      </c>
      <c r="R226" t="str">
        <f t="shared" si="67"/>
        <v>ContractType|1-Year</v>
      </c>
      <c r="S226" t="str">
        <f t="shared" si="68"/>
        <v>Tenure_Bin|12-24</v>
      </c>
      <c r="T226" t="str">
        <f t="shared" si="69"/>
        <v>Satis_Bin|1-3</v>
      </c>
      <c r="U226" t="str">
        <f t="shared" si="70"/>
        <v>Monthly_Bin|60-90</v>
      </c>
      <c r="V226" t="str">
        <f t="shared" si="71"/>
        <v>Usage_Bin|20-40</v>
      </c>
      <c r="W226">
        <f t="shared" si="72"/>
        <v>1</v>
      </c>
      <c r="X226">
        <f t="shared" si="73"/>
        <v>1</v>
      </c>
      <c r="Y226">
        <f t="shared" si="74"/>
        <v>4</v>
      </c>
      <c r="Z226">
        <f t="shared" si="75"/>
        <v>1</v>
      </c>
      <c r="AA226">
        <f t="shared" si="76"/>
        <v>1</v>
      </c>
      <c r="AB226" s="51">
        <f t="shared" si="77"/>
        <v>8</v>
      </c>
      <c r="AC226" t="str">
        <f t="shared" si="78"/>
        <v>High</v>
      </c>
      <c r="AD226" t="str">
        <f t="shared" si="79"/>
        <v>No</v>
      </c>
      <c r="AE226">
        <f t="shared" si="80"/>
        <v>0</v>
      </c>
      <c r="AF226">
        <f xml:space="preserve">
_xlfn.XLOOKUP(AB226, '3.3 Calibration'!$A$2:$A$14, '3.3 Calibration'!$F$2:$F$14,
        '3.3 Calibration'!$D$2, 1)</f>
        <v>0.73684210526315785</v>
      </c>
      <c r="AG226" t="str">
        <f t="shared" si="81"/>
        <v>Yes</v>
      </c>
      <c r="AH226" t="str">
        <f t="shared" si="82"/>
        <v>High</v>
      </c>
      <c r="AI226" t="str">
        <f t="shared" si="83"/>
        <v>12-24</v>
      </c>
    </row>
    <row r="227" spans="1:35" x14ac:dyDescent="0.2">
      <c r="A227">
        <v>226</v>
      </c>
      <c r="B227">
        <v>66</v>
      </c>
      <c r="C227" t="s">
        <v>15</v>
      </c>
      <c r="D227">
        <v>16</v>
      </c>
      <c r="E227">
        <v>88.3</v>
      </c>
      <c r="F227" t="s">
        <v>20</v>
      </c>
      <c r="G227" t="s">
        <v>24</v>
      </c>
      <c r="H227">
        <v>4</v>
      </c>
      <c r="I227">
        <v>41</v>
      </c>
      <c r="J227">
        <v>9</v>
      </c>
      <c r="K227">
        <v>1291.8</v>
      </c>
      <c r="L227">
        <v>0</v>
      </c>
      <c r="M227" t="s">
        <v>134</v>
      </c>
      <c r="N227" t="str">
        <f t="shared" si="63"/>
        <v>12-24</v>
      </c>
      <c r="O227" t="str">
        <f t="shared" si="64"/>
        <v>60-90</v>
      </c>
      <c r="P227" t="str">
        <f t="shared" si="65"/>
        <v>7-10</v>
      </c>
      <c r="Q227" t="str">
        <f t="shared" si="66"/>
        <v>40-80</v>
      </c>
      <c r="R227" t="str">
        <f t="shared" si="67"/>
        <v>ContractType|Month-to-Month</v>
      </c>
      <c r="S227" t="str">
        <f t="shared" si="68"/>
        <v>Tenure_Bin|12-24</v>
      </c>
      <c r="T227" t="str">
        <f t="shared" si="69"/>
        <v>Satis_Bin|7-10</v>
      </c>
      <c r="U227" t="str">
        <f t="shared" si="70"/>
        <v>Monthly_Bin|60-90</v>
      </c>
      <c r="V227" t="str">
        <f t="shared" si="71"/>
        <v>Usage_Bin|40-80</v>
      </c>
      <c r="W227">
        <f t="shared" si="72"/>
        <v>3</v>
      </c>
      <c r="X227">
        <f t="shared" si="73"/>
        <v>1</v>
      </c>
      <c r="Y227">
        <f t="shared" si="74"/>
        <v>0</v>
      </c>
      <c r="Z227">
        <f t="shared" si="75"/>
        <v>1</v>
      </c>
      <c r="AA227">
        <f t="shared" si="76"/>
        <v>0</v>
      </c>
      <c r="AB227" s="51">
        <f t="shared" si="77"/>
        <v>5</v>
      </c>
      <c r="AC227" t="str">
        <f t="shared" si="78"/>
        <v>Medium</v>
      </c>
      <c r="AD227" t="str">
        <f t="shared" si="79"/>
        <v>No</v>
      </c>
      <c r="AE227">
        <f t="shared" si="80"/>
        <v>0</v>
      </c>
      <c r="AF227">
        <f xml:space="preserve">
_xlfn.XLOOKUP(AB227, '3.3 Calibration'!$A$2:$A$14, '3.3 Calibration'!$F$2:$F$14,
        '3.3 Calibration'!$D$2, 1)</f>
        <v>0.33333333333333331</v>
      </c>
      <c r="AG227" t="str">
        <f t="shared" si="81"/>
        <v>No</v>
      </c>
      <c r="AH227" t="str">
        <f t="shared" si="82"/>
        <v>Low</v>
      </c>
      <c r="AI227" t="e">
        <f t="shared" si="83"/>
        <v>#N/A</v>
      </c>
    </row>
    <row r="228" spans="1:35" x14ac:dyDescent="0.2">
      <c r="A228">
        <v>227</v>
      </c>
      <c r="B228">
        <v>34</v>
      </c>
      <c r="C228" t="s">
        <v>16</v>
      </c>
      <c r="D228">
        <v>24</v>
      </c>
      <c r="E228">
        <v>65.19</v>
      </c>
      <c r="F228" t="s">
        <v>20</v>
      </c>
      <c r="G228" t="s">
        <v>23</v>
      </c>
      <c r="H228">
        <v>0</v>
      </c>
      <c r="I228">
        <v>97.5</v>
      </c>
      <c r="J228">
        <v>7</v>
      </c>
      <c r="K228">
        <v>1621.7</v>
      </c>
      <c r="L228">
        <v>1</v>
      </c>
      <c r="M228" t="s">
        <v>134</v>
      </c>
      <c r="N228" t="str">
        <f t="shared" si="63"/>
        <v>&gt;=24</v>
      </c>
      <c r="O228" t="str">
        <f t="shared" si="64"/>
        <v>60-90</v>
      </c>
      <c r="P228" t="str">
        <f t="shared" si="65"/>
        <v>7-10</v>
      </c>
      <c r="Q228" t="str">
        <f t="shared" si="66"/>
        <v>&gt;=80</v>
      </c>
      <c r="R228" t="str">
        <f t="shared" si="67"/>
        <v>ContractType|Month-to-Month</v>
      </c>
      <c r="S228" t="str">
        <f t="shared" si="68"/>
        <v>Tenure_Bin|&gt;=24</v>
      </c>
      <c r="T228" t="str">
        <f t="shared" si="69"/>
        <v>Satis_Bin|7-10</v>
      </c>
      <c r="U228" t="str">
        <f t="shared" si="70"/>
        <v>Monthly_Bin|60-90</v>
      </c>
      <c r="V228" t="str">
        <f t="shared" si="71"/>
        <v>Usage_Bin|&gt;=80</v>
      </c>
      <c r="W228">
        <f t="shared" si="72"/>
        <v>3</v>
      </c>
      <c r="X228">
        <f t="shared" si="73"/>
        <v>0</v>
      </c>
      <c r="Y228">
        <f t="shared" si="74"/>
        <v>0</v>
      </c>
      <c r="Z228">
        <f t="shared" si="75"/>
        <v>1</v>
      </c>
      <c r="AA228">
        <f t="shared" si="76"/>
        <v>0</v>
      </c>
      <c r="AB228" s="51">
        <f t="shared" si="77"/>
        <v>4</v>
      </c>
      <c r="AC228" t="str">
        <f t="shared" si="78"/>
        <v>Medium</v>
      </c>
      <c r="AD228" t="str">
        <f t="shared" si="79"/>
        <v>No</v>
      </c>
      <c r="AE228">
        <f t="shared" si="80"/>
        <v>0</v>
      </c>
      <c r="AF228">
        <f xml:space="preserve">
_xlfn.XLOOKUP(AB228, '3.3 Calibration'!$A$2:$A$14, '3.3 Calibration'!$F$2:$F$14,
        '3.3 Calibration'!$D$2, 1)</f>
        <v>0.40740740740740738</v>
      </c>
      <c r="AG228" t="str">
        <f t="shared" si="81"/>
        <v>No</v>
      </c>
      <c r="AH228" t="str">
        <f t="shared" si="82"/>
        <v>Medium</v>
      </c>
      <c r="AI228" t="e">
        <f t="shared" si="83"/>
        <v>#N/A</v>
      </c>
    </row>
    <row r="229" spans="1:35" x14ac:dyDescent="0.2">
      <c r="A229">
        <v>228</v>
      </c>
      <c r="B229">
        <v>66</v>
      </c>
      <c r="C229" t="s">
        <v>16</v>
      </c>
      <c r="D229">
        <v>28</v>
      </c>
      <c r="E229">
        <v>91.38</v>
      </c>
      <c r="F229" t="s">
        <v>20</v>
      </c>
      <c r="G229" t="s">
        <v>24</v>
      </c>
      <c r="H229">
        <v>0</v>
      </c>
      <c r="I229">
        <v>37</v>
      </c>
      <c r="J229">
        <v>2</v>
      </c>
      <c r="K229">
        <v>2426.58</v>
      </c>
      <c r="L229">
        <v>0</v>
      </c>
      <c r="M229" t="s">
        <v>134</v>
      </c>
      <c r="N229" t="str">
        <f t="shared" si="63"/>
        <v>&gt;=24</v>
      </c>
      <c r="O229" t="str">
        <f t="shared" si="64"/>
        <v>&gt;=90</v>
      </c>
      <c r="P229" t="str">
        <f t="shared" si="65"/>
        <v>1-3</v>
      </c>
      <c r="Q229" t="str">
        <f t="shared" si="66"/>
        <v>20-40</v>
      </c>
      <c r="R229" t="str">
        <f t="shared" si="67"/>
        <v>ContractType|Month-to-Month</v>
      </c>
      <c r="S229" t="str">
        <f t="shared" si="68"/>
        <v>Tenure_Bin|&gt;=24</v>
      </c>
      <c r="T229" t="str">
        <f t="shared" si="69"/>
        <v>Satis_Bin|1-3</v>
      </c>
      <c r="U229" t="str">
        <f t="shared" si="70"/>
        <v>Monthly_Bin|&gt;=90</v>
      </c>
      <c r="V229" t="str">
        <f t="shared" si="71"/>
        <v>Usage_Bin|20-40</v>
      </c>
      <c r="W229">
        <f t="shared" si="72"/>
        <v>3</v>
      </c>
      <c r="X229">
        <f t="shared" si="73"/>
        <v>0</v>
      </c>
      <c r="Y229">
        <f t="shared" si="74"/>
        <v>4</v>
      </c>
      <c r="Z229">
        <f t="shared" si="75"/>
        <v>2</v>
      </c>
      <c r="AA229">
        <f t="shared" si="76"/>
        <v>1</v>
      </c>
      <c r="AB229" s="51">
        <f t="shared" si="77"/>
        <v>10</v>
      </c>
      <c r="AC229" t="str">
        <f t="shared" si="78"/>
        <v>High</v>
      </c>
      <c r="AD229" t="str">
        <f t="shared" si="79"/>
        <v>No</v>
      </c>
      <c r="AE229">
        <f t="shared" si="80"/>
        <v>0</v>
      </c>
      <c r="AF229">
        <f xml:space="preserve">
_xlfn.XLOOKUP(AB229, '3.3 Calibration'!$A$2:$A$14, '3.3 Calibration'!$F$2:$F$14,
        '3.3 Calibration'!$D$2, 1)</f>
        <v>0.5</v>
      </c>
      <c r="AG229" t="str">
        <f t="shared" si="81"/>
        <v>Yes</v>
      </c>
      <c r="AH229" t="str">
        <f t="shared" si="82"/>
        <v>Medium</v>
      </c>
      <c r="AI229" t="e">
        <f t="shared" si="83"/>
        <v>#N/A</v>
      </c>
    </row>
    <row r="230" spans="1:35" x14ac:dyDescent="0.2">
      <c r="A230">
        <v>229</v>
      </c>
      <c r="B230">
        <v>19</v>
      </c>
      <c r="C230" t="s">
        <v>15</v>
      </c>
      <c r="D230">
        <v>8</v>
      </c>
      <c r="E230">
        <v>109.97</v>
      </c>
      <c r="F230" t="s">
        <v>20</v>
      </c>
      <c r="G230" t="s">
        <v>23</v>
      </c>
      <c r="H230">
        <v>1</v>
      </c>
      <c r="I230">
        <v>33.200000000000003</v>
      </c>
      <c r="J230">
        <v>9</v>
      </c>
      <c r="K230">
        <v>917.41</v>
      </c>
      <c r="L230">
        <v>1</v>
      </c>
      <c r="M230" t="s">
        <v>134</v>
      </c>
      <c r="N230" t="str">
        <f t="shared" si="63"/>
        <v>6-12</v>
      </c>
      <c r="O230" t="str">
        <f t="shared" si="64"/>
        <v>&gt;=90</v>
      </c>
      <c r="P230" t="str">
        <f t="shared" si="65"/>
        <v>7-10</v>
      </c>
      <c r="Q230" t="str">
        <f t="shared" si="66"/>
        <v>20-40</v>
      </c>
      <c r="R230" t="str">
        <f t="shared" si="67"/>
        <v>ContractType|Month-to-Month</v>
      </c>
      <c r="S230" t="str">
        <f t="shared" si="68"/>
        <v>Tenure_Bin|6-12</v>
      </c>
      <c r="T230" t="str">
        <f t="shared" si="69"/>
        <v>Satis_Bin|7-10</v>
      </c>
      <c r="U230" t="str">
        <f t="shared" si="70"/>
        <v>Monthly_Bin|&gt;=90</v>
      </c>
      <c r="V230" t="str">
        <f t="shared" si="71"/>
        <v>Usage_Bin|20-40</v>
      </c>
      <c r="W230">
        <f t="shared" si="72"/>
        <v>3</v>
      </c>
      <c r="X230">
        <f t="shared" si="73"/>
        <v>2</v>
      </c>
      <c r="Y230">
        <f t="shared" si="74"/>
        <v>0</v>
      </c>
      <c r="Z230">
        <f t="shared" si="75"/>
        <v>2</v>
      </c>
      <c r="AA230">
        <f t="shared" si="76"/>
        <v>1</v>
      </c>
      <c r="AB230" s="51">
        <f t="shared" si="77"/>
        <v>8</v>
      </c>
      <c r="AC230" t="str">
        <f t="shared" si="78"/>
        <v>High</v>
      </c>
      <c r="AD230" t="str">
        <f t="shared" si="79"/>
        <v>No</v>
      </c>
      <c r="AE230">
        <f t="shared" si="80"/>
        <v>0</v>
      </c>
      <c r="AF230">
        <f xml:space="preserve">
_xlfn.XLOOKUP(AB230, '3.3 Calibration'!$A$2:$A$14, '3.3 Calibration'!$F$2:$F$14,
        '3.3 Calibration'!$D$2, 1)</f>
        <v>0.73684210526315785</v>
      </c>
      <c r="AG230" t="str">
        <f t="shared" si="81"/>
        <v>Yes</v>
      </c>
      <c r="AH230" t="str">
        <f t="shared" si="82"/>
        <v>High</v>
      </c>
      <c r="AI230" t="str">
        <f t="shared" si="83"/>
        <v>6-12</v>
      </c>
    </row>
    <row r="231" spans="1:35" x14ac:dyDescent="0.2">
      <c r="A231">
        <v>230</v>
      </c>
      <c r="B231">
        <v>19</v>
      </c>
      <c r="C231" t="s">
        <v>16</v>
      </c>
      <c r="D231">
        <v>36</v>
      </c>
      <c r="E231">
        <v>82.41</v>
      </c>
      <c r="F231" t="s">
        <v>20</v>
      </c>
      <c r="G231" t="s">
        <v>22</v>
      </c>
      <c r="H231">
        <v>2</v>
      </c>
      <c r="I231">
        <v>92.2</v>
      </c>
      <c r="J231">
        <v>10</v>
      </c>
      <c r="K231">
        <v>3158.14</v>
      </c>
      <c r="L231">
        <v>1</v>
      </c>
      <c r="M231" t="s">
        <v>134</v>
      </c>
      <c r="N231" t="str">
        <f t="shared" si="63"/>
        <v>&gt;=24</v>
      </c>
      <c r="O231" t="str">
        <f t="shared" si="64"/>
        <v>60-90</v>
      </c>
      <c r="P231" t="str">
        <f t="shared" si="65"/>
        <v>7-10</v>
      </c>
      <c r="Q231" t="str">
        <f t="shared" si="66"/>
        <v>&gt;=80</v>
      </c>
      <c r="R231" t="str">
        <f t="shared" si="67"/>
        <v>ContractType|Month-to-Month</v>
      </c>
      <c r="S231" t="str">
        <f t="shared" si="68"/>
        <v>Tenure_Bin|&gt;=24</v>
      </c>
      <c r="T231" t="str">
        <f t="shared" si="69"/>
        <v>Satis_Bin|7-10</v>
      </c>
      <c r="U231" t="str">
        <f t="shared" si="70"/>
        <v>Monthly_Bin|60-90</v>
      </c>
      <c r="V231" t="str">
        <f t="shared" si="71"/>
        <v>Usage_Bin|&gt;=80</v>
      </c>
      <c r="W231">
        <f t="shared" si="72"/>
        <v>3</v>
      </c>
      <c r="X231">
        <f t="shared" si="73"/>
        <v>0</v>
      </c>
      <c r="Y231">
        <f t="shared" si="74"/>
        <v>0</v>
      </c>
      <c r="Z231">
        <f t="shared" si="75"/>
        <v>1</v>
      </c>
      <c r="AA231">
        <f t="shared" si="76"/>
        <v>0</v>
      </c>
      <c r="AB231" s="51">
        <f t="shared" si="77"/>
        <v>4</v>
      </c>
      <c r="AC231" t="str">
        <f t="shared" si="78"/>
        <v>Medium</v>
      </c>
      <c r="AD231" t="str">
        <f t="shared" si="79"/>
        <v>No</v>
      </c>
      <c r="AE231">
        <f t="shared" si="80"/>
        <v>0</v>
      </c>
      <c r="AF231">
        <f xml:space="preserve">
_xlfn.XLOOKUP(AB231, '3.3 Calibration'!$A$2:$A$14, '3.3 Calibration'!$F$2:$F$14,
        '3.3 Calibration'!$D$2, 1)</f>
        <v>0.40740740740740738</v>
      </c>
      <c r="AG231" t="str">
        <f t="shared" si="81"/>
        <v>No</v>
      </c>
      <c r="AH231" t="str">
        <f t="shared" si="82"/>
        <v>Medium</v>
      </c>
      <c r="AI231" t="e">
        <f t="shared" si="83"/>
        <v>#N/A</v>
      </c>
    </row>
    <row r="232" spans="1:35" x14ac:dyDescent="0.2">
      <c r="A232">
        <v>231</v>
      </c>
      <c r="B232">
        <v>45</v>
      </c>
      <c r="C232" t="s">
        <v>15</v>
      </c>
      <c r="D232">
        <v>8</v>
      </c>
      <c r="E232">
        <v>73.98</v>
      </c>
      <c r="F232" t="s">
        <v>19</v>
      </c>
      <c r="G232" t="s">
        <v>23</v>
      </c>
      <c r="H232">
        <v>1</v>
      </c>
      <c r="I232">
        <v>15.5</v>
      </c>
      <c r="J232">
        <v>2</v>
      </c>
      <c r="K232">
        <v>627.82000000000005</v>
      </c>
      <c r="L232">
        <v>0</v>
      </c>
      <c r="M232" t="s">
        <v>134</v>
      </c>
      <c r="N232" t="str">
        <f t="shared" si="63"/>
        <v>6-12</v>
      </c>
      <c r="O232" t="str">
        <f t="shared" si="64"/>
        <v>60-90</v>
      </c>
      <c r="P232" t="str">
        <f t="shared" si="65"/>
        <v>1-3</v>
      </c>
      <c r="Q232" t="str">
        <f t="shared" si="66"/>
        <v>&lt;20</v>
      </c>
      <c r="R232" t="str">
        <f t="shared" si="67"/>
        <v>ContractType|2-Year</v>
      </c>
      <c r="S232" t="str">
        <f t="shared" si="68"/>
        <v>Tenure_Bin|6-12</v>
      </c>
      <c r="T232" t="str">
        <f t="shared" si="69"/>
        <v>Satis_Bin|1-3</v>
      </c>
      <c r="U232" t="str">
        <f t="shared" si="70"/>
        <v>Monthly_Bin|60-90</v>
      </c>
      <c r="V232" t="str">
        <f t="shared" si="71"/>
        <v>Usage_Bin|&lt;20</v>
      </c>
      <c r="W232">
        <f t="shared" si="72"/>
        <v>0</v>
      </c>
      <c r="X232">
        <f t="shared" si="73"/>
        <v>2</v>
      </c>
      <c r="Y232">
        <f t="shared" si="74"/>
        <v>4</v>
      </c>
      <c r="Z232">
        <f t="shared" si="75"/>
        <v>1</v>
      </c>
      <c r="AA232">
        <f t="shared" si="76"/>
        <v>2</v>
      </c>
      <c r="AB232" s="51">
        <f t="shared" si="77"/>
        <v>9</v>
      </c>
      <c r="AC232" t="str">
        <f t="shared" si="78"/>
        <v>High</v>
      </c>
      <c r="AD232" t="str">
        <f t="shared" si="79"/>
        <v>No</v>
      </c>
      <c r="AE232">
        <f t="shared" si="80"/>
        <v>0</v>
      </c>
      <c r="AF232">
        <f xml:space="preserve">
_xlfn.XLOOKUP(AB232, '3.3 Calibration'!$A$2:$A$14, '3.3 Calibration'!$F$2:$F$14,
        '3.3 Calibration'!$D$2, 1)</f>
        <v>0.54545454545454541</v>
      </c>
      <c r="AG232" t="str">
        <f t="shared" si="81"/>
        <v>Yes</v>
      </c>
      <c r="AH232" t="str">
        <f t="shared" si="82"/>
        <v>Medium</v>
      </c>
      <c r="AI232" t="e">
        <f t="shared" si="83"/>
        <v>#N/A</v>
      </c>
    </row>
    <row r="233" spans="1:35" x14ac:dyDescent="0.2">
      <c r="A233">
        <v>232</v>
      </c>
      <c r="B233">
        <v>40</v>
      </c>
      <c r="C233" t="s">
        <v>16</v>
      </c>
      <c r="D233">
        <v>58</v>
      </c>
      <c r="E233">
        <v>63.87</v>
      </c>
      <c r="F233" t="s">
        <v>20</v>
      </c>
      <c r="G233" t="s">
        <v>24</v>
      </c>
      <c r="H233">
        <v>3</v>
      </c>
      <c r="I233">
        <v>77.2</v>
      </c>
      <c r="J233">
        <v>3</v>
      </c>
      <c r="K233">
        <v>3743.36</v>
      </c>
      <c r="L233">
        <v>0</v>
      </c>
      <c r="M233" t="s">
        <v>134</v>
      </c>
      <c r="N233" t="str">
        <f t="shared" si="63"/>
        <v>&gt;=24</v>
      </c>
      <c r="O233" t="str">
        <f t="shared" si="64"/>
        <v>60-90</v>
      </c>
      <c r="P233" t="str">
        <f t="shared" si="65"/>
        <v>1-3</v>
      </c>
      <c r="Q233" t="str">
        <f t="shared" si="66"/>
        <v>40-80</v>
      </c>
      <c r="R233" t="str">
        <f t="shared" si="67"/>
        <v>ContractType|Month-to-Month</v>
      </c>
      <c r="S233" t="str">
        <f t="shared" si="68"/>
        <v>Tenure_Bin|&gt;=24</v>
      </c>
      <c r="T233" t="str">
        <f t="shared" si="69"/>
        <v>Satis_Bin|1-3</v>
      </c>
      <c r="U233" t="str">
        <f t="shared" si="70"/>
        <v>Monthly_Bin|60-90</v>
      </c>
      <c r="V233" t="str">
        <f t="shared" si="71"/>
        <v>Usage_Bin|40-80</v>
      </c>
      <c r="W233">
        <f t="shared" si="72"/>
        <v>3</v>
      </c>
      <c r="X233">
        <f t="shared" si="73"/>
        <v>0</v>
      </c>
      <c r="Y233">
        <f t="shared" si="74"/>
        <v>4</v>
      </c>
      <c r="Z233">
        <f t="shared" si="75"/>
        <v>1</v>
      </c>
      <c r="AA233">
        <f t="shared" si="76"/>
        <v>0</v>
      </c>
      <c r="AB233" s="51">
        <f t="shared" si="77"/>
        <v>8</v>
      </c>
      <c r="AC233" t="str">
        <f t="shared" si="78"/>
        <v>High</v>
      </c>
      <c r="AD233" t="str">
        <f t="shared" si="79"/>
        <v>No</v>
      </c>
      <c r="AE233">
        <f t="shared" si="80"/>
        <v>0</v>
      </c>
      <c r="AF233">
        <f xml:space="preserve">
_xlfn.XLOOKUP(AB233, '3.3 Calibration'!$A$2:$A$14, '3.3 Calibration'!$F$2:$F$14,
        '3.3 Calibration'!$D$2, 1)</f>
        <v>0.73684210526315785</v>
      </c>
      <c r="AG233" t="str">
        <f t="shared" si="81"/>
        <v>Yes</v>
      </c>
      <c r="AH233" t="str">
        <f t="shared" si="82"/>
        <v>High</v>
      </c>
      <c r="AI233" t="str">
        <f t="shared" si="83"/>
        <v>&gt;=24</v>
      </c>
    </row>
    <row r="234" spans="1:35" x14ac:dyDescent="0.2">
      <c r="A234">
        <v>233</v>
      </c>
      <c r="B234">
        <v>54</v>
      </c>
      <c r="C234" t="s">
        <v>15</v>
      </c>
      <c r="D234">
        <v>60</v>
      </c>
      <c r="E234">
        <v>77.75</v>
      </c>
      <c r="F234" t="s">
        <v>20</v>
      </c>
      <c r="G234" t="s">
        <v>24</v>
      </c>
      <c r="H234">
        <v>4</v>
      </c>
      <c r="I234">
        <v>98.9</v>
      </c>
      <c r="J234">
        <v>10</v>
      </c>
      <c r="K234">
        <v>4683.82</v>
      </c>
      <c r="L234">
        <v>0</v>
      </c>
      <c r="M234" t="s">
        <v>134</v>
      </c>
      <c r="N234" t="str">
        <f t="shared" si="63"/>
        <v>&gt;=24</v>
      </c>
      <c r="O234" t="str">
        <f t="shared" si="64"/>
        <v>60-90</v>
      </c>
      <c r="P234" t="str">
        <f t="shared" si="65"/>
        <v>7-10</v>
      </c>
      <c r="Q234" t="str">
        <f t="shared" si="66"/>
        <v>&gt;=80</v>
      </c>
      <c r="R234" t="str">
        <f t="shared" si="67"/>
        <v>ContractType|Month-to-Month</v>
      </c>
      <c r="S234" t="str">
        <f t="shared" si="68"/>
        <v>Tenure_Bin|&gt;=24</v>
      </c>
      <c r="T234" t="str">
        <f t="shared" si="69"/>
        <v>Satis_Bin|7-10</v>
      </c>
      <c r="U234" t="str">
        <f t="shared" si="70"/>
        <v>Monthly_Bin|60-90</v>
      </c>
      <c r="V234" t="str">
        <f t="shared" si="71"/>
        <v>Usage_Bin|&gt;=80</v>
      </c>
      <c r="W234">
        <f t="shared" si="72"/>
        <v>3</v>
      </c>
      <c r="X234">
        <f t="shared" si="73"/>
        <v>0</v>
      </c>
      <c r="Y234">
        <f t="shared" si="74"/>
        <v>0</v>
      </c>
      <c r="Z234">
        <f t="shared" si="75"/>
        <v>1</v>
      </c>
      <c r="AA234">
        <f t="shared" si="76"/>
        <v>0</v>
      </c>
      <c r="AB234" s="51">
        <f t="shared" si="77"/>
        <v>4</v>
      </c>
      <c r="AC234" t="str">
        <f t="shared" si="78"/>
        <v>Medium</v>
      </c>
      <c r="AD234" t="str">
        <f t="shared" si="79"/>
        <v>No</v>
      </c>
      <c r="AE234">
        <f t="shared" si="80"/>
        <v>0</v>
      </c>
      <c r="AF234">
        <f xml:space="preserve">
_xlfn.XLOOKUP(AB234, '3.3 Calibration'!$A$2:$A$14, '3.3 Calibration'!$F$2:$F$14,
        '3.3 Calibration'!$D$2, 1)</f>
        <v>0.40740740740740738</v>
      </c>
      <c r="AG234" t="str">
        <f t="shared" si="81"/>
        <v>No</v>
      </c>
      <c r="AH234" t="str">
        <f t="shared" si="82"/>
        <v>Medium</v>
      </c>
      <c r="AI234" t="e">
        <f t="shared" si="83"/>
        <v>#N/A</v>
      </c>
    </row>
    <row r="235" spans="1:35" x14ac:dyDescent="0.2">
      <c r="A235">
        <v>234</v>
      </c>
      <c r="B235">
        <v>49</v>
      </c>
      <c r="C235" t="s">
        <v>15</v>
      </c>
      <c r="D235">
        <v>50</v>
      </c>
      <c r="E235">
        <v>55.54</v>
      </c>
      <c r="F235" t="s">
        <v>20</v>
      </c>
      <c r="G235" t="s">
        <v>24</v>
      </c>
      <c r="H235">
        <v>2</v>
      </c>
      <c r="I235">
        <v>90.6</v>
      </c>
      <c r="J235">
        <v>2</v>
      </c>
      <c r="K235">
        <v>2578.65</v>
      </c>
      <c r="L235">
        <v>1</v>
      </c>
      <c r="M235" t="s">
        <v>133</v>
      </c>
      <c r="N235" t="str">
        <f t="shared" si="63"/>
        <v>&gt;=24</v>
      </c>
      <c r="O235" t="str">
        <f t="shared" si="64"/>
        <v>30-60</v>
      </c>
      <c r="P235" t="str">
        <f t="shared" si="65"/>
        <v>1-3</v>
      </c>
      <c r="Q235" t="str">
        <f t="shared" si="66"/>
        <v>&gt;=80</v>
      </c>
      <c r="R235" t="str">
        <f t="shared" si="67"/>
        <v>ContractType|Month-to-Month</v>
      </c>
      <c r="S235" t="str">
        <f t="shared" si="68"/>
        <v>Tenure_Bin|&gt;=24</v>
      </c>
      <c r="T235" t="str">
        <f t="shared" si="69"/>
        <v>Satis_Bin|1-3</v>
      </c>
      <c r="U235" t="str">
        <f t="shared" si="70"/>
        <v>Monthly_Bin|30-60</v>
      </c>
      <c r="V235" t="str">
        <f t="shared" si="71"/>
        <v>Usage_Bin|&gt;=80</v>
      </c>
      <c r="W235">
        <f t="shared" si="72"/>
        <v>3</v>
      </c>
      <c r="X235">
        <f t="shared" si="73"/>
        <v>0</v>
      </c>
      <c r="Y235">
        <f t="shared" si="74"/>
        <v>4</v>
      </c>
      <c r="Z235">
        <f t="shared" si="75"/>
        <v>0</v>
      </c>
      <c r="AA235">
        <f t="shared" si="76"/>
        <v>0</v>
      </c>
      <c r="AB235" s="51">
        <f t="shared" si="77"/>
        <v>7</v>
      </c>
      <c r="AC235" t="str">
        <f t="shared" si="78"/>
        <v>High</v>
      </c>
      <c r="AD235" t="str">
        <f t="shared" si="79"/>
        <v>No</v>
      </c>
      <c r="AE235">
        <f t="shared" si="80"/>
        <v>0</v>
      </c>
      <c r="AF235">
        <f xml:space="preserve">
_xlfn.XLOOKUP(AB235, '3.3 Calibration'!$A$2:$A$14, '3.3 Calibration'!$F$2:$F$14,
        '3.3 Calibration'!$D$2, 1)</f>
        <v>0.54166666666666663</v>
      </c>
      <c r="AG235" t="str">
        <f t="shared" si="81"/>
        <v>Yes</v>
      </c>
      <c r="AH235" t="str">
        <f t="shared" si="82"/>
        <v>Medium</v>
      </c>
      <c r="AI235" t="e">
        <f t="shared" si="83"/>
        <v>#N/A</v>
      </c>
    </row>
    <row r="236" spans="1:35" x14ac:dyDescent="0.2">
      <c r="A236">
        <v>235</v>
      </c>
      <c r="B236">
        <v>50</v>
      </c>
      <c r="C236" t="s">
        <v>15</v>
      </c>
      <c r="D236">
        <v>28</v>
      </c>
      <c r="E236">
        <v>59.15</v>
      </c>
      <c r="F236" t="s">
        <v>18</v>
      </c>
      <c r="G236" t="s">
        <v>22</v>
      </c>
      <c r="H236">
        <v>3</v>
      </c>
      <c r="I236">
        <v>66.900000000000006</v>
      </c>
      <c r="J236">
        <v>3</v>
      </c>
      <c r="K236">
        <v>1747.41</v>
      </c>
      <c r="L236">
        <v>1</v>
      </c>
      <c r="M236" t="s">
        <v>134</v>
      </c>
      <c r="N236" t="str">
        <f t="shared" si="63"/>
        <v>&gt;=24</v>
      </c>
      <c r="O236" t="str">
        <f t="shared" si="64"/>
        <v>30-60</v>
      </c>
      <c r="P236" t="str">
        <f t="shared" si="65"/>
        <v>1-3</v>
      </c>
      <c r="Q236" t="str">
        <f t="shared" si="66"/>
        <v>40-80</v>
      </c>
      <c r="R236" t="str">
        <f t="shared" si="67"/>
        <v>ContractType|1-Year</v>
      </c>
      <c r="S236" t="str">
        <f t="shared" si="68"/>
        <v>Tenure_Bin|&gt;=24</v>
      </c>
      <c r="T236" t="str">
        <f t="shared" si="69"/>
        <v>Satis_Bin|1-3</v>
      </c>
      <c r="U236" t="str">
        <f t="shared" si="70"/>
        <v>Monthly_Bin|30-60</v>
      </c>
      <c r="V236" t="str">
        <f t="shared" si="71"/>
        <v>Usage_Bin|40-80</v>
      </c>
      <c r="W236">
        <f t="shared" si="72"/>
        <v>1</v>
      </c>
      <c r="X236">
        <f t="shared" si="73"/>
        <v>0</v>
      </c>
      <c r="Y236">
        <f t="shared" si="74"/>
        <v>4</v>
      </c>
      <c r="Z236">
        <f t="shared" si="75"/>
        <v>0</v>
      </c>
      <c r="AA236">
        <f t="shared" si="76"/>
        <v>0</v>
      </c>
      <c r="AB236" s="51">
        <f t="shared" si="77"/>
        <v>5</v>
      </c>
      <c r="AC236" t="str">
        <f t="shared" si="78"/>
        <v>Medium</v>
      </c>
      <c r="AD236" t="str">
        <f t="shared" si="79"/>
        <v>No</v>
      </c>
      <c r="AE236">
        <f t="shared" si="80"/>
        <v>0</v>
      </c>
      <c r="AF236">
        <f xml:space="preserve">
_xlfn.XLOOKUP(AB236, '3.3 Calibration'!$A$2:$A$14, '3.3 Calibration'!$F$2:$F$14,
        '3.3 Calibration'!$D$2, 1)</f>
        <v>0.33333333333333331</v>
      </c>
      <c r="AG236" t="str">
        <f t="shared" si="81"/>
        <v>No</v>
      </c>
      <c r="AH236" t="str">
        <f t="shared" si="82"/>
        <v>Low</v>
      </c>
      <c r="AI236" t="e">
        <f t="shared" si="83"/>
        <v>#N/A</v>
      </c>
    </row>
    <row r="237" spans="1:35" x14ac:dyDescent="0.2">
      <c r="A237">
        <v>236</v>
      </c>
      <c r="B237">
        <v>18</v>
      </c>
      <c r="C237" t="s">
        <v>15</v>
      </c>
      <c r="D237">
        <v>41</v>
      </c>
      <c r="E237">
        <v>73.19</v>
      </c>
      <c r="F237" t="s">
        <v>19</v>
      </c>
      <c r="G237" t="s">
        <v>22</v>
      </c>
      <c r="H237">
        <v>0</v>
      </c>
      <c r="I237">
        <v>34.799999999999997</v>
      </c>
      <c r="J237">
        <v>6</v>
      </c>
      <c r="K237">
        <v>2863.6</v>
      </c>
      <c r="L237">
        <v>0</v>
      </c>
      <c r="M237" t="s">
        <v>134</v>
      </c>
      <c r="N237" t="str">
        <f t="shared" si="63"/>
        <v>&gt;=24</v>
      </c>
      <c r="O237" t="str">
        <f t="shared" si="64"/>
        <v>60-90</v>
      </c>
      <c r="P237" t="str">
        <f t="shared" si="65"/>
        <v>4-6</v>
      </c>
      <c r="Q237" t="str">
        <f t="shared" si="66"/>
        <v>20-40</v>
      </c>
      <c r="R237" t="str">
        <f t="shared" si="67"/>
        <v>ContractType|2-Year</v>
      </c>
      <c r="S237" t="str">
        <f t="shared" si="68"/>
        <v>Tenure_Bin|&gt;=24</v>
      </c>
      <c r="T237" t="str">
        <f t="shared" si="69"/>
        <v>Satis_Bin|4-6</v>
      </c>
      <c r="U237" t="str">
        <f t="shared" si="70"/>
        <v>Monthly_Bin|60-90</v>
      </c>
      <c r="V237" t="str">
        <f t="shared" si="71"/>
        <v>Usage_Bin|20-40</v>
      </c>
      <c r="W237">
        <f t="shared" si="72"/>
        <v>0</v>
      </c>
      <c r="X237">
        <f t="shared" si="73"/>
        <v>0</v>
      </c>
      <c r="Y237">
        <f t="shared" si="74"/>
        <v>2</v>
      </c>
      <c r="Z237">
        <f t="shared" si="75"/>
        <v>1</v>
      </c>
      <c r="AA237">
        <f t="shared" si="76"/>
        <v>1</v>
      </c>
      <c r="AB237" s="51">
        <f t="shared" si="77"/>
        <v>4</v>
      </c>
      <c r="AC237" t="str">
        <f t="shared" si="78"/>
        <v>Medium</v>
      </c>
      <c r="AD237" t="str">
        <f t="shared" si="79"/>
        <v>No</v>
      </c>
      <c r="AE237">
        <f t="shared" si="80"/>
        <v>0</v>
      </c>
      <c r="AF237">
        <f xml:space="preserve">
_xlfn.XLOOKUP(AB237, '3.3 Calibration'!$A$2:$A$14, '3.3 Calibration'!$F$2:$F$14,
        '3.3 Calibration'!$D$2, 1)</f>
        <v>0.40740740740740738</v>
      </c>
      <c r="AG237" t="str">
        <f t="shared" si="81"/>
        <v>No</v>
      </c>
      <c r="AH237" t="str">
        <f t="shared" si="82"/>
        <v>Medium</v>
      </c>
      <c r="AI237" t="e">
        <f t="shared" si="83"/>
        <v>#N/A</v>
      </c>
    </row>
    <row r="238" spans="1:35" x14ac:dyDescent="0.2">
      <c r="A238">
        <v>237</v>
      </c>
      <c r="B238">
        <v>36</v>
      </c>
      <c r="C238" t="s">
        <v>15</v>
      </c>
      <c r="D238">
        <v>64</v>
      </c>
      <c r="E238">
        <v>26.66</v>
      </c>
      <c r="F238" t="s">
        <v>18</v>
      </c>
      <c r="G238" t="s">
        <v>24</v>
      </c>
      <c r="H238">
        <v>2</v>
      </c>
      <c r="I238">
        <v>29.2</v>
      </c>
      <c r="J238">
        <v>9</v>
      </c>
      <c r="K238">
        <v>1705.11</v>
      </c>
      <c r="L238">
        <v>0</v>
      </c>
      <c r="M238" t="s">
        <v>134</v>
      </c>
      <c r="N238" t="str">
        <f t="shared" si="63"/>
        <v>&gt;=24</v>
      </c>
      <c r="O238" t="str">
        <f t="shared" si="64"/>
        <v>&lt;30</v>
      </c>
      <c r="P238" t="str">
        <f t="shared" si="65"/>
        <v>7-10</v>
      </c>
      <c r="Q238" t="str">
        <f t="shared" si="66"/>
        <v>20-40</v>
      </c>
      <c r="R238" t="str">
        <f t="shared" si="67"/>
        <v>ContractType|1-Year</v>
      </c>
      <c r="S238" t="str">
        <f t="shared" si="68"/>
        <v>Tenure_Bin|&gt;=24</v>
      </c>
      <c r="T238" t="str">
        <f t="shared" si="69"/>
        <v>Satis_Bin|7-10</v>
      </c>
      <c r="U238" t="str">
        <f t="shared" si="70"/>
        <v>Monthly_Bin|&lt;30</v>
      </c>
      <c r="V238" t="str">
        <f t="shared" si="71"/>
        <v>Usage_Bin|20-40</v>
      </c>
      <c r="W238">
        <f t="shared" si="72"/>
        <v>1</v>
      </c>
      <c r="X238">
        <f t="shared" si="73"/>
        <v>0</v>
      </c>
      <c r="Y238">
        <f t="shared" si="74"/>
        <v>0</v>
      </c>
      <c r="Z238">
        <f t="shared" si="75"/>
        <v>0</v>
      </c>
      <c r="AA238">
        <f t="shared" si="76"/>
        <v>1</v>
      </c>
      <c r="AB238" s="51">
        <f t="shared" si="77"/>
        <v>2</v>
      </c>
      <c r="AC238" t="str">
        <f t="shared" si="78"/>
        <v>Low</v>
      </c>
      <c r="AD238" t="str">
        <f t="shared" si="79"/>
        <v>No</v>
      </c>
      <c r="AE238">
        <f t="shared" si="80"/>
        <v>0</v>
      </c>
      <c r="AF238">
        <f xml:space="preserve">
_xlfn.XLOOKUP(AB238, '3.3 Calibration'!$A$2:$A$14, '3.3 Calibration'!$F$2:$F$14,
        '3.3 Calibration'!$D$2, 1)</f>
        <v>0.6</v>
      </c>
      <c r="AG238" t="str">
        <f t="shared" si="81"/>
        <v>Yes</v>
      </c>
      <c r="AH238" t="str">
        <f t="shared" si="82"/>
        <v>High</v>
      </c>
      <c r="AI238" t="str">
        <f t="shared" si="83"/>
        <v>&gt;=24</v>
      </c>
    </row>
    <row r="239" spans="1:35" x14ac:dyDescent="0.2">
      <c r="A239">
        <v>238</v>
      </c>
      <c r="B239">
        <v>19</v>
      </c>
      <c r="C239" t="s">
        <v>15</v>
      </c>
      <c r="D239">
        <v>27</v>
      </c>
      <c r="E239">
        <v>42.9</v>
      </c>
      <c r="F239" t="s">
        <v>18</v>
      </c>
      <c r="G239" t="s">
        <v>23</v>
      </c>
      <c r="H239">
        <v>2</v>
      </c>
      <c r="I239">
        <v>82.8</v>
      </c>
      <c r="J239">
        <v>9</v>
      </c>
      <c r="K239">
        <v>1108.32</v>
      </c>
      <c r="L239">
        <v>0</v>
      </c>
      <c r="M239" t="s">
        <v>133</v>
      </c>
      <c r="N239" t="str">
        <f t="shared" si="63"/>
        <v>&gt;=24</v>
      </c>
      <c r="O239" t="str">
        <f t="shared" si="64"/>
        <v>30-60</v>
      </c>
      <c r="P239" t="str">
        <f t="shared" si="65"/>
        <v>7-10</v>
      </c>
      <c r="Q239" t="str">
        <f t="shared" si="66"/>
        <v>&gt;=80</v>
      </c>
      <c r="R239" t="str">
        <f t="shared" si="67"/>
        <v>ContractType|1-Year</v>
      </c>
      <c r="S239" t="str">
        <f t="shared" si="68"/>
        <v>Tenure_Bin|&gt;=24</v>
      </c>
      <c r="T239" t="str">
        <f t="shared" si="69"/>
        <v>Satis_Bin|7-10</v>
      </c>
      <c r="U239" t="str">
        <f t="shared" si="70"/>
        <v>Monthly_Bin|30-60</v>
      </c>
      <c r="V239" t="str">
        <f t="shared" si="71"/>
        <v>Usage_Bin|&gt;=80</v>
      </c>
      <c r="W239">
        <f t="shared" si="72"/>
        <v>1</v>
      </c>
      <c r="X239">
        <f t="shared" si="73"/>
        <v>0</v>
      </c>
      <c r="Y239">
        <f t="shared" si="74"/>
        <v>0</v>
      </c>
      <c r="Z239">
        <f t="shared" si="75"/>
        <v>0</v>
      </c>
      <c r="AA239">
        <f t="shared" si="76"/>
        <v>0</v>
      </c>
      <c r="AB239" s="51">
        <f t="shared" si="77"/>
        <v>1</v>
      </c>
      <c r="AC239" t="str">
        <f t="shared" si="78"/>
        <v>Low</v>
      </c>
      <c r="AD239" t="str">
        <f t="shared" si="79"/>
        <v>No</v>
      </c>
      <c r="AE239">
        <f t="shared" si="80"/>
        <v>0</v>
      </c>
      <c r="AF239">
        <f xml:space="preserve">
_xlfn.XLOOKUP(AB239, '3.3 Calibration'!$A$2:$A$14, '3.3 Calibration'!$F$2:$F$14,
        '3.3 Calibration'!$D$2, 1)</f>
        <v>0.25</v>
      </c>
      <c r="AG239" t="str">
        <f t="shared" si="81"/>
        <v>No</v>
      </c>
      <c r="AH239" t="str">
        <f t="shared" si="82"/>
        <v>Low</v>
      </c>
      <c r="AI239" t="e">
        <f t="shared" si="83"/>
        <v>#N/A</v>
      </c>
    </row>
    <row r="240" spans="1:35" x14ac:dyDescent="0.2">
      <c r="A240">
        <v>239</v>
      </c>
      <c r="B240">
        <v>61</v>
      </c>
      <c r="C240" t="s">
        <v>16</v>
      </c>
      <c r="D240">
        <v>63</v>
      </c>
      <c r="E240">
        <v>74.28</v>
      </c>
      <c r="F240" t="s">
        <v>20</v>
      </c>
      <c r="G240" t="s">
        <v>22</v>
      </c>
      <c r="H240">
        <v>1</v>
      </c>
      <c r="I240">
        <v>88.6</v>
      </c>
      <c r="J240">
        <v>7</v>
      </c>
      <c r="K240">
        <v>4336.93</v>
      </c>
      <c r="L240">
        <v>1</v>
      </c>
      <c r="M240" t="s">
        <v>134</v>
      </c>
      <c r="N240" t="str">
        <f t="shared" si="63"/>
        <v>&gt;=24</v>
      </c>
      <c r="O240" t="str">
        <f t="shared" si="64"/>
        <v>60-90</v>
      </c>
      <c r="P240" t="str">
        <f t="shared" si="65"/>
        <v>7-10</v>
      </c>
      <c r="Q240" t="str">
        <f t="shared" si="66"/>
        <v>&gt;=80</v>
      </c>
      <c r="R240" t="str">
        <f t="shared" si="67"/>
        <v>ContractType|Month-to-Month</v>
      </c>
      <c r="S240" t="str">
        <f t="shared" si="68"/>
        <v>Tenure_Bin|&gt;=24</v>
      </c>
      <c r="T240" t="str">
        <f t="shared" si="69"/>
        <v>Satis_Bin|7-10</v>
      </c>
      <c r="U240" t="str">
        <f t="shared" si="70"/>
        <v>Monthly_Bin|60-90</v>
      </c>
      <c r="V240" t="str">
        <f t="shared" si="71"/>
        <v>Usage_Bin|&gt;=80</v>
      </c>
      <c r="W240">
        <f t="shared" si="72"/>
        <v>3</v>
      </c>
      <c r="X240">
        <f t="shared" si="73"/>
        <v>0</v>
      </c>
      <c r="Y240">
        <f t="shared" si="74"/>
        <v>0</v>
      </c>
      <c r="Z240">
        <f t="shared" si="75"/>
        <v>1</v>
      </c>
      <c r="AA240">
        <f t="shared" si="76"/>
        <v>0</v>
      </c>
      <c r="AB240" s="51">
        <f t="shared" si="77"/>
        <v>4</v>
      </c>
      <c r="AC240" t="str">
        <f t="shared" si="78"/>
        <v>Medium</v>
      </c>
      <c r="AD240" t="str">
        <f t="shared" si="79"/>
        <v>No</v>
      </c>
      <c r="AE240">
        <f t="shared" si="80"/>
        <v>0</v>
      </c>
      <c r="AF240">
        <f xml:space="preserve">
_xlfn.XLOOKUP(AB240, '3.3 Calibration'!$A$2:$A$14, '3.3 Calibration'!$F$2:$F$14,
        '3.3 Calibration'!$D$2, 1)</f>
        <v>0.40740740740740738</v>
      </c>
      <c r="AG240" t="str">
        <f t="shared" si="81"/>
        <v>No</v>
      </c>
      <c r="AH240" t="str">
        <f t="shared" si="82"/>
        <v>Medium</v>
      </c>
      <c r="AI240" t="e">
        <f t="shared" si="83"/>
        <v>#N/A</v>
      </c>
    </row>
    <row r="241" spans="1:35" x14ac:dyDescent="0.2">
      <c r="A241">
        <v>240</v>
      </c>
      <c r="B241">
        <v>43</v>
      </c>
      <c r="C241" t="s">
        <v>16</v>
      </c>
      <c r="D241">
        <v>17</v>
      </c>
      <c r="E241">
        <v>63.15</v>
      </c>
      <c r="F241" t="s">
        <v>20</v>
      </c>
      <c r="G241" t="s">
        <v>24</v>
      </c>
      <c r="H241">
        <v>2</v>
      </c>
      <c r="I241">
        <v>54.9</v>
      </c>
      <c r="J241">
        <v>3</v>
      </c>
      <c r="K241">
        <v>1101.3699999999999</v>
      </c>
      <c r="L241">
        <v>0</v>
      </c>
      <c r="M241" t="s">
        <v>134</v>
      </c>
      <c r="N241" t="str">
        <f t="shared" si="63"/>
        <v>12-24</v>
      </c>
      <c r="O241" t="str">
        <f t="shared" si="64"/>
        <v>60-90</v>
      </c>
      <c r="P241" t="str">
        <f t="shared" si="65"/>
        <v>1-3</v>
      </c>
      <c r="Q241" t="str">
        <f t="shared" si="66"/>
        <v>40-80</v>
      </c>
      <c r="R241" t="str">
        <f t="shared" si="67"/>
        <v>ContractType|Month-to-Month</v>
      </c>
      <c r="S241" t="str">
        <f t="shared" si="68"/>
        <v>Tenure_Bin|12-24</v>
      </c>
      <c r="T241" t="str">
        <f t="shared" si="69"/>
        <v>Satis_Bin|1-3</v>
      </c>
      <c r="U241" t="str">
        <f t="shared" si="70"/>
        <v>Monthly_Bin|60-90</v>
      </c>
      <c r="V241" t="str">
        <f t="shared" si="71"/>
        <v>Usage_Bin|40-80</v>
      </c>
      <c r="W241">
        <f t="shared" si="72"/>
        <v>3</v>
      </c>
      <c r="X241">
        <f t="shared" si="73"/>
        <v>1</v>
      </c>
      <c r="Y241">
        <f t="shared" si="74"/>
        <v>4</v>
      </c>
      <c r="Z241">
        <f t="shared" si="75"/>
        <v>1</v>
      </c>
      <c r="AA241">
        <f t="shared" si="76"/>
        <v>0</v>
      </c>
      <c r="AB241" s="51">
        <f t="shared" si="77"/>
        <v>9</v>
      </c>
      <c r="AC241" t="str">
        <f t="shared" si="78"/>
        <v>High</v>
      </c>
      <c r="AD241" t="str">
        <f t="shared" si="79"/>
        <v>No</v>
      </c>
      <c r="AE241">
        <f t="shared" si="80"/>
        <v>0</v>
      </c>
      <c r="AF241">
        <f xml:space="preserve">
_xlfn.XLOOKUP(AB241, '3.3 Calibration'!$A$2:$A$14, '3.3 Calibration'!$F$2:$F$14,
        '3.3 Calibration'!$D$2, 1)</f>
        <v>0.54545454545454541</v>
      </c>
      <c r="AG241" t="str">
        <f t="shared" si="81"/>
        <v>Yes</v>
      </c>
      <c r="AH241" t="str">
        <f t="shared" si="82"/>
        <v>Medium</v>
      </c>
      <c r="AI241" t="e">
        <f t="shared" si="83"/>
        <v>#N/A</v>
      </c>
    </row>
    <row r="242" spans="1:35" x14ac:dyDescent="0.2">
      <c r="A242">
        <v>241</v>
      </c>
      <c r="B242">
        <v>49</v>
      </c>
      <c r="C242" t="s">
        <v>16</v>
      </c>
      <c r="D242">
        <v>33</v>
      </c>
      <c r="E242">
        <v>53.28</v>
      </c>
      <c r="F242" t="s">
        <v>19</v>
      </c>
      <c r="G242" t="s">
        <v>24</v>
      </c>
      <c r="H242">
        <v>2</v>
      </c>
      <c r="I242">
        <v>28.2</v>
      </c>
      <c r="J242">
        <v>4</v>
      </c>
      <c r="K242">
        <v>1601.52</v>
      </c>
      <c r="L242">
        <v>1</v>
      </c>
      <c r="M242" t="s">
        <v>133</v>
      </c>
      <c r="N242" t="str">
        <f t="shared" si="63"/>
        <v>&gt;=24</v>
      </c>
      <c r="O242" t="str">
        <f t="shared" si="64"/>
        <v>30-60</v>
      </c>
      <c r="P242" t="str">
        <f t="shared" si="65"/>
        <v>4-6</v>
      </c>
      <c r="Q242" t="str">
        <f t="shared" si="66"/>
        <v>20-40</v>
      </c>
      <c r="R242" t="str">
        <f t="shared" si="67"/>
        <v>ContractType|2-Year</v>
      </c>
      <c r="S242" t="str">
        <f t="shared" si="68"/>
        <v>Tenure_Bin|&gt;=24</v>
      </c>
      <c r="T242" t="str">
        <f t="shared" si="69"/>
        <v>Satis_Bin|4-6</v>
      </c>
      <c r="U242" t="str">
        <f t="shared" si="70"/>
        <v>Monthly_Bin|30-60</v>
      </c>
      <c r="V242" t="str">
        <f t="shared" si="71"/>
        <v>Usage_Bin|20-40</v>
      </c>
      <c r="W242">
        <f t="shared" si="72"/>
        <v>0</v>
      </c>
      <c r="X242">
        <f t="shared" si="73"/>
        <v>0</v>
      </c>
      <c r="Y242">
        <f t="shared" si="74"/>
        <v>2</v>
      </c>
      <c r="Z242">
        <f t="shared" si="75"/>
        <v>0</v>
      </c>
      <c r="AA242">
        <f t="shared" si="76"/>
        <v>1</v>
      </c>
      <c r="AB242" s="51">
        <f t="shared" si="77"/>
        <v>3</v>
      </c>
      <c r="AC242" t="str">
        <f t="shared" si="78"/>
        <v>Low</v>
      </c>
      <c r="AD242" t="str">
        <f t="shared" si="79"/>
        <v>No</v>
      </c>
      <c r="AE242">
        <f t="shared" si="80"/>
        <v>0</v>
      </c>
      <c r="AF242">
        <f xml:space="preserve">
_xlfn.XLOOKUP(AB242, '3.3 Calibration'!$A$2:$A$14, '3.3 Calibration'!$F$2:$F$14,
        '3.3 Calibration'!$D$2, 1)</f>
        <v>0.42105263157894735</v>
      </c>
      <c r="AG242" t="str">
        <f t="shared" si="81"/>
        <v>No</v>
      </c>
      <c r="AH242" t="str">
        <f t="shared" si="82"/>
        <v>Medium</v>
      </c>
      <c r="AI242" t="e">
        <f t="shared" si="83"/>
        <v>#N/A</v>
      </c>
    </row>
    <row r="243" spans="1:35" x14ac:dyDescent="0.2">
      <c r="A243">
        <v>242</v>
      </c>
      <c r="B243">
        <v>23</v>
      </c>
      <c r="C243" t="s">
        <v>15</v>
      </c>
      <c r="D243">
        <v>29</v>
      </c>
      <c r="E243">
        <v>93.05</v>
      </c>
      <c r="F243" t="s">
        <v>18</v>
      </c>
      <c r="G243" t="s">
        <v>22</v>
      </c>
      <c r="H243">
        <v>2</v>
      </c>
      <c r="I243">
        <v>15.7</v>
      </c>
      <c r="J243">
        <v>6</v>
      </c>
      <c r="K243">
        <v>2832.64</v>
      </c>
      <c r="L243">
        <v>1</v>
      </c>
      <c r="M243" t="s">
        <v>134</v>
      </c>
      <c r="N243" t="str">
        <f t="shared" si="63"/>
        <v>&gt;=24</v>
      </c>
      <c r="O243" t="str">
        <f t="shared" si="64"/>
        <v>&gt;=90</v>
      </c>
      <c r="P243" t="str">
        <f t="shared" si="65"/>
        <v>4-6</v>
      </c>
      <c r="Q243" t="str">
        <f t="shared" si="66"/>
        <v>&lt;20</v>
      </c>
      <c r="R243" t="str">
        <f t="shared" si="67"/>
        <v>ContractType|1-Year</v>
      </c>
      <c r="S243" t="str">
        <f t="shared" si="68"/>
        <v>Tenure_Bin|&gt;=24</v>
      </c>
      <c r="T243" t="str">
        <f t="shared" si="69"/>
        <v>Satis_Bin|4-6</v>
      </c>
      <c r="U243" t="str">
        <f t="shared" si="70"/>
        <v>Monthly_Bin|&gt;=90</v>
      </c>
      <c r="V243" t="str">
        <f t="shared" si="71"/>
        <v>Usage_Bin|&lt;20</v>
      </c>
      <c r="W243">
        <f t="shared" si="72"/>
        <v>1</v>
      </c>
      <c r="X243">
        <f t="shared" si="73"/>
        <v>0</v>
      </c>
      <c r="Y243">
        <f t="shared" si="74"/>
        <v>2</v>
      </c>
      <c r="Z243">
        <f t="shared" si="75"/>
        <v>2</v>
      </c>
      <c r="AA243">
        <f t="shared" si="76"/>
        <v>2</v>
      </c>
      <c r="AB243" s="51">
        <f t="shared" si="77"/>
        <v>7</v>
      </c>
      <c r="AC243" t="str">
        <f t="shared" si="78"/>
        <v>High</v>
      </c>
      <c r="AD243" t="str">
        <f t="shared" si="79"/>
        <v>No</v>
      </c>
      <c r="AE243">
        <f t="shared" si="80"/>
        <v>0</v>
      </c>
      <c r="AF243">
        <f xml:space="preserve">
_xlfn.XLOOKUP(AB243, '3.3 Calibration'!$A$2:$A$14, '3.3 Calibration'!$F$2:$F$14,
        '3.3 Calibration'!$D$2, 1)</f>
        <v>0.54166666666666663</v>
      </c>
      <c r="AG243" t="str">
        <f t="shared" si="81"/>
        <v>Yes</v>
      </c>
      <c r="AH243" t="str">
        <f t="shared" si="82"/>
        <v>Medium</v>
      </c>
      <c r="AI243" t="e">
        <f t="shared" si="83"/>
        <v>#N/A</v>
      </c>
    </row>
    <row r="244" spans="1:35" x14ac:dyDescent="0.2">
      <c r="A244">
        <v>243</v>
      </c>
      <c r="B244">
        <v>49</v>
      </c>
      <c r="C244" t="s">
        <v>15</v>
      </c>
      <c r="D244">
        <v>13</v>
      </c>
      <c r="E244">
        <v>89.37</v>
      </c>
      <c r="F244" t="s">
        <v>18</v>
      </c>
      <c r="G244" t="s">
        <v>22</v>
      </c>
      <c r="H244">
        <v>1</v>
      </c>
      <c r="I244">
        <v>13.3</v>
      </c>
      <c r="J244">
        <v>5</v>
      </c>
      <c r="K244">
        <v>1119.42</v>
      </c>
      <c r="L244">
        <v>0</v>
      </c>
      <c r="M244" t="s">
        <v>134</v>
      </c>
      <c r="N244" t="str">
        <f t="shared" si="63"/>
        <v>12-24</v>
      </c>
      <c r="O244" t="str">
        <f t="shared" si="64"/>
        <v>60-90</v>
      </c>
      <c r="P244" t="str">
        <f t="shared" si="65"/>
        <v>4-6</v>
      </c>
      <c r="Q244" t="str">
        <f t="shared" si="66"/>
        <v>&lt;20</v>
      </c>
      <c r="R244" t="str">
        <f t="shared" si="67"/>
        <v>ContractType|1-Year</v>
      </c>
      <c r="S244" t="str">
        <f t="shared" si="68"/>
        <v>Tenure_Bin|12-24</v>
      </c>
      <c r="T244" t="str">
        <f t="shared" si="69"/>
        <v>Satis_Bin|4-6</v>
      </c>
      <c r="U244" t="str">
        <f t="shared" si="70"/>
        <v>Monthly_Bin|60-90</v>
      </c>
      <c r="V244" t="str">
        <f t="shared" si="71"/>
        <v>Usage_Bin|&lt;20</v>
      </c>
      <c r="W244">
        <f t="shared" si="72"/>
        <v>1</v>
      </c>
      <c r="X244">
        <f t="shared" si="73"/>
        <v>1</v>
      </c>
      <c r="Y244">
        <f t="shared" si="74"/>
        <v>2</v>
      </c>
      <c r="Z244">
        <f t="shared" si="75"/>
        <v>1</v>
      </c>
      <c r="AA244">
        <f t="shared" si="76"/>
        <v>2</v>
      </c>
      <c r="AB244" s="51">
        <f t="shared" si="77"/>
        <v>7</v>
      </c>
      <c r="AC244" t="str">
        <f t="shared" si="78"/>
        <v>High</v>
      </c>
      <c r="AD244" t="str">
        <f t="shared" si="79"/>
        <v>No</v>
      </c>
      <c r="AE244">
        <f t="shared" si="80"/>
        <v>0</v>
      </c>
      <c r="AF244">
        <f xml:space="preserve">
_xlfn.XLOOKUP(AB244, '3.3 Calibration'!$A$2:$A$14, '3.3 Calibration'!$F$2:$F$14,
        '3.3 Calibration'!$D$2, 1)</f>
        <v>0.54166666666666663</v>
      </c>
      <c r="AG244" t="str">
        <f t="shared" si="81"/>
        <v>Yes</v>
      </c>
      <c r="AH244" t="str">
        <f t="shared" si="82"/>
        <v>Medium</v>
      </c>
      <c r="AI244" t="e">
        <f t="shared" si="83"/>
        <v>#N/A</v>
      </c>
    </row>
    <row r="245" spans="1:35" x14ac:dyDescent="0.2">
      <c r="A245">
        <v>244</v>
      </c>
      <c r="B245">
        <v>21</v>
      </c>
      <c r="C245" t="s">
        <v>15</v>
      </c>
      <c r="D245">
        <v>46</v>
      </c>
      <c r="E245">
        <v>36.67</v>
      </c>
      <c r="F245" t="s">
        <v>18</v>
      </c>
      <c r="G245" t="s">
        <v>22</v>
      </c>
      <c r="H245">
        <v>3</v>
      </c>
      <c r="I245">
        <v>73.3</v>
      </c>
      <c r="J245">
        <v>2</v>
      </c>
      <c r="K245">
        <v>1518.18</v>
      </c>
      <c r="L245">
        <v>1</v>
      </c>
      <c r="M245" t="s">
        <v>134</v>
      </c>
      <c r="N245" t="str">
        <f t="shared" si="63"/>
        <v>&gt;=24</v>
      </c>
      <c r="O245" t="str">
        <f t="shared" si="64"/>
        <v>30-60</v>
      </c>
      <c r="P245" t="str">
        <f t="shared" si="65"/>
        <v>1-3</v>
      </c>
      <c r="Q245" t="str">
        <f t="shared" si="66"/>
        <v>40-80</v>
      </c>
      <c r="R245" t="str">
        <f t="shared" si="67"/>
        <v>ContractType|1-Year</v>
      </c>
      <c r="S245" t="str">
        <f t="shared" si="68"/>
        <v>Tenure_Bin|&gt;=24</v>
      </c>
      <c r="T245" t="str">
        <f t="shared" si="69"/>
        <v>Satis_Bin|1-3</v>
      </c>
      <c r="U245" t="str">
        <f t="shared" si="70"/>
        <v>Monthly_Bin|30-60</v>
      </c>
      <c r="V245" t="str">
        <f t="shared" si="71"/>
        <v>Usage_Bin|40-80</v>
      </c>
      <c r="W245">
        <f t="shared" si="72"/>
        <v>1</v>
      </c>
      <c r="X245">
        <f t="shared" si="73"/>
        <v>0</v>
      </c>
      <c r="Y245">
        <f t="shared" si="74"/>
        <v>4</v>
      </c>
      <c r="Z245">
        <f t="shared" si="75"/>
        <v>0</v>
      </c>
      <c r="AA245">
        <f t="shared" si="76"/>
        <v>0</v>
      </c>
      <c r="AB245" s="51">
        <f t="shared" si="77"/>
        <v>5</v>
      </c>
      <c r="AC245" t="str">
        <f t="shared" si="78"/>
        <v>Medium</v>
      </c>
      <c r="AD245" t="str">
        <f t="shared" si="79"/>
        <v>No</v>
      </c>
      <c r="AE245">
        <f t="shared" si="80"/>
        <v>0</v>
      </c>
      <c r="AF245">
        <f xml:space="preserve">
_xlfn.XLOOKUP(AB245, '3.3 Calibration'!$A$2:$A$14, '3.3 Calibration'!$F$2:$F$14,
        '3.3 Calibration'!$D$2, 1)</f>
        <v>0.33333333333333331</v>
      </c>
      <c r="AG245" t="str">
        <f t="shared" si="81"/>
        <v>No</v>
      </c>
      <c r="AH245" t="str">
        <f t="shared" si="82"/>
        <v>Low</v>
      </c>
      <c r="AI245" t="e">
        <f t="shared" si="83"/>
        <v>#N/A</v>
      </c>
    </row>
    <row r="246" spans="1:35" x14ac:dyDescent="0.2">
      <c r="A246">
        <v>245</v>
      </c>
      <c r="B246">
        <v>28</v>
      </c>
      <c r="C246" t="s">
        <v>15</v>
      </c>
      <c r="D246">
        <v>35</v>
      </c>
      <c r="E246">
        <v>107.86</v>
      </c>
      <c r="F246" t="s">
        <v>18</v>
      </c>
      <c r="G246" t="s">
        <v>23</v>
      </c>
      <c r="H246">
        <v>4</v>
      </c>
      <c r="I246">
        <v>44.9</v>
      </c>
      <c r="J246">
        <v>6</v>
      </c>
      <c r="K246">
        <v>3783.5</v>
      </c>
      <c r="L246">
        <v>0</v>
      </c>
      <c r="M246" t="s">
        <v>134</v>
      </c>
      <c r="N246" t="str">
        <f t="shared" si="63"/>
        <v>&gt;=24</v>
      </c>
      <c r="O246" t="str">
        <f t="shared" si="64"/>
        <v>&gt;=90</v>
      </c>
      <c r="P246" t="str">
        <f t="shared" si="65"/>
        <v>4-6</v>
      </c>
      <c r="Q246" t="str">
        <f t="shared" si="66"/>
        <v>40-80</v>
      </c>
      <c r="R246" t="str">
        <f t="shared" si="67"/>
        <v>ContractType|1-Year</v>
      </c>
      <c r="S246" t="str">
        <f t="shared" si="68"/>
        <v>Tenure_Bin|&gt;=24</v>
      </c>
      <c r="T246" t="str">
        <f t="shared" si="69"/>
        <v>Satis_Bin|4-6</v>
      </c>
      <c r="U246" t="str">
        <f t="shared" si="70"/>
        <v>Monthly_Bin|&gt;=90</v>
      </c>
      <c r="V246" t="str">
        <f t="shared" si="71"/>
        <v>Usage_Bin|40-80</v>
      </c>
      <c r="W246">
        <f t="shared" si="72"/>
        <v>1</v>
      </c>
      <c r="X246">
        <f t="shared" si="73"/>
        <v>0</v>
      </c>
      <c r="Y246">
        <f t="shared" si="74"/>
        <v>2</v>
      </c>
      <c r="Z246">
        <f t="shared" si="75"/>
        <v>2</v>
      </c>
      <c r="AA246">
        <f t="shared" si="76"/>
        <v>0</v>
      </c>
      <c r="AB246" s="51">
        <f t="shared" si="77"/>
        <v>5</v>
      </c>
      <c r="AC246" t="str">
        <f t="shared" si="78"/>
        <v>Medium</v>
      </c>
      <c r="AD246" t="str">
        <f t="shared" si="79"/>
        <v>No</v>
      </c>
      <c r="AE246">
        <f t="shared" si="80"/>
        <v>0</v>
      </c>
      <c r="AF246">
        <f xml:space="preserve">
_xlfn.XLOOKUP(AB246, '3.3 Calibration'!$A$2:$A$14, '3.3 Calibration'!$F$2:$F$14,
        '3.3 Calibration'!$D$2, 1)</f>
        <v>0.33333333333333331</v>
      </c>
      <c r="AG246" t="str">
        <f t="shared" si="81"/>
        <v>No</v>
      </c>
      <c r="AH246" t="str">
        <f t="shared" si="82"/>
        <v>Low</v>
      </c>
      <c r="AI246" t="e">
        <f t="shared" si="83"/>
        <v>#N/A</v>
      </c>
    </row>
    <row r="247" spans="1:35" x14ac:dyDescent="0.2">
      <c r="A247">
        <v>246</v>
      </c>
      <c r="B247">
        <v>34</v>
      </c>
      <c r="C247" t="s">
        <v>16</v>
      </c>
      <c r="D247">
        <v>6</v>
      </c>
      <c r="E247">
        <v>69.540000000000006</v>
      </c>
      <c r="F247" t="s">
        <v>18</v>
      </c>
      <c r="G247" t="s">
        <v>23</v>
      </c>
      <c r="H247">
        <v>2</v>
      </c>
      <c r="I247">
        <v>91</v>
      </c>
      <c r="J247">
        <v>3</v>
      </c>
      <c r="K247">
        <v>379.43</v>
      </c>
      <c r="L247">
        <v>1</v>
      </c>
      <c r="M247" t="s">
        <v>134</v>
      </c>
      <c r="N247" t="str">
        <f t="shared" si="63"/>
        <v>6-12</v>
      </c>
      <c r="O247" t="str">
        <f t="shared" si="64"/>
        <v>60-90</v>
      </c>
      <c r="P247" t="str">
        <f t="shared" si="65"/>
        <v>1-3</v>
      </c>
      <c r="Q247" t="str">
        <f t="shared" si="66"/>
        <v>&gt;=80</v>
      </c>
      <c r="R247" t="str">
        <f t="shared" si="67"/>
        <v>ContractType|1-Year</v>
      </c>
      <c r="S247" t="str">
        <f t="shared" si="68"/>
        <v>Tenure_Bin|6-12</v>
      </c>
      <c r="T247" t="str">
        <f t="shared" si="69"/>
        <v>Satis_Bin|1-3</v>
      </c>
      <c r="U247" t="str">
        <f t="shared" si="70"/>
        <v>Monthly_Bin|60-90</v>
      </c>
      <c r="V247" t="str">
        <f t="shared" si="71"/>
        <v>Usage_Bin|&gt;=80</v>
      </c>
      <c r="W247">
        <f t="shared" si="72"/>
        <v>1</v>
      </c>
      <c r="X247">
        <f t="shared" si="73"/>
        <v>2</v>
      </c>
      <c r="Y247">
        <f t="shared" si="74"/>
        <v>4</v>
      </c>
      <c r="Z247">
        <f t="shared" si="75"/>
        <v>1</v>
      </c>
      <c r="AA247">
        <f t="shared" si="76"/>
        <v>0</v>
      </c>
      <c r="AB247" s="51">
        <f t="shared" si="77"/>
        <v>8</v>
      </c>
      <c r="AC247" t="str">
        <f t="shared" si="78"/>
        <v>High</v>
      </c>
      <c r="AD247" t="str">
        <f t="shared" si="79"/>
        <v>No</v>
      </c>
      <c r="AE247">
        <f t="shared" si="80"/>
        <v>0</v>
      </c>
      <c r="AF247">
        <f xml:space="preserve">
_xlfn.XLOOKUP(AB247, '3.3 Calibration'!$A$2:$A$14, '3.3 Calibration'!$F$2:$F$14,
        '3.3 Calibration'!$D$2, 1)</f>
        <v>0.73684210526315785</v>
      </c>
      <c r="AG247" t="str">
        <f t="shared" si="81"/>
        <v>Yes</v>
      </c>
      <c r="AH247" t="str">
        <f t="shared" si="82"/>
        <v>High</v>
      </c>
      <c r="AI247" t="str">
        <f t="shared" si="83"/>
        <v>6-12</v>
      </c>
    </row>
    <row r="248" spans="1:35" x14ac:dyDescent="0.2">
      <c r="A248">
        <v>247</v>
      </c>
      <c r="B248">
        <v>55</v>
      </c>
      <c r="C248" t="s">
        <v>16</v>
      </c>
      <c r="D248">
        <v>69</v>
      </c>
      <c r="E248">
        <v>94.15</v>
      </c>
      <c r="F248" t="s">
        <v>19</v>
      </c>
      <c r="G248" t="s">
        <v>24</v>
      </c>
      <c r="H248">
        <v>3</v>
      </c>
      <c r="I248">
        <v>75.3</v>
      </c>
      <c r="J248">
        <v>8</v>
      </c>
      <c r="K248">
        <v>6205.53</v>
      </c>
      <c r="L248">
        <v>1</v>
      </c>
      <c r="M248" t="s">
        <v>133</v>
      </c>
      <c r="N248" t="str">
        <f t="shared" si="63"/>
        <v>&gt;=24</v>
      </c>
      <c r="O248" t="str">
        <f t="shared" si="64"/>
        <v>&gt;=90</v>
      </c>
      <c r="P248" t="str">
        <f t="shared" si="65"/>
        <v>7-10</v>
      </c>
      <c r="Q248" t="str">
        <f t="shared" si="66"/>
        <v>40-80</v>
      </c>
      <c r="R248" t="str">
        <f t="shared" si="67"/>
        <v>ContractType|2-Year</v>
      </c>
      <c r="S248" t="str">
        <f t="shared" si="68"/>
        <v>Tenure_Bin|&gt;=24</v>
      </c>
      <c r="T248" t="str">
        <f t="shared" si="69"/>
        <v>Satis_Bin|7-10</v>
      </c>
      <c r="U248" t="str">
        <f t="shared" si="70"/>
        <v>Monthly_Bin|&gt;=90</v>
      </c>
      <c r="V248" t="str">
        <f t="shared" si="71"/>
        <v>Usage_Bin|40-80</v>
      </c>
      <c r="W248">
        <f t="shared" si="72"/>
        <v>0</v>
      </c>
      <c r="X248">
        <f t="shared" si="73"/>
        <v>0</v>
      </c>
      <c r="Y248">
        <f t="shared" si="74"/>
        <v>0</v>
      </c>
      <c r="Z248">
        <f t="shared" si="75"/>
        <v>2</v>
      </c>
      <c r="AA248">
        <f t="shared" si="76"/>
        <v>0</v>
      </c>
      <c r="AB248" s="51">
        <f t="shared" si="77"/>
        <v>2</v>
      </c>
      <c r="AC248" t="str">
        <f t="shared" si="78"/>
        <v>Low</v>
      </c>
      <c r="AD248" t="str">
        <f t="shared" si="79"/>
        <v>No</v>
      </c>
      <c r="AE248">
        <f t="shared" si="80"/>
        <v>0</v>
      </c>
      <c r="AF248">
        <f xml:space="preserve">
_xlfn.XLOOKUP(AB248, '3.3 Calibration'!$A$2:$A$14, '3.3 Calibration'!$F$2:$F$14,
        '3.3 Calibration'!$D$2, 1)</f>
        <v>0.6</v>
      </c>
      <c r="AG248" t="str">
        <f t="shared" si="81"/>
        <v>Yes</v>
      </c>
      <c r="AH248" t="str">
        <f t="shared" si="82"/>
        <v>High</v>
      </c>
      <c r="AI248" t="str">
        <f t="shared" si="83"/>
        <v>&gt;=24</v>
      </c>
    </row>
    <row r="249" spans="1:35" x14ac:dyDescent="0.2">
      <c r="A249">
        <v>248</v>
      </c>
      <c r="B249">
        <v>41</v>
      </c>
      <c r="C249" t="s">
        <v>15</v>
      </c>
      <c r="D249">
        <v>47</v>
      </c>
      <c r="E249">
        <v>77.319999999999993</v>
      </c>
      <c r="F249" t="s">
        <v>19</v>
      </c>
      <c r="G249" t="s">
        <v>22</v>
      </c>
      <c r="H249">
        <v>3</v>
      </c>
      <c r="I249">
        <v>23.2</v>
      </c>
      <c r="J249">
        <v>2</v>
      </c>
      <c r="K249">
        <v>3784.47</v>
      </c>
      <c r="L249">
        <v>1</v>
      </c>
      <c r="M249" t="s">
        <v>134</v>
      </c>
      <c r="N249" t="str">
        <f t="shared" si="63"/>
        <v>&gt;=24</v>
      </c>
      <c r="O249" t="str">
        <f t="shared" si="64"/>
        <v>60-90</v>
      </c>
      <c r="P249" t="str">
        <f t="shared" si="65"/>
        <v>1-3</v>
      </c>
      <c r="Q249" t="str">
        <f t="shared" si="66"/>
        <v>20-40</v>
      </c>
      <c r="R249" t="str">
        <f t="shared" si="67"/>
        <v>ContractType|2-Year</v>
      </c>
      <c r="S249" t="str">
        <f t="shared" si="68"/>
        <v>Tenure_Bin|&gt;=24</v>
      </c>
      <c r="T249" t="str">
        <f t="shared" si="69"/>
        <v>Satis_Bin|1-3</v>
      </c>
      <c r="U249" t="str">
        <f t="shared" si="70"/>
        <v>Monthly_Bin|60-90</v>
      </c>
      <c r="V249" t="str">
        <f t="shared" si="71"/>
        <v>Usage_Bin|20-40</v>
      </c>
      <c r="W249">
        <f t="shared" si="72"/>
        <v>0</v>
      </c>
      <c r="X249">
        <f t="shared" si="73"/>
        <v>0</v>
      </c>
      <c r="Y249">
        <f t="shared" si="74"/>
        <v>4</v>
      </c>
      <c r="Z249">
        <f t="shared" si="75"/>
        <v>1</v>
      </c>
      <c r="AA249">
        <f t="shared" si="76"/>
        <v>1</v>
      </c>
      <c r="AB249" s="51">
        <f t="shared" si="77"/>
        <v>6</v>
      </c>
      <c r="AC249" t="str">
        <f t="shared" si="78"/>
        <v>Medium</v>
      </c>
      <c r="AD249" t="str">
        <f t="shared" si="79"/>
        <v>No</v>
      </c>
      <c r="AE249">
        <f t="shared" si="80"/>
        <v>0</v>
      </c>
      <c r="AF249">
        <f xml:space="preserve">
_xlfn.XLOOKUP(AB249, '3.3 Calibration'!$A$2:$A$14, '3.3 Calibration'!$F$2:$F$14,
        '3.3 Calibration'!$D$2, 1)</f>
        <v>0.33333333333333331</v>
      </c>
      <c r="AG249" t="str">
        <f t="shared" si="81"/>
        <v>No</v>
      </c>
      <c r="AH249" t="str">
        <f t="shared" si="82"/>
        <v>Low</v>
      </c>
      <c r="AI249" t="e">
        <f t="shared" si="83"/>
        <v>#N/A</v>
      </c>
    </row>
    <row r="250" spans="1:35" x14ac:dyDescent="0.2">
      <c r="A250">
        <v>249</v>
      </c>
      <c r="B250">
        <v>22</v>
      </c>
      <c r="C250" t="s">
        <v>16</v>
      </c>
      <c r="D250">
        <v>25</v>
      </c>
      <c r="E250">
        <v>119.77</v>
      </c>
      <c r="F250" t="s">
        <v>18</v>
      </c>
      <c r="G250" t="s">
        <v>23</v>
      </c>
      <c r="H250">
        <v>3</v>
      </c>
      <c r="I250">
        <v>63.3</v>
      </c>
      <c r="J250">
        <v>1</v>
      </c>
      <c r="K250">
        <v>2732.37</v>
      </c>
      <c r="L250">
        <v>1</v>
      </c>
      <c r="M250" t="s">
        <v>134</v>
      </c>
      <c r="N250" t="str">
        <f t="shared" si="63"/>
        <v>&gt;=24</v>
      </c>
      <c r="O250" t="str">
        <f t="shared" si="64"/>
        <v>&gt;=90</v>
      </c>
      <c r="P250" t="str">
        <f t="shared" si="65"/>
        <v>1-3</v>
      </c>
      <c r="Q250" t="str">
        <f t="shared" si="66"/>
        <v>40-80</v>
      </c>
      <c r="R250" t="str">
        <f t="shared" si="67"/>
        <v>ContractType|1-Year</v>
      </c>
      <c r="S250" t="str">
        <f t="shared" si="68"/>
        <v>Tenure_Bin|&gt;=24</v>
      </c>
      <c r="T250" t="str">
        <f t="shared" si="69"/>
        <v>Satis_Bin|1-3</v>
      </c>
      <c r="U250" t="str">
        <f t="shared" si="70"/>
        <v>Monthly_Bin|&gt;=90</v>
      </c>
      <c r="V250" t="str">
        <f t="shared" si="71"/>
        <v>Usage_Bin|40-80</v>
      </c>
      <c r="W250">
        <f t="shared" si="72"/>
        <v>1</v>
      </c>
      <c r="X250">
        <f t="shared" si="73"/>
        <v>0</v>
      </c>
      <c r="Y250">
        <f t="shared" si="74"/>
        <v>4</v>
      </c>
      <c r="Z250">
        <f t="shared" si="75"/>
        <v>2</v>
      </c>
      <c r="AA250">
        <f t="shared" si="76"/>
        <v>0</v>
      </c>
      <c r="AB250" s="51">
        <f t="shared" si="77"/>
        <v>7</v>
      </c>
      <c r="AC250" t="str">
        <f t="shared" si="78"/>
        <v>High</v>
      </c>
      <c r="AD250" t="str">
        <f t="shared" si="79"/>
        <v>No</v>
      </c>
      <c r="AE250">
        <f t="shared" si="80"/>
        <v>0</v>
      </c>
      <c r="AF250">
        <f xml:space="preserve">
_xlfn.XLOOKUP(AB250, '3.3 Calibration'!$A$2:$A$14, '3.3 Calibration'!$F$2:$F$14,
        '3.3 Calibration'!$D$2, 1)</f>
        <v>0.54166666666666663</v>
      </c>
      <c r="AG250" t="str">
        <f t="shared" si="81"/>
        <v>Yes</v>
      </c>
      <c r="AH250" t="str">
        <f t="shared" si="82"/>
        <v>Medium</v>
      </c>
      <c r="AI250" t="e">
        <f t="shared" si="83"/>
        <v>#N/A</v>
      </c>
    </row>
    <row r="251" spans="1:35" x14ac:dyDescent="0.2">
      <c r="A251">
        <v>250</v>
      </c>
      <c r="B251">
        <v>69</v>
      </c>
      <c r="C251" t="s">
        <v>16</v>
      </c>
      <c r="D251">
        <v>66</v>
      </c>
      <c r="E251">
        <v>95.24</v>
      </c>
      <c r="F251" t="s">
        <v>18</v>
      </c>
      <c r="G251" t="s">
        <v>22</v>
      </c>
      <c r="H251">
        <v>5</v>
      </c>
      <c r="I251">
        <v>46.4</v>
      </c>
      <c r="J251">
        <v>9</v>
      </c>
      <c r="K251">
        <v>6712.45</v>
      </c>
      <c r="L251">
        <v>0</v>
      </c>
      <c r="M251" t="s">
        <v>133</v>
      </c>
      <c r="N251" t="str">
        <f t="shared" si="63"/>
        <v>&gt;=24</v>
      </c>
      <c r="O251" t="str">
        <f t="shared" si="64"/>
        <v>&gt;=90</v>
      </c>
      <c r="P251" t="str">
        <f t="shared" si="65"/>
        <v>7-10</v>
      </c>
      <c r="Q251" t="str">
        <f t="shared" si="66"/>
        <v>40-80</v>
      </c>
      <c r="R251" t="str">
        <f t="shared" si="67"/>
        <v>ContractType|1-Year</v>
      </c>
      <c r="S251" t="str">
        <f t="shared" si="68"/>
        <v>Tenure_Bin|&gt;=24</v>
      </c>
      <c r="T251" t="str">
        <f t="shared" si="69"/>
        <v>Satis_Bin|7-10</v>
      </c>
      <c r="U251" t="str">
        <f t="shared" si="70"/>
        <v>Monthly_Bin|&gt;=90</v>
      </c>
      <c r="V251" t="str">
        <f t="shared" si="71"/>
        <v>Usage_Bin|40-80</v>
      </c>
      <c r="W251">
        <f t="shared" si="72"/>
        <v>1</v>
      </c>
      <c r="X251">
        <f t="shared" si="73"/>
        <v>0</v>
      </c>
      <c r="Y251">
        <f t="shared" si="74"/>
        <v>0</v>
      </c>
      <c r="Z251">
        <f t="shared" si="75"/>
        <v>2</v>
      </c>
      <c r="AA251">
        <f t="shared" si="76"/>
        <v>0</v>
      </c>
      <c r="AB251" s="51">
        <f t="shared" si="77"/>
        <v>3</v>
      </c>
      <c r="AC251" t="str">
        <f t="shared" si="78"/>
        <v>Low</v>
      </c>
      <c r="AD251" t="str">
        <f t="shared" si="79"/>
        <v>No</v>
      </c>
      <c r="AE251">
        <f t="shared" si="80"/>
        <v>0</v>
      </c>
      <c r="AF251">
        <f xml:space="preserve">
_xlfn.XLOOKUP(AB251, '3.3 Calibration'!$A$2:$A$14, '3.3 Calibration'!$F$2:$F$14,
        '3.3 Calibration'!$D$2, 1)</f>
        <v>0.42105263157894735</v>
      </c>
      <c r="AG251" t="str">
        <f t="shared" si="81"/>
        <v>No</v>
      </c>
      <c r="AH251" t="str">
        <f t="shared" si="82"/>
        <v>Medium</v>
      </c>
      <c r="AI251" t="e">
        <f t="shared" si="83"/>
        <v>#N/A</v>
      </c>
    </row>
    <row r="252" spans="1:35" x14ac:dyDescent="0.2">
      <c r="AG252" t="str">
        <f t="shared" si="81"/>
        <v>No</v>
      </c>
      <c r="AH252" t="str">
        <f t="shared" si="82"/>
        <v>Low</v>
      </c>
      <c r="AI252" t="e">
        <f t="shared" si="83"/>
        <v>#N/A</v>
      </c>
    </row>
    <row r="253" spans="1:35" x14ac:dyDescent="0.2">
      <c r="AG253" t="str">
        <f t="shared" si="81"/>
        <v>No</v>
      </c>
      <c r="AH253" t="str">
        <f t="shared" si="82"/>
        <v>Low</v>
      </c>
      <c r="AI253" t="e">
        <f t="shared" si="83"/>
        <v>#N/A</v>
      </c>
    </row>
    <row r="254" spans="1:35" x14ac:dyDescent="0.2">
      <c r="AG254" t="str">
        <f t="shared" si="81"/>
        <v>No</v>
      </c>
      <c r="AH254" t="str">
        <f t="shared" si="82"/>
        <v>Low</v>
      </c>
      <c r="AI254" t="e">
        <f t="shared" si="83"/>
        <v>#N/A</v>
      </c>
    </row>
    <row r="255" spans="1:35" x14ac:dyDescent="0.2">
      <c r="AG255" t="str">
        <f t="shared" si="81"/>
        <v>No</v>
      </c>
      <c r="AH255" t="str">
        <f t="shared" si="82"/>
        <v>Low</v>
      </c>
      <c r="AI255" t="e">
        <f t="shared" si="83"/>
        <v>#N/A</v>
      </c>
    </row>
    <row r="256" spans="1:35" x14ac:dyDescent="0.2">
      <c r="AG256" t="str">
        <f t="shared" si="81"/>
        <v>No</v>
      </c>
      <c r="AH256" t="str">
        <f t="shared" si="82"/>
        <v>Low</v>
      </c>
      <c r="AI256" t="e">
        <f t="shared" si="83"/>
        <v>#N/A</v>
      </c>
    </row>
    <row r="257" spans="33:35" x14ac:dyDescent="0.2">
      <c r="AG257" t="str">
        <f t="shared" si="81"/>
        <v>No</v>
      </c>
      <c r="AH257" t="str">
        <f t="shared" si="82"/>
        <v>Low</v>
      </c>
      <c r="AI257" t="e">
        <f t="shared" si="83"/>
        <v>#N/A</v>
      </c>
    </row>
    <row r="258" spans="33:35" x14ac:dyDescent="0.2">
      <c r="AG258" t="str">
        <f t="shared" si="81"/>
        <v>No</v>
      </c>
      <c r="AH258" t="str">
        <f t="shared" si="82"/>
        <v>Low</v>
      </c>
      <c r="AI258" t="e">
        <f t="shared" si="83"/>
        <v>#N/A</v>
      </c>
    </row>
    <row r="259" spans="33:35" x14ac:dyDescent="0.2">
      <c r="AG259" t="str">
        <f t="shared" ref="AG259:AG322" si="84">IF(AF259 &gt;= 0.5, "Yes", "No")</f>
        <v>No</v>
      </c>
      <c r="AH259" t="str">
        <f t="shared" ref="AH259:AH322" si="85">IF(AF259&gt;=0.6,"High",
   IF(AF259&gt;=0.4,"Medium","Low"))</f>
        <v>Low</v>
      </c>
      <c r="AI259" t="e">
        <f t="shared" ref="AI259:AI322" si="86">IF(AH259="High",N259,NA())</f>
        <v>#N/A</v>
      </c>
    </row>
    <row r="260" spans="33:35" x14ac:dyDescent="0.2">
      <c r="AG260" t="str">
        <f t="shared" si="84"/>
        <v>No</v>
      </c>
      <c r="AH260" t="str">
        <f t="shared" si="85"/>
        <v>Low</v>
      </c>
      <c r="AI260" t="e">
        <f t="shared" si="86"/>
        <v>#N/A</v>
      </c>
    </row>
    <row r="261" spans="33:35" x14ac:dyDescent="0.2">
      <c r="AG261" t="str">
        <f t="shared" si="84"/>
        <v>No</v>
      </c>
      <c r="AH261" t="str">
        <f t="shared" si="85"/>
        <v>Low</v>
      </c>
      <c r="AI261" t="e">
        <f t="shared" si="86"/>
        <v>#N/A</v>
      </c>
    </row>
    <row r="262" spans="33:35" x14ac:dyDescent="0.2">
      <c r="AG262" t="str">
        <f t="shared" si="84"/>
        <v>No</v>
      </c>
      <c r="AH262" t="str">
        <f t="shared" si="85"/>
        <v>Low</v>
      </c>
      <c r="AI262" t="e">
        <f t="shared" si="86"/>
        <v>#N/A</v>
      </c>
    </row>
    <row r="263" spans="33:35" x14ac:dyDescent="0.2">
      <c r="AG263" t="str">
        <f t="shared" si="84"/>
        <v>No</v>
      </c>
      <c r="AH263" t="str">
        <f t="shared" si="85"/>
        <v>Low</v>
      </c>
      <c r="AI263" t="e">
        <f t="shared" si="86"/>
        <v>#N/A</v>
      </c>
    </row>
    <row r="264" spans="33:35" x14ac:dyDescent="0.2">
      <c r="AG264" t="str">
        <f t="shared" si="84"/>
        <v>No</v>
      </c>
      <c r="AH264" t="str">
        <f t="shared" si="85"/>
        <v>Low</v>
      </c>
      <c r="AI264" t="e">
        <f t="shared" si="86"/>
        <v>#N/A</v>
      </c>
    </row>
    <row r="265" spans="33:35" x14ac:dyDescent="0.2">
      <c r="AG265" t="str">
        <f t="shared" si="84"/>
        <v>No</v>
      </c>
      <c r="AH265" t="str">
        <f t="shared" si="85"/>
        <v>Low</v>
      </c>
      <c r="AI265" t="e">
        <f t="shared" si="86"/>
        <v>#N/A</v>
      </c>
    </row>
    <row r="266" spans="33:35" x14ac:dyDescent="0.2">
      <c r="AG266" t="str">
        <f t="shared" si="84"/>
        <v>No</v>
      </c>
      <c r="AH266" t="str">
        <f t="shared" si="85"/>
        <v>Low</v>
      </c>
      <c r="AI266" t="e">
        <f t="shared" si="86"/>
        <v>#N/A</v>
      </c>
    </row>
    <row r="267" spans="33:35" x14ac:dyDescent="0.2">
      <c r="AG267" t="str">
        <f t="shared" si="84"/>
        <v>No</v>
      </c>
      <c r="AH267" t="str">
        <f t="shared" si="85"/>
        <v>Low</v>
      </c>
      <c r="AI267" t="e">
        <f t="shared" si="86"/>
        <v>#N/A</v>
      </c>
    </row>
    <row r="268" spans="33:35" x14ac:dyDescent="0.2">
      <c r="AG268" t="str">
        <f t="shared" si="84"/>
        <v>No</v>
      </c>
      <c r="AH268" t="str">
        <f t="shared" si="85"/>
        <v>Low</v>
      </c>
      <c r="AI268" t="e">
        <f t="shared" si="86"/>
        <v>#N/A</v>
      </c>
    </row>
    <row r="269" spans="33:35" x14ac:dyDescent="0.2">
      <c r="AG269" t="str">
        <f t="shared" si="84"/>
        <v>No</v>
      </c>
      <c r="AH269" t="str">
        <f t="shared" si="85"/>
        <v>Low</v>
      </c>
      <c r="AI269" t="e">
        <f t="shared" si="86"/>
        <v>#N/A</v>
      </c>
    </row>
    <row r="270" spans="33:35" x14ac:dyDescent="0.2">
      <c r="AG270" t="str">
        <f t="shared" si="84"/>
        <v>No</v>
      </c>
      <c r="AH270" t="str">
        <f t="shared" si="85"/>
        <v>Low</v>
      </c>
      <c r="AI270" t="e">
        <f t="shared" si="86"/>
        <v>#N/A</v>
      </c>
    </row>
    <row r="271" spans="33:35" x14ac:dyDescent="0.2">
      <c r="AG271" t="str">
        <f t="shared" si="84"/>
        <v>No</v>
      </c>
      <c r="AH271" t="str">
        <f t="shared" si="85"/>
        <v>Low</v>
      </c>
      <c r="AI271" t="e">
        <f t="shared" si="86"/>
        <v>#N/A</v>
      </c>
    </row>
    <row r="272" spans="33:35" x14ac:dyDescent="0.2">
      <c r="AG272" t="str">
        <f t="shared" si="84"/>
        <v>No</v>
      </c>
      <c r="AH272" t="str">
        <f t="shared" si="85"/>
        <v>Low</v>
      </c>
      <c r="AI272" t="e">
        <f t="shared" si="86"/>
        <v>#N/A</v>
      </c>
    </row>
    <row r="273" spans="33:35" x14ac:dyDescent="0.2">
      <c r="AG273" t="str">
        <f t="shared" si="84"/>
        <v>No</v>
      </c>
      <c r="AH273" t="str">
        <f t="shared" si="85"/>
        <v>Low</v>
      </c>
      <c r="AI273" t="e">
        <f t="shared" si="86"/>
        <v>#N/A</v>
      </c>
    </row>
    <row r="274" spans="33:35" x14ac:dyDescent="0.2">
      <c r="AG274" t="str">
        <f t="shared" si="84"/>
        <v>No</v>
      </c>
      <c r="AH274" t="str">
        <f t="shared" si="85"/>
        <v>Low</v>
      </c>
      <c r="AI274" t="e">
        <f t="shared" si="86"/>
        <v>#N/A</v>
      </c>
    </row>
    <row r="275" spans="33:35" x14ac:dyDescent="0.2">
      <c r="AG275" t="str">
        <f t="shared" si="84"/>
        <v>No</v>
      </c>
      <c r="AH275" t="str">
        <f t="shared" si="85"/>
        <v>Low</v>
      </c>
      <c r="AI275" t="e">
        <f t="shared" si="86"/>
        <v>#N/A</v>
      </c>
    </row>
    <row r="276" spans="33:35" x14ac:dyDescent="0.2">
      <c r="AG276" t="str">
        <f t="shared" si="84"/>
        <v>No</v>
      </c>
      <c r="AH276" t="str">
        <f t="shared" si="85"/>
        <v>Low</v>
      </c>
      <c r="AI276" t="e">
        <f t="shared" si="86"/>
        <v>#N/A</v>
      </c>
    </row>
    <row r="277" spans="33:35" x14ac:dyDescent="0.2">
      <c r="AG277" t="str">
        <f t="shared" si="84"/>
        <v>No</v>
      </c>
      <c r="AH277" t="str">
        <f t="shared" si="85"/>
        <v>Low</v>
      </c>
      <c r="AI277" t="e">
        <f t="shared" si="86"/>
        <v>#N/A</v>
      </c>
    </row>
    <row r="278" spans="33:35" x14ac:dyDescent="0.2">
      <c r="AG278" t="str">
        <f t="shared" si="84"/>
        <v>No</v>
      </c>
      <c r="AH278" t="str">
        <f t="shared" si="85"/>
        <v>Low</v>
      </c>
      <c r="AI278" t="e">
        <f t="shared" si="86"/>
        <v>#N/A</v>
      </c>
    </row>
    <row r="279" spans="33:35" x14ac:dyDescent="0.2">
      <c r="AG279" t="str">
        <f t="shared" si="84"/>
        <v>No</v>
      </c>
      <c r="AH279" t="str">
        <f t="shared" si="85"/>
        <v>Low</v>
      </c>
      <c r="AI279" t="e">
        <f t="shared" si="86"/>
        <v>#N/A</v>
      </c>
    </row>
    <row r="280" spans="33:35" x14ac:dyDescent="0.2">
      <c r="AG280" t="str">
        <f t="shared" si="84"/>
        <v>No</v>
      </c>
      <c r="AH280" t="str">
        <f t="shared" si="85"/>
        <v>Low</v>
      </c>
      <c r="AI280" t="e">
        <f t="shared" si="86"/>
        <v>#N/A</v>
      </c>
    </row>
    <row r="281" spans="33:35" x14ac:dyDescent="0.2">
      <c r="AG281" t="str">
        <f t="shared" si="84"/>
        <v>No</v>
      </c>
      <c r="AH281" t="str">
        <f t="shared" si="85"/>
        <v>Low</v>
      </c>
      <c r="AI281" t="e">
        <f t="shared" si="86"/>
        <v>#N/A</v>
      </c>
    </row>
    <row r="282" spans="33:35" x14ac:dyDescent="0.2">
      <c r="AG282" t="str">
        <f t="shared" si="84"/>
        <v>No</v>
      </c>
      <c r="AH282" t="str">
        <f t="shared" si="85"/>
        <v>Low</v>
      </c>
      <c r="AI282" t="e">
        <f t="shared" si="86"/>
        <v>#N/A</v>
      </c>
    </row>
    <row r="283" spans="33:35" x14ac:dyDescent="0.2">
      <c r="AG283" t="str">
        <f t="shared" si="84"/>
        <v>No</v>
      </c>
      <c r="AH283" t="str">
        <f t="shared" si="85"/>
        <v>Low</v>
      </c>
      <c r="AI283" t="e">
        <f t="shared" si="86"/>
        <v>#N/A</v>
      </c>
    </row>
    <row r="284" spans="33:35" x14ac:dyDescent="0.2">
      <c r="AG284" t="str">
        <f t="shared" si="84"/>
        <v>No</v>
      </c>
      <c r="AH284" t="str">
        <f t="shared" si="85"/>
        <v>Low</v>
      </c>
      <c r="AI284" t="e">
        <f t="shared" si="86"/>
        <v>#N/A</v>
      </c>
    </row>
    <row r="285" spans="33:35" x14ac:dyDescent="0.2">
      <c r="AG285" t="str">
        <f t="shared" si="84"/>
        <v>No</v>
      </c>
      <c r="AH285" t="str">
        <f t="shared" si="85"/>
        <v>Low</v>
      </c>
      <c r="AI285" t="e">
        <f t="shared" si="86"/>
        <v>#N/A</v>
      </c>
    </row>
    <row r="286" spans="33:35" x14ac:dyDescent="0.2">
      <c r="AG286" t="str">
        <f t="shared" si="84"/>
        <v>No</v>
      </c>
      <c r="AH286" t="str">
        <f t="shared" si="85"/>
        <v>Low</v>
      </c>
      <c r="AI286" t="e">
        <f t="shared" si="86"/>
        <v>#N/A</v>
      </c>
    </row>
    <row r="287" spans="33:35" x14ac:dyDescent="0.2">
      <c r="AG287" t="str">
        <f t="shared" si="84"/>
        <v>No</v>
      </c>
      <c r="AH287" t="str">
        <f t="shared" si="85"/>
        <v>Low</v>
      </c>
      <c r="AI287" t="e">
        <f t="shared" si="86"/>
        <v>#N/A</v>
      </c>
    </row>
    <row r="288" spans="33:35" x14ac:dyDescent="0.2">
      <c r="AG288" t="str">
        <f t="shared" si="84"/>
        <v>No</v>
      </c>
      <c r="AH288" t="str">
        <f t="shared" si="85"/>
        <v>Low</v>
      </c>
      <c r="AI288" t="e">
        <f t="shared" si="86"/>
        <v>#N/A</v>
      </c>
    </row>
    <row r="289" spans="33:35" x14ac:dyDescent="0.2">
      <c r="AG289" t="str">
        <f t="shared" si="84"/>
        <v>No</v>
      </c>
      <c r="AH289" t="str">
        <f t="shared" si="85"/>
        <v>Low</v>
      </c>
      <c r="AI289" t="e">
        <f t="shared" si="86"/>
        <v>#N/A</v>
      </c>
    </row>
    <row r="290" spans="33:35" x14ac:dyDescent="0.2">
      <c r="AG290" t="str">
        <f t="shared" si="84"/>
        <v>No</v>
      </c>
      <c r="AH290" t="str">
        <f t="shared" si="85"/>
        <v>Low</v>
      </c>
      <c r="AI290" t="e">
        <f t="shared" si="86"/>
        <v>#N/A</v>
      </c>
    </row>
    <row r="291" spans="33:35" x14ac:dyDescent="0.2">
      <c r="AG291" t="str">
        <f t="shared" si="84"/>
        <v>No</v>
      </c>
      <c r="AH291" t="str">
        <f t="shared" si="85"/>
        <v>Low</v>
      </c>
      <c r="AI291" t="e">
        <f t="shared" si="86"/>
        <v>#N/A</v>
      </c>
    </row>
    <row r="292" spans="33:35" x14ac:dyDescent="0.2">
      <c r="AG292" t="str">
        <f t="shared" si="84"/>
        <v>No</v>
      </c>
      <c r="AH292" t="str">
        <f t="shared" si="85"/>
        <v>Low</v>
      </c>
      <c r="AI292" t="e">
        <f t="shared" si="86"/>
        <v>#N/A</v>
      </c>
    </row>
    <row r="293" spans="33:35" x14ac:dyDescent="0.2">
      <c r="AG293" t="str">
        <f t="shared" si="84"/>
        <v>No</v>
      </c>
      <c r="AH293" t="str">
        <f t="shared" si="85"/>
        <v>Low</v>
      </c>
      <c r="AI293" t="e">
        <f t="shared" si="86"/>
        <v>#N/A</v>
      </c>
    </row>
    <row r="294" spans="33:35" x14ac:dyDescent="0.2">
      <c r="AG294" t="str">
        <f t="shared" si="84"/>
        <v>No</v>
      </c>
      <c r="AH294" t="str">
        <f t="shared" si="85"/>
        <v>Low</v>
      </c>
      <c r="AI294" t="e">
        <f t="shared" si="86"/>
        <v>#N/A</v>
      </c>
    </row>
    <row r="295" spans="33:35" x14ac:dyDescent="0.2">
      <c r="AG295" t="str">
        <f t="shared" si="84"/>
        <v>No</v>
      </c>
      <c r="AH295" t="str">
        <f t="shared" si="85"/>
        <v>Low</v>
      </c>
      <c r="AI295" t="e">
        <f t="shared" si="86"/>
        <v>#N/A</v>
      </c>
    </row>
    <row r="296" spans="33:35" x14ac:dyDescent="0.2">
      <c r="AG296" t="str">
        <f t="shared" si="84"/>
        <v>No</v>
      </c>
      <c r="AH296" t="str">
        <f t="shared" si="85"/>
        <v>Low</v>
      </c>
      <c r="AI296" t="e">
        <f t="shared" si="86"/>
        <v>#N/A</v>
      </c>
    </row>
    <row r="297" spans="33:35" x14ac:dyDescent="0.2">
      <c r="AG297" t="str">
        <f t="shared" si="84"/>
        <v>No</v>
      </c>
      <c r="AH297" t="str">
        <f t="shared" si="85"/>
        <v>Low</v>
      </c>
      <c r="AI297" t="e">
        <f t="shared" si="86"/>
        <v>#N/A</v>
      </c>
    </row>
    <row r="298" spans="33:35" x14ac:dyDescent="0.2">
      <c r="AG298" t="str">
        <f t="shared" si="84"/>
        <v>No</v>
      </c>
      <c r="AH298" t="str">
        <f t="shared" si="85"/>
        <v>Low</v>
      </c>
      <c r="AI298" t="e">
        <f t="shared" si="86"/>
        <v>#N/A</v>
      </c>
    </row>
    <row r="299" spans="33:35" x14ac:dyDescent="0.2">
      <c r="AG299" t="str">
        <f t="shared" si="84"/>
        <v>No</v>
      </c>
      <c r="AH299" t="str">
        <f t="shared" si="85"/>
        <v>Low</v>
      </c>
      <c r="AI299" t="e">
        <f t="shared" si="86"/>
        <v>#N/A</v>
      </c>
    </row>
    <row r="300" spans="33:35" x14ac:dyDescent="0.2">
      <c r="AG300" t="str">
        <f t="shared" si="84"/>
        <v>No</v>
      </c>
      <c r="AH300" t="str">
        <f t="shared" si="85"/>
        <v>Low</v>
      </c>
      <c r="AI300" t="e">
        <f t="shared" si="86"/>
        <v>#N/A</v>
      </c>
    </row>
    <row r="301" spans="33:35" x14ac:dyDescent="0.2">
      <c r="AG301" t="str">
        <f t="shared" si="84"/>
        <v>No</v>
      </c>
      <c r="AH301" t="str">
        <f t="shared" si="85"/>
        <v>Low</v>
      </c>
      <c r="AI301" t="e">
        <f t="shared" si="86"/>
        <v>#N/A</v>
      </c>
    </row>
    <row r="302" spans="33:35" x14ac:dyDescent="0.2">
      <c r="AG302" t="str">
        <f t="shared" si="84"/>
        <v>No</v>
      </c>
      <c r="AH302" t="str">
        <f t="shared" si="85"/>
        <v>Low</v>
      </c>
      <c r="AI302" t="e">
        <f t="shared" si="86"/>
        <v>#N/A</v>
      </c>
    </row>
    <row r="303" spans="33:35" x14ac:dyDescent="0.2">
      <c r="AG303" t="str">
        <f t="shared" si="84"/>
        <v>No</v>
      </c>
      <c r="AH303" t="str">
        <f t="shared" si="85"/>
        <v>Low</v>
      </c>
      <c r="AI303" t="e">
        <f t="shared" si="86"/>
        <v>#N/A</v>
      </c>
    </row>
    <row r="304" spans="33:35" x14ac:dyDescent="0.2">
      <c r="AG304" t="str">
        <f t="shared" si="84"/>
        <v>No</v>
      </c>
      <c r="AH304" t="str">
        <f t="shared" si="85"/>
        <v>Low</v>
      </c>
      <c r="AI304" t="e">
        <f t="shared" si="86"/>
        <v>#N/A</v>
      </c>
    </row>
    <row r="305" spans="33:35" x14ac:dyDescent="0.2">
      <c r="AG305" t="str">
        <f t="shared" si="84"/>
        <v>No</v>
      </c>
      <c r="AH305" t="str">
        <f t="shared" si="85"/>
        <v>Low</v>
      </c>
      <c r="AI305" t="e">
        <f t="shared" si="86"/>
        <v>#N/A</v>
      </c>
    </row>
    <row r="306" spans="33:35" x14ac:dyDescent="0.2">
      <c r="AG306" t="str">
        <f t="shared" si="84"/>
        <v>No</v>
      </c>
      <c r="AH306" t="str">
        <f t="shared" si="85"/>
        <v>Low</v>
      </c>
      <c r="AI306" t="e">
        <f t="shared" si="86"/>
        <v>#N/A</v>
      </c>
    </row>
    <row r="307" spans="33:35" x14ac:dyDescent="0.2">
      <c r="AG307" t="str">
        <f t="shared" si="84"/>
        <v>No</v>
      </c>
      <c r="AH307" t="str">
        <f t="shared" si="85"/>
        <v>Low</v>
      </c>
      <c r="AI307" t="e">
        <f t="shared" si="86"/>
        <v>#N/A</v>
      </c>
    </row>
    <row r="308" spans="33:35" x14ac:dyDescent="0.2">
      <c r="AG308" t="str">
        <f t="shared" si="84"/>
        <v>No</v>
      </c>
      <c r="AH308" t="str">
        <f t="shared" si="85"/>
        <v>Low</v>
      </c>
      <c r="AI308" t="e">
        <f t="shared" si="86"/>
        <v>#N/A</v>
      </c>
    </row>
    <row r="309" spans="33:35" x14ac:dyDescent="0.2">
      <c r="AG309" t="str">
        <f t="shared" si="84"/>
        <v>No</v>
      </c>
      <c r="AH309" t="str">
        <f t="shared" si="85"/>
        <v>Low</v>
      </c>
      <c r="AI309" t="e">
        <f t="shared" si="86"/>
        <v>#N/A</v>
      </c>
    </row>
    <row r="310" spans="33:35" x14ac:dyDescent="0.2">
      <c r="AG310" t="str">
        <f t="shared" si="84"/>
        <v>No</v>
      </c>
      <c r="AH310" t="str">
        <f t="shared" si="85"/>
        <v>Low</v>
      </c>
      <c r="AI310" t="e">
        <f t="shared" si="86"/>
        <v>#N/A</v>
      </c>
    </row>
    <row r="311" spans="33:35" x14ac:dyDescent="0.2">
      <c r="AG311" t="str">
        <f t="shared" si="84"/>
        <v>No</v>
      </c>
      <c r="AH311" t="str">
        <f t="shared" si="85"/>
        <v>Low</v>
      </c>
      <c r="AI311" t="e">
        <f t="shared" si="86"/>
        <v>#N/A</v>
      </c>
    </row>
    <row r="312" spans="33:35" x14ac:dyDescent="0.2">
      <c r="AG312" t="str">
        <f t="shared" si="84"/>
        <v>No</v>
      </c>
      <c r="AH312" t="str">
        <f t="shared" si="85"/>
        <v>Low</v>
      </c>
      <c r="AI312" t="e">
        <f t="shared" si="86"/>
        <v>#N/A</v>
      </c>
    </row>
    <row r="313" spans="33:35" x14ac:dyDescent="0.2">
      <c r="AG313" t="str">
        <f t="shared" si="84"/>
        <v>No</v>
      </c>
      <c r="AH313" t="str">
        <f t="shared" si="85"/>
        <v>Low</v>
      </c>
      <c r="AI313" t="e">
        <f t="shared" si="86"/>
        <v>#N/A</v>
      </c>
    </row>
    <row r="314" spans="33:35" x14ac:dyDescent="0.2">
      <c r="AG314" t="str">
        <f t="shared" si="84"/>
        <v>No</v>
      </c>
      <c r="AH314" t="str">
        <f t="shared" si="85"/>
        <v>Low</v>
      </c>
      <c r="AI314" t="e">
        <f t="shared" si="86"/>
        <v>#N/A</v>
      </c>
    </row>
    <row r="315" spans="33:35" x14ac:dyDescent="0.2">
      <c r="AG315" t="str">
        <f t="shared" si="84"/>
        <v>No</v>
      </c>
      <c r="AH315" t="str">
        <f t="shared" si="85"/>
        <v>Low</v>
      </c>
      <c r="AI315" t="e">
        <f t="shared" si="86"/>
        <v>#N/A</v>
      </c>
    </row>
    <row r="316" spans="33:35" x14ac:dyDescent="0.2">
      <c r="AG316" t="str">
        <f t="shared" si="84"/>
        <v>No</v>
      </c>
      <c r="AH316" t="str">
        <f t="shared" si="85"/>
        <v>Low</v>
      </c>
      <c r="AI316" t="e">
        <f t="shared" si="86"/>
        <v>#N/A</v>
      </c>
    </row>
    <row r="317" spans="33:35" x14ac:dyDescent="0.2">
      <c r="AG317" t="str">
        <f t="shared" si="84"/>
        <v>No</v>
      </c>
      <c r="AH317" t="str">
        <f t="shared" si="85"/>
        <v>Low</v>
      </c>
      <c r="AI317" t="e">
        <f t="shared" si="86"/>
        <v>#N/A</v>
      </c>
    </row>
    <row r="318" spans="33:35" x14ac:dyDescent="0.2">
      <c r="AG318" t="str">
        <f t="shared" si="84"/>
        <v>No</v>
      </c>
      <c r="AH318" t="str">
        <f t="shared" si="85"/>
        <v>Low</v>
      </c>
      <c r="AI318" t="e">
        <f t="shared" si="86"/>
        <v>#N/A</v>
      </c>
    </row>
    <row r="319" spans="33:35" x14ac:dyDescent="0.2">
      <c r="AG319" t="str">
        <f t="shared" si="84"/>
        <v>No</v>
      </c>
      <c r="AH319" t="str">
        <f t="shared" si="85"/>
        <v>Low</v>
      </c>
      <c r="AI319" t="e">
        <f t="shared" si="86"/>
        <v>#N/A</v>
      </c>
    </row>
    <row r="320" spans="33:35" x14ac:dyDescent="0.2">
      <c r="AG320" t="str">
        <f t="shared" si="84"/>
        <v>No</v>
      </c>
      <c r="AH320" t="str">
        <f t="shared" si="85"/>
        <v>Low</v>
      </c>
      <c r="AI320" t="e">
        <f t="shared" si="86"/>
        <v>#N/A</v>
      </c>
    </row>
    <row r="321" spans="33:35" x14ac:dyDescent="0.2">
      <c r="AG321" t="str">
        <f t="shared" si="84"/>
        <v>No</v>
      </c>
      <c r="AH321" t="str">
        <f t="shared" si="85"/>
        <v>Low</v>
      </c>
      <c r="AI321" t="e">
        <f t="shared" si="86"/>
        <v>#N/A</v>
      </c>
    </row>
    <row r="322" spans="33:35" x14ac:dyDescent="0.2">
      <c r="AG322" t="str">
        <f t="shared" si="84"/>
        <v>No</v>
      </c>
      <c r="AH322" t="str">
        <f t="shared" si="85"/>
        <v>Low</v>
      </c>
      <c r="AI322" t="e">
        <f t="shared" si="86"/>
        <v>#N/A</v>
      </c>
    </row>
    <row r="323" spans="33:35" x14ac:dyDescent="0.2">
      <c r="AG323" t="str">
        <f t="shared" ref="AG323:AG386" si="87">IF(AF323 &gt;= 0.5, "Yes", "No")</f>
        <v>No</v>
      </c>
      <c r="AH323" t="str">
        <f t="shared" ref="AH323:AH386" si="88">IF(AF323&gt;=0.6,"High",
   IF(AF323&gt;=0.4,"Medium","Low"))</f>
        <v>Low</v>
      </c>
      <c r="AI323" t="e">
        <f t="shared" ref="AI323:AI386" si="89">IF(AH323="High",N323,NA())</f>
        <v>#N/A</v>
      </c>
    </row>
    <row r="324" spans="33:35" x14ac:dyDescent="0.2">
      <c r="AG324" t="str">
        <f t="shared" si="87"/>
        <v>No</v>
      </c>
      <c r="AH324" t="str">
        <f t="shared" si="88"/>
        <v>Low</v>
      </c>
      <c r="AI324" t="e">
        <f t="shared" si="89"/>
        <v>#N/A</v>
      </c>
    </row>
    <row r="325" spans="33:35" x14ac:dyDescent="0.2">
      <c r="AG325" t="str">
        <f t="shared" si="87"/>
        <v>No</v>
      </c>
      <c r="AH325" t="str">
        <f t="shared" si="88"/>
        <v>Low</v>
      </c>
      <c r="AI325" t="e">
        <f t="shared" si="89"/>
        <v>#N/A</v>
      </c>
    </row>
    <row r="326" spans="33:35" x14ac:dyDescent="0.2">
      <c r="AG326" t="str">
        <f t="shared" si="87"/>
        <v>No</v>
      </c>
      <c r="AH326" t="str">
        <f t="shared" si="88"/>
        <v>Low</v>
      </c>
      <c r="AI326" t="e">
        <f t="shared" si="89"/>
        <v>#N/A</v>
      </c>
    </row>
    <row r="327" spans="33:35" x14ac:dyDescent="0.2">
      <c r="AG327" t="str">
        <f t="shared" si="87"/>
        <v>No</v>
      </c>
      <c r="AH327" t="str">
        <f t="shared" si="88"/>
        <v>Low</v>
      </c>
      <c r="AI327" t="e">
        <f t="shared" si="89"/>
        <v>#N/A</v>
      </c>
    </row>
    <row r="328" spans="33:35" x14ac:dyDescent="0.2">
      <c r="AG328" t="str">
        <f t="shared" si="87"/>
        <v>No</v>
      </c>
      <c r="AH328" t="str">
        <f t="shared" si="88"/>
        <v>Low</v>
      </c>
      <c r="AI328" t="e">
        <f t="shared" si="89"/>
        <v>#N/A</v>
      </c>
    </row>
    <row r="329" spans="33:35" x14ac:dyDescent="0.2">
      <c r="AG329" t="str">
        <f t="shared" si="87"/>
        <v>No</v>
      </c>
      <c r="AH329" t="str">
        <f t="shared" si="88"/>
        <v>Low</v>
      </c>
      <c r="AI329" t="e">
        <f t="shared" si="89"/>
        <v>#N/A</v>
      </c>
    </row>
    <row r="330" spans="33:35" x14ac:dyDescent="0.2">
      <c r="AG330" t="str">
        <f t="shared" si="87"/>
        <v>No</v>
      </c>
      <c r="AH330" t="str">
        <f t="shared" si="88"/>
        <v>Low</v>
      </c>
      <c r="AI330" t="e">
        <f t="shared" si="89"/>
        <v>#N/A</v>
      </c>
    </row>
    <row r="331" spans="33:35" x14ac:dyDescent="0.2">
      <c r="AG331" t="str">
        <f t="shared" si="87"/>
        <v>No</v>
      </c>
      <c r="AH331" t="str">
        <f t="shared" si="88"/>
        <v>Low</v>
      </c>
      <c r="AI331" t="e">
        <f t="shared" si="89"/>
        <v>#N/A</v>
      </c>
    </row>
    <row r="332" spans="33:35" x14ac:dyDescent="0.2">
      <c r="AG332" t="str">
        <f t="shared" si="87"/>
        <v>No</v>
      </c>
      <c r="AH332" t="str">
        <f t="shared" si="88"/>
        <v>Low</v>
      </c>
      <c r="AI332" t="e">
        <f t="shared" si="89"/>
        <v>#N/A</v>
      </c>
    </row>
    <row r="333" spans="33:35" x14ac:dyDescent="0.2">
      <c r="AG333" t="str">
        <f t="shared" si="87"/>
        <v>No</v>
      </c>
      <c r="AH333" t="str">
        <f t="shared" si="88"/>
        <v>Low</v>
      </c>
      <c r="AI333" t="e">
        <f t="shared" si="89"/>
        <v>#N/A</v>
      </c>
    </row>
    <row r="334" spans="33:35" x14ac:dyDescent="0.2">
      <c r="AG334" t="str">
        <f t="shared" si="87"/>
        <v>No</v>
      </c>
      <c r="AH334" t="str">
        <f t="shared" si="88"/>
        <v>Low</v>
      </c>
      <c r="AI334" t="e">
        <f t="shared" si="89"/>
        <v>#N/A</v>
      </c>
    </row>
    <row r="335" spans="33:35" x14ac:dyDescent="0.2">
      <c r="AG335" t="str">
        <f t="shared" si="87"/>
        <v>No</v>
      </c>
      <c r="AH335" t="str">
        <f t="shared" si="88"/>
        <v>Low</v>
      </c>
      <c r="AI335" t="e">
        <f t="shared" si="89"/>
        <v>#N/A</v>
      </c>
    </row>
    <row r="336" spans="33:35" x14ac:dyDescent="0.2">
      <c r="AG336" t="str">
        <f t="shared" si="87"/>
        <v>No</v>
      </c>
      <c r="AH336" t="str">
        <f t="shared" si="88"/>
        <v>Low</v>
      </c>
      <c r="AI336" t="e">
        <f t="shared" si="89"/>
        <v>#N/A</v>
      </c>
    </row>
    <row r="337" spans="33:35" x14ac:dyDescent="0.2">
      <c r="AG337" t="str">
        <f t="shared" si="87"/>
        <v>No</v>
      </c>
      <c r="AH337" t="str">
        <f t="shared" si="88"/>
        <v>Low</v>
      </c>
      <c r="AI337" t="e">
        <f t="shared" si="89"/>
        <v>#N/A</v>
      </c>
    </row>
    <row r="338" spans="33:35" x14ac:dyDescent="0.2">
      <c r="AG338" t="str">
        <f t="shared" si="87"/>
        <v>No</v>
      </c>
      <c r="AH338" t="str">
        <f t="shared" si="88"/>
        <v>Low</v>
      </c>
      <c r="AI338" t="e">
        <f t="shared" si="89"/>
        <v>#N/A</v>
      </c>
    </row>
    <row r="339" spans="33:35" x14ac:dyDescent="0.2">
      <c r="AG339" t="str">
        <f t="shared" si="87"/>
        <v>No</v>
      </c>
      <c r="AH339" t="str">
        <f t="shared" si="88"/>
        <v>Low</v>
      </c>
      <c r="AI339" t="e">
        <f t="shared" si="89"/>
        <v>#N/A</v>
      </c>
    </row>
    <row r="340" spans="33:35" x14ac:dyDescent="0.2">
      <c r="AG340" t="str">
        <f t="shared" si="87"/>
        <v>No</v>
      </c>
      <c r="AH340" t="str">
        <f t="shared" si="88"/>
        <v>Low</v>
      </c>
      <c r="AI340" t="e">
        <f t="shared" si="89"/>
        <v>#N/A</v>
      </c>
    </row>
    <row r="341" spans="33:35" x14ac:dyDescent="0.2">
      <c r="AG341" t="str">
        <f t="shared" si="87"/>
        <v>No</v>
      </c>
      <c r="AH341" t="str">
        <f t="shared" si="88"/>
        <v>Low</v>
      </c>
      <c r="AI341" t="e">
        <f t="shared" si="89"/>
        <v>#N/A</v>
      </c>
    </row>
    <row r="342" spans="33:35" x14ac:dyDescent="0.2">
      <c r="AG342" t="str">
        <f t="shared" si="87"/>
        <v>No</v>
      </c>
      <c r="AH342" t="str">
        <f t="shared" si="88"/>
        <v>Low</v>
      </c>
      <c r="AI342" t="e">
        <f t="shared" si="89"/>
        <v>#N/A</v>
      </c>
    </row>
    <row r="343" spans="33:35" x14ac:dyDescent="0.2">
      <c r="AG343" t="str">
        <f t="shared" si="87"/>
        <v>No</v>
      </c>
      <c r="AH343" t="str">
        <f t="shared" si="88"/>
        <v>Low</v>
      </c>
      <c r="AI343" t="e">
        <f t="shared" si="89"/>
        <v>#N/A</v>
      </c>
    </row>
    <row r="344" spans="33:35" x14ac:dyDescent="0.2">
      <c r="AG344" t="str">
        <f t="shared" si="87"/>
        <v>No</v>
      </c>
      <c r="AH344" t="str">
        <f t="shared" si="88"/>
        <v>Low</v>
      </c>
      <c r="AI344" t="e">
        <f t="shared" si="89"/>
        <v>#N/A</v>
      </c>
    </row>
    <row r="345" spans="33:35" x14ac:dyDescent="0.2">
      <c r="AG345" t="str">
        <f t="shared" si="87"/>
        <v>No</v>
      </c>
      <c r="AH345" t="str">
        <f t="shared" si="88"/>
        <v>Low</v>
      </c>
      <c r="AI345" t="e">
        <f t="shared" si="89"/>
        <v>#N/A</v>
      </c>
    </row>
    <row r="346" spans="33:35" x14ac:dyDescent="0.2">
      <c r="AG346" t="str">
        <f t="shared" si="87"/>
        <v>No</v>
      </c>
      <c r="AH346" t="str">
        <f t="shared" si="88"/>
        <v>Low</v>
      </c>
      <c r="AI346" t="e">
        <f t="shared" si="89"/>
        <v>#N/A</v>
      </c>
    </row>
    <row r="347" spans="33:35" x14ac:dyDescent="0.2">
      <c r="AG347" t="str">
        <f t="shared" si="87"/>
        <v>No</v>
      </c>
      <c r="AH347" t="str">
        <f t="shared" si="88"/>
        <v>Low</v>
      </c>
      <c r="AI347" t="e">
        <f t="shared" si="89"/>
        <v>#N/A</v>
      </c>
    </row>
    <row r="348" spans="33:35" x14ac:dyDescent="0.2">
      <c r="AG348" t="str">
        <f t="shared" si="87"/>
        <v>No</v>
      </c>
      <c r="AH348" t="str">
        <f t="shared" si="88"/>
        <v>Low</v>
      </c>
      <c r="AI348" t="e">
        <f t="shared" si="89"/>
        <v>#N/A</v>
      </c>
    </row>
    <row r="349" spans="33:35" x14ac:dyDescent="0.2">
      <c r="AG349" t="str">
        <f t="shared" si="87"/>
        <v>No</v>
      </c>
      <c r="AH349" t="str">
        <f t="shared" si="88"/>
        <v>Low</v>
      </c>
      <c r="AI349" t="e">
        <f t="shared" si="89"/>
        <v>#N/A</v>
      </c>
    </row>
    <row r="350" spans="33:35" x14ac:dyDescent="0.2">
      <c r="AG350" t="str">
        <f t="shared" si="87"/>
        <v>No</v>
      </c>
      <c r="AH350" t="str">
        <f t="shared" si="88"/>
        <v>Low</v>
      </c>
      <c r="AI350" t="e">
        <f t="shared" si="89"/>
        <v>#N/A</v>
      </c>
    </row>
    <row r="351" spans="33:35" x14ac:dyDescent="0.2">
      <c r="AG351" t="str">
        <f t="shared" si="87"/>
        <v>No</v>
      </c>
      <c r="AH351" t="str">
        <f t="shared" si="88"/>
        <v>Low</v>
      </c>
      <c r="AI351" t="e">
        <f t="shared" si="89"/>
        <v>#N/A</v>
      </c>
    </row>
    <row r="352" spans="33:35" x14ac:dyDescent="0.2">
      <c r="AG352" t="str">
        <f t="shared" si="87"/>
        <v>No</v>
      </c>
      <c r="AH352" t="str">
        <f t="shared" si="88"/>
        <v>Low</v>
      </c>
      <c r="AI352" t="e">
        <f t="shared" si="89"/>
        <v>#N/A</v>
      </c>
    </row>
    <row r="353" spans="33:35" x14ac:dyDescent="0.2">
      <c r="AG353" t="str">
        <f t="shared" si="87"/>
        <v>No</v>
      </c>
      <c r="AH353" t="str">
        <f t="shared" si="88"/>
        <v>Low</v>
      </c>
      <c r="AI353" t="e">
        <f t="shared" si="89"/>
        <v>#N/A</v>
      </c>
    </row>
    <row r="354" spans="33:35" x14ac:dyDescent="0.2">
      <c r="AG354" t="str">
        <f t="shared" si="87"/>
        <v>No</v>
      </c>
      <c r="AH354" t="str">
        <f t="shared" si="88"/>
        <v>Low</v>
      </c>
      <c r="AI354" t="e">
        <f t="shared" si="89"/>
        <v>#N/A</v>
      </c>
    </row>
    <row r="355" spans="33:35" x14ac:dyDescent="0.2">
      <c r="AG355" t="str">
        <f t="shared" si="87"/>
        <v>No</v>
      </c>
      <c r="AH355" t="str">
        <f t="shared" si="88"/>
        <v>Low</v>
      </c>
      <c r="AI355" t="e">
        <f t="shared" si="89"/>
        <v>#N/A</v>
      </c>
    </row>
    <row r="356" spans="33:35" x14ac:dyDescent="0.2">
      <c r="AG356" t="str">
        <f t="shared" si="87"/>
        <v>No</v>
      </c>
      <c r="AH356" t="str">
        <f t="shared" si="88"/>
        <v>Low</v>
      </c>
      <c r="AI356" t="e">
        <f t="shared" si="89"/>
        <v>#N/A</v>
      </c>
    </row>
    <row r="357" spans="33:35" x14ac:dyDescent="0.2">
      <c r="AG357" t="str">
        <f t="shared" si="87"/>
        <v>No</v>
      </c>
      <c r="AH357" t="str">
        <f t="shared" si="88"/>
        <v>Low</v>
      </c>
      <c r="AI357" t="e">
        <f t="shared" si="89"/>
        <v>#N/A</v>
      </c>
    </row>
    <row r="358" spans="33:35" x14ac:dyDescent="0.2">
      <c r="AG358" t="str">
        <f t="shared" si="87"/>
        <v>No</v>
      </c>
      <c r="AH358" t="str">
        <f t="shared" si="88"/>
        <v>Low</v>
      </c>
      <c r="AI358" t="e">
        <f t="shared" si="89"/>
        <v>#N/A</v>
      </c>
    </row>
    <row r="359" spans="33:35" x14ac:dyDescent="0.2">
      <c r="AG359" t="str">
        <f t="shared" si="87"/>
        <v>No</v>
      </c>
      <c r="AH359" t="str">
        <f t="shared" si="88"/>
        <v>Low</v>
      </c>
      <c r="AI359" t="e">
        <f t="shared" si="89"/>
        <v>#N/A</v>
      </c>
    </row>
    <row r="360" spans="33:35" x14ac:dyDescent="0.2">
      <c r="AG360" t="str">
        <f t="shared" si="87"/>
        <v>No</v>
      </c>
      <c r="AH360" t="str">
        <f t="shared" si="88"/>
        <v>Low</v>
      </c>
      <c r="AI360" t="e">
        <f t="shared" si="89"/>
        <v>#N/A</v>
      </c>
    </row>
    <row r="361" spans="33:35" x14ac:dyDescent="0.2">
      <c r="AG361" t="str">
        <f t="shared" si="87"/>
        <v>No</v>
      </c>
      <c r="AH361" t="str">
        <f t="shared" si="88"/>
        <v>Low</v>
      </c>
      <c r="AI361" t="e">
        <f t="shared" si="89"/>
        <v>#N/A</v>
      </c>
    </row>
    <row r="362" spans="33:35" x14ac:dyDescent="0.2">
      <c r="AG362" t="str">
        <f t="shared" si="87"/>
        <v>No</v>
      </c>
      <c r="AH362" t="str">
        <f t="shared" si="88"/>
        <v>Low</v>
      </c>
      <c r="AI362" t="e">
        <f t="shared" si="89"/>
        <v>#N/A</v>
      </c>
    </row>
    <row r="363" spans="33:35" x14ac:dyDescent="0.2">
      <c r="AG363" t="str">
        <f t="shared" si="87"/>
        <v>No</v>
      </c>
      <c r="AH363" t="str">
        <f t="shared" si="88"/>
        <v>Low</v>
      </c>
      <c r="AI363" t="e">
        <f t="shared" si="89"/>
        <v>#N/A</v>
      </c>
    </row>
    <row r="364" spans="33:35" x14ac:dyDescent="0.2">
      <c r="AG364" t="str">
        <f t="shared" si="87"/>
        <v>No</v>
      </c>
      <c r="AH364" t="str">
        <f t="shared" si="88"/>
        <v>Low</v>
      </c>
      <c r="AI364" t="e">
        <f t="shared" si="89"/>
        <v>#N/A</v>
      </c>
    </row>
    <row r="365" spans="33:35" x14ac:dyDescent="0.2">
      <c r="AG365" t="str">
        <f t="shared" si="87"/>
        <v>No</v>
      </c>
      <c r="AH365" t="str">
        <f t="shared" si="88"/>
        <v>Low</v>
      </c>
      <c r="AI365" t="e">
        <f t="shared" si="89"/>
        <v>#N/A</v>
      </c>
    </row>
    <row r="366" spans="33:35" x14ac:dyDescent="0.2">
      <c r="AG366" t="str">
        <f t="shared" si="87"/>
        <v>No</v>
      </c>
      <c r="AH366" t="str">
        <f t="shared" si="88"/>
        <v>Low</v>
      </c>
      <c r="AI366" t="e">
        <f t="shared" si="89"/>
        <v>#N/A</v>
      </c>
    </row>
    <row r="367" spans="33:35" x14ac:dyDescent="0.2">
      <c r="AG367" t="str">
        <f t="shared" si="87"/>
        <v>No</v>
      </c>
      <c r="AH367" t="str">
        <f t="shared" si="88"/>
        <v>Low</v>
      </c>
      <c r="AI367" t="e">
        <f t="shared" si="89"/>
        <v>#N/A</v>
      </c>
    </row>
    <row r="368" spans="33:35" x14ac:dyDescent="0.2">
      <c r="AG368" t="str">
        <f t="shared" si="87"/>
        <v>No</v>
      </c>
      <c r="AH368" t="str">
        <f t="shared" si="88"/>
        <v>Low</v>
      </c>
      <c r="AI368" t="e">
        <f t="shared" si="89"/>
        <v>#N/A</v>
      </c>
    </row>
    <row r="369" spans="33:35" x14ac:dyDescent="0.2">
      <c r="AG369" t="str">
        <f t="shared" si="87"/>
        <v>No</v>
      </c>
      <c r="AH369" t="str">
        <f t="shared" si="88"/>
        <v>Low</v>
      </c>
      <c r="AI369" t="e">
        <f t="shared" si="89"/>
        <v>#N/A</v>
      </c>
    </row>
    <row r="370" spans="33:35" x14ac:dyDescent="0.2">
      <c r="AG370" t="str">
        <f t="shared" si="87"/>
        <v>No</v>
      </c>
      <c r="AH370" t="str">
        <f t="shared" si="88"/>
        <v>Low</v>
      </c>
      <c r="AI370" t="e">
        <f t="shared" si="89"/>
        <v>#N/A</v>
      </c>
    </row>
    <row r="371" spans="33:35" x14ac:dyDescent="0.2">
      <c r="AG371" t="str">
        <f t="shared" si="87"/>
        <v>No</v>
      </c>
      <c r="AH371" t="str">
        <f t="shared" si="88"/>
        <v>Low</v>
      </c>
      <c r="AI371" t="e">
        <f t="shared" si="89"/>
        <v>#N/A</v>
      </c>
    </row>
    <row r="372" spans="33:35" x14ac:dyDescent="0.2">
      <c r="AG372" t="str">
        <f t="shared" si="87"/>
        <v>No</v>
      </c>
      <c r="AH372" t="str">
        <f t="shared" si="88"/>
        <v>Low</v>
      </c>
      <c r="AI372" t="e">
        <f t="shared" si="89"/>
        <v>#N/A</v>
      </c>
    </row>
    <row r="373" spans="33:35" x14ac:dyDescent="0.2">
      <c r="AG373" t="str">
        <f t="shared" si="87"/>
        <v>No</v>
      </c>
      <c r="AH373" t="str">
        <f t="shared" si="88"/>
        <v>Low</v>
      </c>
      <c r="AI373" t="e">
        <f t="shared" si="89"/>
        <v>#N/A</v>
      </c>
    </row>
    <row r="374" spans="33:35" x14ac:dyDescent="0.2">
      <c r="AG374" t="str">
        <f t="shared" si="87"/>
        <v>No</v>
      </c>
      <c r="AH374" t="str">
        <f t="shared" si="88"/>
        <v>Low</v>
      </c>
      <c r="AI374" t="e">
        <f t="shared" si="89"/>
        <v>#N/A</v>
      </c>
    </row>
    <row r="375" spans="33:35" x14ac:dyDescent="0.2">
      <c r="AG375" t="str">
        <f t="shared" si="87"/>
        <v>No</v>
      </c>
      <c r="AH375" t="str">
        <f t="shared" si="88"/>
        <v>Low</v>
      </c>
      <c r="AI375" t="e">
        <f t="shared" si="89"/>
        <v>#N/A</v>
      </c>
    </row>
    <row r="376" spans="33:35" x14ac:dyDescent="0.2">
      <c r="AG376" t="str">
        <f t="shared" si="87"/>
        <v>No</v>
      </c>
      <c r="AH376" t="str">
        <f t="shared" si="88"/>
        <v>Low</v>
      </c>
      <c r="AI376" t="e">
        <f t="shared" si="89"/>
        <v>#N/A</v>
      </c>
    </row>
    <row r="377" spans="33:35" x14ac:dyDescent="0.2">
      <c r="AG377" t="str">
        <f t="shared" si="87"/>
        <v>No</v>
      </c>
      <c r="AH377" t="str">
        <f t="shared" si="88"/>
        <v>Low</v>
      </c>
      <c r="AI377" t="e">
        <f t="shared" si="89"/>
        <v>#N/A</v>
      </c>
    </row>
    <row r="378" spans="33:35" x14ac:dyDescent="0.2">
      <c r="AG378" t="str">
        <f t="shared" si="87"/>
        <v>No</v>
      </c>
      <c r="AH378" t="str">
        <f t="shared" si="88"/>
        <v>Low</v>
      </c>
      <c r="AI378" t="e">
        <f t="shared" si="89"/>
        <v>#N/A</v>
      </c>
    </row>
    <row r="379" spans="33:35" x14ac:dyDescent="0.2">
      <c r="AG379" t="str">
        <f t="shared" si="87"/>
        <v>No</v>
      </c>
      <c r="AH379" t="str">
        <f t="shared" si="88"/>
        <v>Low</v>
      </c>
      <c r="AI379" t="e">
        <f t="shared" si="89"/>
        <v>#N/A</v>
      </c>
    </row>
    <row r="380" spans="33:35" x14ac:dyDescent="0.2">
      <c r="AG380" t="str">
        <f t="shared" si="87"/>
        <v>No</v>
      </c>
      <c r="AH380" t="str">
        <f t="shared" si="88"/>
        <v>Low</v>
      </c>
      <c r="AI380" t="e">
        <f t="shared" si="89"/>
        <v>#N/A</v>
      </c>
    </row>
    <row r="381" spans="33:35" x14ac:dyDescent="0.2">
      <c r="AG381" t="str">
        <f t="shared" si="87"/>
        <v>No</v>
      </c>
      <c r="AH381" t="str">
        <f t="shared" si="88"/>
        <v>Low</v>
      </c>
      <c r="AI381" t="e">
        <f t="shared" si="89"/>
        <v>#N/A</v>
      </c>
    </row>
    <row r="382" spans="33:35" x14ac:dyDescent="0.2">
      <c r="AG382" t="str">
        <f t="shared" si="87"/>
        <v>No</v>
      </c>
      <c r="AH382" t="str">
        <f t="shared" si="88"/>
        <v>Low</v>
      </c>
      <c r="AI382" t="e">
        <f t="shared" si="89"/>
        <v>#N/A</v>
      </c>
    </row>
    <row r="383" spans="33:35" x14ac:dyDescent="0.2">
      <c r="AG383" t="str">
        <f t="shared" si="87"/>
        <v>No</v>
      </c>
      <c r="AH383" t="str">
        <f t="shared" si="88"/>
        <v>Low</v>
      </c>
      <c r="AI383" t="e">
        <f t="shared" si="89"/>
        <v>#N/A</v>
      </c>
    </row>
    <row r="384" spans="33:35" x14ac:dyDescent="0.2">
      <c r="AG384" t="str">
        <f t="shared" si="87"/>
        <v>No</v>
      </c>
      <c r="AH384" t="str">
        <f t="shared" si="88"/>
        <v>Low</v>
      </c>
      <c r="AI384" t="e">
        <f t="shared" si="89"/>
        <v>#N/A</v>
      </c>
    </row>
    <row r="385" spans="33:35" x14ac:dyDescent="0.2">
      <c r="AG385" t="str">
        <f t="shared" si="87"/>
        <v>No</v>
      </c>
      <c r="AH385" t="str">
        <f t="shared" si="88"/>
        <v>Low</v>
      </c>
      <c r="AI385" t="e">
        <f t="shared" si="89"/>
        <v>#N/A</v>
      </c>
    </row>
    <row r="386" spans="33:35" x14ac:dyDescent="0.2">
      <c r="AG386" t="str">
        <f t="shared" si="87"/>
        <v>No</v>
      </c>
      <c r="AH386" t="str">
        <f t="shared" si="88"/>
        <v>Low</v>
      </c>
      <c r="AI386" t="e">
        <f t="shared" si="89"/>
        <v>#N/A</v>
      </c>
    </row>
    <row r="387" spans="33:35" x14ac:dyDescent="0.2">
      <c r="AG387" t="str">
        <f t="shared" ref="AG387:AG450" si="90">IF(AF387 &gt;= 0.5, "Yes", "No")</f>
        <v>No</v>
      </c>
      <c r="AH387" t="str">
        <f t="shared" ref="AH387:AH450" si="91">IF(AF387&gt;=0.6,"High",
   IF(AF387&gt;=0.4,"Medium","Low"))</f>
        <v>Low</v>
      </c>
      <c r="AI387" t="e">
        <f t="shared" ref="AI387:AI450" si="92">IF(AH387="High",N387,NA())</f>
        <v>#N/A</v>
      </c>
    </row>
    <row r="388" spans="33:35" x14ac:dyDescent="0.2">
      <c r="AG388" t="str">
        <f t="shared" si="90"/>
        <v>No</v>
      </c>
      <c r="AH388" t="str">
        <f t="shared" si="91"/>
        <v>Low</v>
      </c>
      <c r="AI388" t="e">
        <f t="shared" si="92"/>
        <v>#N/A</v>
      </c>
    </row>
    <row r="389" spans="33:35" x14ac:dyDescent="0.2">
      <c r="AG389" t="str">
        <f t="shared" si="90"/>
        <v>No</v>
      </c>
      <c r="AH389" t="str">
        <f t="shared" si="91"/>
        <v>Low</v>
      </c>
      <c r="AI389" t="e">
        <f t="shared" si="92"/>
        <v>#N/A</v>
      </c>
    </row>
    <row r="390" spans="33:35" x14ac:dyDescent="0.2">
      <c r="AG390" t="str">
        <f t="shared" si="90"/>
        <v>No</v>
      </c>
      <c r="AH390" t="str">
        <f t="shared" si="91"/>
        <v>Low</v>
      </c>
      <c r="AI390" t="e">
        <f t="shared" si="92"/>
        <v>#N/A</v>
      </c>
    </row>
    <row r="391" spans="33:35" x14ac:dyDescent="0.2">
      <c r="AG391" t="str">
        <f t="shared" si="90"/>
        <v>No</v>
      </c>
      <c r="AH391" t="str">
        <f t="shared" si="91"/>
        <v>Low</v>
      </c>
      <c r="AI391" t="e">
        <f t="shared" si="92"/>
        <v>#N/A</v>
      </c>
    </row>
    <row r="392" spans="33:35" x14ac:dyDescent="0.2">
      <c r="AG392" t="str">
        <f t="shared" si="90"/>
        <v>No</v>
      </c>
      <c r="AH392" t="str">
        <f t="shared" si="91"/>
        <v>Low</v>
      </c>
      <c r="AI392" t="e">
        <f t="shared" si="92"/>
        <v>#N/A</v>
      </c>
    </row>
    <row r="393" spans="33:35" x14ac:dyDescent="0.2">
      <c r="AG393" t="str">
        <f t="shared" si="90"/>
        <v>No</v>
      </c>
      <c r="AH393" t="str">
        <f t="shared" si="91"/>
        <v>Low</v>
      </c>
      <c r="AI393" t="e">
        <f t="shared" si="92"/>
        <v>#N/A</v>
      </c>
    </row>
    <row r="394" spans="33:35" x14ac:dyDescent="0.2">
      <c r="AG394" t="str">
        <f t="shared" si="90"/>
        <v>No</v>
      </c>
      <c r="AH394" t="str">
        <f t="shared" si="91"/>
        <v>Low</v>
      </c>
      <c r="AI394" t="e">
        <f t="shared" si="92"/>
        <v>#N/A</v>
      </c>
    </row>
    <row r="395" spans="33:35" x14ac:dyDescent="0.2">
      <c r="AG395" t="str">
        <f t="shared" si="90"/>
        <v>No</v>
      </c>
      <c r="AH395" t="str">
        <f t="shared" si="91"/>
        <v>Low</v>
      </c>
      <c r="AI395" t="e">
        <f t="shared" si="92"/>
        <v>#N/A</v>
      </c>
    </row>
    <row r="396" spans="33:35" x14ac:dyDescent="0.2">
      <c r="AG396" t="str">
        <f t="shared" si="90"/>
        <v>No</v>
      </c>
      <c r="AH396" t="str">
        <f t="shared" si="91"/>
        <v>Low</v>
      </c>
      <c r="AI396" t="e">
        <f t="shared" si="92"/>
        <v>#N/A</v>
      </c>
    </row>
    <row r="397" spans="33:35" x14ac:dyDescent="0.2">
      <c r="AG397" t="str">
        <f t="shared" si="90"/>
        <v>No</v>
      </c>
      <c r="AH397" t="str">
        <f t="shared" si="91"/>
        <v>Low</v>
      </c>
      <c r="AI397" t="e">
        <f t="shared" si="92"/>
        <v>#N/A</v>
      </c>
    </row>
    <row r="398" spans="33:35" x14ac:dyDescent="0.2">
      <c r="AG398" t="str">
        <f t="shared" si="90"/>
        <v>No</v>
      </c>
      <c r="AH398" t="str">
        <f t="shared" si="91"/>
        <v>Low</v>
      </c>
      <c r="AI398" t="e">
        <f t="shared" si="92"/>
        <v>#N/A</v>
      </c>
    </row>
    <row r="399" spans="33:35" x14ac:dyDescent="0.2">
      <c r="AG399" t="str">
        <f t="shared" si="90"/>
        <v>No</v>
      </c>
      <c r="AH399" t="str">
        <f t="shared" si="91"/>
        <v>Low</v>
      </c>
      <c r="AI399" t="e">
        <f t="shared" si="92"/>
        <v>#N/A</v>
      </c>
    </row>
    <row r="400" spans="33:35" x14ac:dyDescent="0.2">
      <c r="AG400" t="str">
        <f t="shared" si="90"/>
        <v>No</v>
      </c>
      <c r="AH400" t="str">
        <f t="shared" si="91"/>
        <v>Low</v>
      </c>
      <c r="AI400" t="e">
        <f t="shared" si="92"/>
        <v>#N/A</v>
      </c>
    </row>
    <row r="401" spans="33:35" x14ac:dyDescent="0.2">
      <c r="AG401" t="str">
        <f t="shared" si="90"/>
        <v>No</v>
      </c>
      <c r="AH401" t="str">
        <f t="shared" si="91"/>
        <v>Low</v>
      </c>
      <c r="AI401" t="e">
        <f t="shared" si="92"/>
        <v>#N/A</v>
      </c>
    </row>
    <row r="402" spans="33:35" x14ac:dyDescent="0.2">
      <c r="AG402" t="str">
        <f t="shared" si="90"/>
        <v>No</v>
      </c>
      <c r="AH402" t="str">
        <f t="shared" si="91"/>
        <v>Low</v>
      </c>
      <c r="AI402" t="e">
        <f t="shared" si="92"/>
        <v>#N/A</v>
      </c>
    </row>
    <row r="403" spans="33:35" x14ac:dyDescent="0.2">
      <c r="AG403" t="str">
        <f t="shared" si="90"/>
        <v>No</v>
      </c>
      <c r="AH403" t="str">
        <f t="shared" si="91"/>
        <v>Low</v>
      </c>
      <c r="AI403" t="e">
        <f t="shared" si="92"/>
        <v>#N/A</v>
      </c>
    </row>
    <row r="404" spans="33:35" x14ac:dyDescent="0.2">
      <c r="AG404" t="str">
        <f t="shared" si="90"/>
        <v>No</v>
      </c>
      <c r="AH404" t="str">
        <f t="shared" si="91"/>
        <v>Low</v>
      </c>
      <c r="AI404" t="e">
        <f t="shared" si="92"/>
        <v>#N/A</v>
      </c>
    </row>
    <row r="405" spans="33:35" x14ac:dyDescent="0.2">
      <c r="AG405" t="str">
        <f t="shared" si="90"/>
        <v>No</v>
      </c>
      <c r="AH405" t="str">
        <f t="shared" si="91"/>
        <v>Low</v>
      </c>
      <c r="AI405" t="e">
        <f t="shared" si="92"/>
        <v>#N/A</v>
      </c>
    </row>
    <row r="406" spans="33:35" x14ac:dyDescent="0.2">
      <c r="AG406" t="str">
        <f t="shared" si="90"/>
        <v>No</v>
      </c>
      <c r="AH406" t="str">
        <f t="shared" si="91"/>
        <v>Low</v>
      </c>
      <c r="AI406" t="e">
        <f t="shared" si="92"/>
        <v>#N/A</v>
      </c>
    </row>
    <row r="407" spans="33:35" x14ac:dyDescent="0.2">
      <c r="AG407" t="str">
        <f t="shared" si="90"/>
        <v>No</v>
      </c>
      <c r="AH407" t="str">
        <f t="shared" si="91"/>
        <v>Low</v>
      </c>
      <c r="AI407" t="e">
        <f t="shared" si="92"/>
        <v>#N/A</v>
      </c>
    </row>
    <row r="408" spans="33:35" x14ac:dyDescent="0.2">
      <c r="AG408" t="str">
        <f t="shared" si="90"/>
        <v>No</v>
      </c>
      <c r="AH408" t="str">
        <f t="shared" si="91"/>
        <v>Low</v>
      </c>
      <c r="AI408" t="e">
        <f t="shared" si="92"/>
        <v>#N/A</v>
      </c>
    </row>
    <row r="409" spans="33:35" x14ac:dyDescent="0.2">
      <c r="AG409" t="str">
        <f t="shared" si="90"/>
        <v>No</v>
      </c>
      <c r="AH409" t="str">
        <f t="shared" si="91"/>
        <v>Low</v>
      </c>
      <c r="AI409" t="e">
        <f t="shared" si="92"/>
        <v>#N/A</v>
      </c>
    </row>
    <row r="410" spans="33:35" x14ac:dyDescent="0.2">
      <c r="AG410" t="str">
        <f t="shared" si="90"/>
        <v>No</v>
      </c>
      <c r="AH410" t="str">
        <f t="shared" si="91"/>
        <v>Low</v>
      </c>
      <c r="AI410" t="e">
        <f t="shared" si="92"/>
        <v>#N/A</v>
      </c>
    </row>
    <row r="411" spans="33:35" x14ac:dyDescent="0.2">
      <c r="AG411" t="str">
        <f t="shared" si="90"/>
        <v>No</v>
      </c>
      <c r="AH411" t="str">
        <f t="shared" si="91"/>
        <v>Low</v>
      </c>
      <c r="AI411" t="e">
        <f t="shared" si="92"/>
        <v>#N/A</v>
      </c>
    </row>
    <row r="412" spans="33:35" x14ac:dyDescent="0.2">
      <c r="AG412" t="str">
        <f t="shared" si="90"/>
        <v>No</v>
      </c>
      <c r="AH412" t="str">
        <f t="shared" si="91"/>
        <v>Low</v>
      </c>
      <c r="AI412" t="e">
        <f t="shared" si="92"/>
        <v>#N/A</v>
      </c>
    </row>
    <row r="413" spans="33:35" x14ac:dyDescent="0.2">
      <c r="AG413" t="str">
        <f t="shared" si="90"/>
        <v>No</v>
      </c>
      <c r="AH413" t="str">
        <f t="shared" si="91"/>
        <v>Low</v>
      </c>
      <c r="AI413" t="e">
        <f t="shared" si="92"/>
        <v>#N/A</v>
      </c>
    </row>
    <row r="414" spans="33:35" x14ac:dyDescent="0.2">
      <c r="AG414" t="str">
        <f t="shared" si="90"/>
        <v>No</v>
      </c>
      <c r="AH414" t="str">
        <f t="shared" si="91"/>
        <v>Low</v>
      </c>
      <c r="AI414" t="e">
        <f t="shared" si="92"/>
        <v>#N/A</v>
      </c>
    </row>
    <row r="415" spans="33:35" x14ac:dyDescent="0.2">
      <c r="AG415" t="str">
        <f t="shared" si="90"/>
        <v>No</v>
      </c>
      <c r="AH415" t="str">
        <f t="shared" si="91"/>
        <v>Low</v>
      </c>
      <c r="AI415" t="e">
        <f t="shared" si="92"/>
        <v>#N/A</v>
      </c>
    </row>
    <row r="416" spans="33:35" x14ac:dyDescent="0.2">
      <c r="AG416" t="str">
        <f t="shared" si="90"/>
        <v>No</v>
      </c>
      <c r="AH416" t="str">
        <f t="shared" si="91"/>
        <v>Low</v>
      </c>
      <c r="AI416" t="e">
        <f t="shared" si="92"/>
        <v>#N/A</v>
      </c>
    </row>
    <row r="417" spans="33:35" x14ac:dyDescent="0.2">
      <c r="AG417" t="str">
        <f t="shared" si="90"/>
        <v>No</v>
      </c>
      <c r="AH417" t="str">
        <f t="shared" si="91"/>
        <v>Low</v>
      </c>
      <c r="AI417" t="e">
        <f t="shared" si="92"/>
        <v>#N/A</v>
      </c>
    </row>
    <row r="418" spans="33:35" x14ac:dyDescent="0.2">
      <c r="AG418" t="str">
        <f t="shared" si="90"/>
        <v>No</v>
      </c>
      <c r="AH418" t="str">
        <f t="shared" si="91"/>
        <v>Low</v>
      </c>
      <c r="AI418" t="e">
        <f t="shared" si="92"/>
        <v>#N/A</v>
      </c>
    </row>
    <row r="419" spans="33:35" x14ac:dyDescent="0.2">
      <c r="AG419" t="str">
        <f t="shared" si="90"/>
        <v>No</v>
      </c>
      <c r="AH419" t="str">
        <f t="shared" si="91"/>
        <v>Low</v>
      </c>
      <c r="AI419" t="e">
        <f t="shared" si="92"/>
        <v>#N/A</v>
      </c>
    </row>
    <row r="420" spans="33:35" x14ac:dyDescent="0.2">
      <c r="AG420" t="str">
        <f t="shared" si="90"/>
        <v>No</v>
      </c>
      <c r="AH420" t="str">
        <f t="shared" si="91"/>
        <v>Low</v>
      </c>
      <c r="AI420" t="e">
        <f t="shared" si="92"/>
        <v>#N/A</v>
      </c>
    </row>
    <row r="421" spans="33:35" x14ac:dyDescent="0.2">
      <c r="AG421" t="str">
        <f t="shared" si="90"/>
        <v>No</v>
      </c>
      <c r="AH421" t="str">
        <f t="shared" si="91"/>
        <v>Low</v>
      </c>
      <c r="AI421" t="e">
        <f t="shared" si="92"/>
        <v>#N/A</v>
      </c>
    </row>
    <row r="422" spans="33:35" x14ac:dyDescent="0.2">
      <c r="AG422" t="str">
        <f t="shared" si="90"/>
        <v>No</v>
      </c>
      <c r="AH422" t="str">
        <f t="shared" si="91"/>
        <v>Low</v>
      </c>
      <c r="AI422" t="e">
        <f t="shared" si="92"/>
        <v>#N/A</v>
      </c>
    </row>
    <row r="423" spans="33:35" x14ac:dyDescent="0.2">
      <c r="AG423" t="str">
        <f t="shared" si="90"/>
        <v>No</v>
      </c>
      <c r="AH423" t="str">
        <f t="shared" si="91"/>
        <v>Low</v>
      </c>
      <c r="AI423" t="e">
        <f t="shared" si="92"/>
        <v>#N/A</v>
      </c>
    </row>
    <row r="424" spans="33:35" x14ac:dyDescent="0.2">
      <c r="AG424" t="str">
        <f t="shared" si="90"/>
        <v>No</v>
      </c>
      <c r="AH424" t="str">
        <f t="shared" si="91"/>
        <v>Low</v>
      </c>
      <c r="AI424" t="e">
        <f t="shared" si="92"/>
        <v>#N/A</v>
      </c>
    </row>
    <row r="425" spans="33:35" x14ac:dyDescent="0.2">
      <c r="AG425" t="str">
        <f t="shared" si="90"/>
        <v>No</v>
      </c>
      <c r="AH425" t="str">
        <f t="shared" si="91"/>
        <v>Low</v>
      </c>
      <c r="AI425" t="e">
        <f t="shared" si="92"/>
        <v>#N/A</v>
      </c>
    </row>
    <row r="426" spans="33:35" x14ac:dyDescent="0.2">
      <c r="AG426" t="str">
        <f t="shared" si="90"/>
        <v>No</v>
      </c>
      <c r="AH426" t="str">
        <f t="shared" si="91"/>
        <v>Low</v>
      </c>
      <c r="AI426" t="e">
        <f t="shared" si="92"/>
        <v>#N/A</v>
      </c>
    </row>
    <row r="427" spans="33:35" x14ac:dyDescent="0.2">
      <c r="AG427" t="str">
        <f t="shared" si="90"/>
        <v>No</v>
      </c>
      <c r="AH427" t="str">
        <f t="shared" si="91"/>
        <v>Low</v>
      </c>
      <c r="AI427" t="e">
        <f t="shared" si="92"/>
        <v>#N/A</v>
      </c>
    </row>
    <row r="428" spans="33:35" x14ac:dyDescent="0.2">
      <c r="AG428" t="str">
        <f t="shared" si="90"/>
        <v>No</v>
      </c>
      <c r="AH428" t="str">
        <f t="shared" si="91"/>
        <v>Low</v>
      </c>
      <c r="AI428" t="e">
        <f t="shared" si="92"/>
        <v>#N/A</v>
      </c>
    </row>
    <row r="429" spans="33:35" x14ac:dyDescent="0.2">
      <c r="AG429" t="str">
        <f t="shared" si="90"/>
        <v>No</v>
      </c>
      <c r="AH429" t="str">
        <f t="shared" si="91"/>
        <v>Low</v>
      </c>
      <c r="AI429" t="e">
        <f t="shared" si="92"/>
        <v>#N/A</v>
      </c>
    </row>
    <row r="430" spans="33:35" x14ac:dyDescent="0.2">
      <c r="AG430" t="str">
        <f t="shared" si="90"/>
        <v>No</v>
      </c>
      <c r="AH430" t="str">
        <f t="shared" si="91"/>
        <v>Low</v>
      </c>
      <c r="AI430" t="e">
        <f t="shared" si="92"/>
        <v>#N/A</v>
      </c>
    </row>
    <row r="431" spans="33:35" x14ac:dyDescent="0.2">
      <c r="AG431" t="str">
        <f t="shared" si="90"/>
        <v>No</v>
      </c>
      <c r="AH431" t="str">
        <f t="shared" si="91"/>
        <v>Low</v>
      </c>
      <c r="AI431" t="e">
        <f t="shared" si="92"/>
        <v>#N/A</v>
      </c>
    </row>
    <row r="432" spans="33:35" x14ac:dyDescent="0.2">
      <c r="AG432" t="str">
        <f t="shared" si="90"/>
        <v>No</v>
      </c>
      <c r="AH432" t="str">
        <f t="shared" si="91"/>
        <v>Low</v>
      </c>
      <c r="AI432" t="e">
        <f t="shared" si="92"/>
        <v>#N/A</v>
      </c>
    </row>
    <row r="433" spans="33:35" x14ac:dyDescent="0.2">
      <c r="AG433" t="str">
        <f t="shared" si="90"/>
        <v>No</v>
      </c>
      <c r="AH433" t="str">
        <f t="shared" si="91"/>
        <v>Low</v>
      </c>
      <c r="AI433" t="e">
        <f t="shared" si="92"/>
        <v>#N/A</v>
      </c>
    </row>
    <row r="434" spans="33:35" x14ac:dyDescent="0.2">
      <c r="AG434" t="str">
        <f t="shared" si="90"/>
        <v>No</v>
      </c>
      <c r="AH434" t="str">
        <f t="shared" si="91"/>
        <v>Low</v>
      </c>
      <c r="AI434" t="e">
        <f t="shared" si="92"/>
        <v>#N/A</v>
      </c>
    </row>
    <row r="435" spans="33:35" x14ac:dyDescent="0.2">
      <c r="AG435" t="str">
        <f t="shared" si="90"/>
        <v>No</v>
      </c>
      <c r="AH435" t="str">
        <f t="shared" si="91"/>
        <v>Low</v>
      </c>
      <c r="AI435" t="e">
        <f t="shared" si="92"/>
        <v>#N/A</v>
      </c>
    </row>
    <row r="436" spans="33:35" x14ac:dyDescent="0.2">
      <c r="AG436" t="str">
        <f t="shared" si="90"/>
        <v>No</v>
      </c>
      <c r="AH436" t="str">
        <f t="shared" si="91"/>
        <v>Low</v>
      </c>
      <c r="AI436" t="e">
        <f t="shared" si="92"/>
        <v>#N/A</v>
      </c>
    </row>
    <row r="437" spans="33:35" x14ac:dyDescent="0.2">
      <c r="AG437" t="str">
        <f t="shared" si="90"/>
        <v>No</v>
      </c>
      <c r="AH437" t="str">
        <f t="shared" si="91"/>
        <v>Low</v>
      </c>
      <c r="AI437" t="e">
        <f t="shared" si="92"/>
        <v>#N/A</v>
      </c>
    </row>
    <row r="438" spans="33:35" x14ac:dyDescent="0.2">
      <c r="AG438" t="str">
        <f t="shared" si="90"/>
        <v>No</v>
      </c>
      <c r="AH438" t="str">
        <f t="shared" si="91"/>
        <v>Low</v>
      </c>
      <c r="AI438" t="e">
        <f t="shared" si="92"/>
        <v>#N/A</v>
      </c>
    </row>
    <row r="439" spans="33:35" x14ac:dyDescent="0.2">
      <c r="AG439" t="str">
        <f t="shared" si="90"/>
        <v>No</v>
      </c>
      <c r="AH439" t="str">
        <f t="shared" si="91"/>
        <v>Low</v>
      </c>
      <c r="AI439" t="e">
        <f t="shared" si="92"/>
        <v>#N/A</v>
      </c>
    </row>
    <row r="440" spans="33:35" x14ac:dyDescent="0.2">
      <c r="AG440" t="str">
        <f t="shared" si="90"/>
        <v>No</v>
      </c>
      <c r="AH440" t="str">
        <f t="shared" si="91"/>
        <v>Low</v>
      </c>
      <c r="AI440" t="e">
        <f t="shared" si="92"/>
        <v>#N/A</v>
      </c>
    </row>
    <row r="441" spans="33:35" x14ac:dyDescent="0.2">
      <c r="AG441" t="str">
        <f t="shared" si="90"/>
        <v>No</v>
      </c>
      <c r="AH441" t="str">
        <f t="shared" si="91"/>
        <v>Low</v>
      </c>
      <c r="AI441" t="e">
        <f t="shared" si="92"/>
        <v>#N/A</v>
      </c>
    </row>
    <row r="442" spans="33:35" x14ac:dyDescent="0.2">
      <c r="AG442" t="str">
        <f t="shared" si="90"/>
        <v>No</v>
      </c>
      <c r="AH442" t="str">
        <f t="shared" si="91"/>
        <v>Low</v>
      </c>
      <c r="AI442" t="e">
        <f t="shared" si="92"/>
        <v>#N/A</v>
      </c>
    </row>
    <row r="443" spans="33:35" x14ac:dyDescent="0.2">
      <c r="AG443" t="str">
        <f t="shared" si="90"/>
        <v>No</v>
      </c>
      <c r="AH443" t="str">
        <f t="shared" si="91"/>
        <v>Low</v>
      </c>
      <c r="AI443" t="e">
        <f t="shared" si="92"/>
        <v>#N/A</v>
      </c>
    </row>
    <row r="444" spans="33:35" x14ac:dyDescent="0.2">
      <c r="AG444" t="str">
        <f t="shared" si="90"/>
        <v>No</v>
      </c>
      <c r="AH444" t="str">
        <f t="shared" si="91"/>
        <v>Low</v>
      </c>
      <c r="AI444" t="e">
        <f t="shared" si="92"/>
        <v>#N/A</v>
      </c>
    </row>
    <row r="445" spans="33:35" x14ac:dyDescent="0.2">
      <c r="AG445" t="str">
        <f t="shared" si="90"/>
        <v>No</v>
      </c>
      <c r="AH445" t="str">
        <f t="shared" si="91"/>
        <v>Low</v>
      </c>
      <c r="AI445" t="e">
        <f t="shared" si="92"/>
        <v>#N/A</v>
      </c>
    </row>
    <row r="446" spans="33:35" x14ac:dyDescent="0.2">
      <c r="AG446" t="str">
        <f t="shared" si="90"/>
        <v>No</v>
      </c>
      <c r="AH446" t="str">
        <f t="shared" si="91"/>
        <v>Low</v>
      </c>
      <c r="AI446" t="e">
        <f t="shared" si="92"/>
        <v>#N/A</v>
      </c>
    </row>
    <row r="447" spans="33:35" x14ac:dyDescent="0.2">
      <c r="AG447" t="str">
        <f t="shared" si="90"/>
        <v>No</v>
      </c>
      <c r="AH447" t="str">
        <f t="shared" si="91"/>
        <v>Low</v>
      </c>
      <c r="AI447" t="e">
        <f t="shared" si="92"/>
        <v>#N/A</v>
      </c>
    </row>
    <row r="448" spans="33:35" x14ac:dyDescent="0.2">
      <c r="AG448" t="str">
        <f t="shared" si="90"/>
        <v>No</v>
      </c>
      <c r="AH448" t="str">
        <f t="shared" si="91"/>
        <v>Low</v>
      </c>
      <c r="AI448" t="e">
        <f t="shared" si="92"/>
        <v>#N/A</v>
      </c>
    </row>
    <row r="449" spans="33:35" x14ac:dyDescent="0.2">
      <c r="AG449" t="str">
        <f t="shared" si="90"/>
        <v>No</v>
      </c>
      <c r="AH449" t="str">
        <f t="shared" si="91"/>
        <v>Low</v>
      </c>
      <c r="AI449" t="e">
        <f t="shared" si="92"/>
        <v>#N/A</v>
      </c>
    </row>
    <row r="450" spans="33:35" x14ac:dyDescent="0.2">
      <c r="AG450" t="str">
        <f t="shared" si="90"/>
        <v>No</v>
      </c>
      <c r="AH450" t="str">
        <f t="shared" si="91"/>
        <v>Low</v>
      </c>
      <c r="AI450" t="e">
        <f t="shared" si="92"/>
        <v>#N/A</v>
      </c>
    </row>
    <row r="451" spans="33:35" x14ac:dyDescent="0.2">
      <c r="AG451" t="str">
        <f t="shared" ref="AG451:AG514" si="93">IF(AF451 &gt;= 0.5, "Yes", "No")</f>
        <v>No</v>
      </c>
      <c r="AH451" t="str">
        <f t="shared" ref="AH451:AH514" si="94">IF(AF451&gt;=0.6,"High",
   IF(AF451&gt;=0.4,"Medium","Low"))</f>
        <v>Low</v>
      </c>
      <c r="AI451" t="e">
        <f t="shared" ref="AI451:AI514" si="95">IF(AH451="High",N451,NA())</f>
        <v>#N/A</v>
      </c>
    </row>
    <row r="452" spans="33:35" x14ac:dyDescent="0.2">
      <c r="AG452" t="str">
        <f t="shared" si="93"/>
        <v>No</v>
      </c>
      <c r="AH452" t="str">
        <f t="shared" si="94"/>
        <v>Low</v>
      </c>
      <c r="AI452" t="e">
        <f t="shared" si="95"/>
        <v>#N/A</v>
      </c>
    </row>
    <row r="453" spans="33:35" x14ac:dyDescent="0.2">
      <c r="AG453" t="str">
        <f t="shared" si="93"/>
        <v>No</v>
      </c>
      <c r="AH453" t="str">
        <f t="shared" si="94"/>
        <v>Low</v>
      </c>
      <c r="AI453" t="e">
        <f t="shared" si="95"/>
        <v>#N/A</v>
      </c>
    </row>
    <row r="454" spans="33:35" x14ac:dyDescent="0.2">
      <c r="AG454" t="str">
        <f t="shared" si="93"/>
        <v>No</v>
      </c>
      <c r="AH454" t="str">
        <f t="shared" si="94"/>
        <v>Low</v>
      </c>
      <c r="AI454" t="e">
        <f t="shared" si="95"/>
        <v>#N/A</v>
      </c>
    </row>
    <row r="455" spans="33:35" x14ac:dyDescent="0.2">
      <c r="AG455" t="str">
        <f t="shared" si="93"/>
        <v>No</v>
      </c>
      <c r="AH455" t="str">
        <f t="shared" si="94"/>
        <v>Low</v>
      </c>
      <c r="AI455" t="e">
        <f t="shared" si="95"/>
        <v>#N/A</v>
      </c>
    </row>
    <row r="456" spans="33:35" x14ac:dyDescent="0.2">
      <c r="AG456" t="str">
        <f t="shared" si="93"/>
        <v>No</v>
      </c>
      <c r="AH456" t="str">
        <f t="shared" si="94"/>
        <v>Low</v>
      </c>
      <c r="AI456" t="e">
        <f t="shared" si="95"/>
        <v>#N/A</v>
      </c>
    </row>
    <row r="457" spans="33:35" x14ac:dyDescent="0.2">
      <c r="AG457" t="str">
        <f t="shared" si="93"/>
        <v>No</v>
      </c>
      <c r="AH457" t="str">
        <f t="shared" si="94"/>
        <v>Low</v>
      </c>
      <c r="AI457" t="e">
        <f t="shared" si="95"/>
        <v>#N/A</v>
      </c>
    </row>
    <row r="458" spans="33:35" x14ac:dyDescent="0.2">
      <c r="AG458" t="str">
        <f t="shared" si="93"/>
        <v>No</v>
      </c>
      <c r="AH458" t="str">
        <f t="shared" si="94"/>
        <v>Low</v>
      </c>
      <c r="AI458" t="e">
        <f t="shared" si="95"/>
        <v>#N/A</v>
      </c>
    </row>
    <row r="459" spans="33:35" x14ac:dyDescent="0.2">
      <c r="AG459" t="str">
        <f t="shared" si="93"/>
        <v>No</v>
      </c>
      <c r="AH459" t="str">
        <f t="shared" si="94"/>
        <v>Low</v>
      </c>
      <c r="AI459" t="e">
        <f t="shared" si="95"/>
        <v>#N/A</v>
      </c>
    </row>
    <row r="460" spans="33:35" x14ac:dyDescent="0.2">
      <c r="AG460" t="str">
        <f t="shared" si="93"/>
        <v>No</v>
      </c>
      <c r="AH460" t="str">
        <f t="shared" si="94"/>
        <v>Low</v>
      </c>
      <c r="AI460" t="e">
        <f t="shared" si="95"/>
        <v>#N/A</v>
      </c>
    </row>
    <row r="461" spans="33:35" x14ac:dyDescent="0.2">
      <c r="AG461" t="str">
        <f t="shared" si="93"/>
        <v>No</v>
      </c>
      <c r="AH461" t="str">
        <f t="shared" si="94"/>
        <v>Low</v>
      </c>
      <c r="AI461" t="e">
        <f t="shared" si="95"/>
        <v>#N/A</v>
      </c>
    </row>
    <row r="462" spans="33:35" x14ac:dyDescent="0.2">
      <c r="AG462" t="str">
        <f t="shared" si="93"/>
        <v>No</v>
      </c>
      <c r="AH462" t="str">
        <f t="shared" si="94"/>
        <v>Low</v>
      </c>
      <c r="AI462" t="e">
        <f t="shared" si="95"/>
        <v>#N/A</v>
      </c>
    </row>
    <row r="463" spans="33:35" x14ac:dyDescent="0.2">
      <c r="AG463" t="str">
        <f t="shared" si="93"/>
        <v>No</v>
      </c>
      <c r="AH463" t="str">
        <f t="shared" si="94"/>
        <v>Low</v>
      </c>
      <c r="AI463" t="e">
        <f t="shared" si="95"/>
        <v>#N/A</v>
      </c>
    </row>
    <row r="464" spans="33:35" x14ac:dyDescent="0.2">
      <c r="AG464" t="str">
        <f t="shared" si="93"/>
        <v>No</v>
      </c>
      <c r="AH464" t="str">
        <f t="shared" si="94"/>
        <v>Low</v>
      </c>
      <c r="AI464" t="e">
        <f t="shared" si="95"/>
        <v>#N/A</v>
      </c>
    </row>
    <row r="465" spans="33:35" x14ac:dyDescent="0.2">
      <c r="AG465" t="str">
        <f t="shared" si="93"/>
        <v>No</v>
      </c>
      <c r="AH465" t="str">
        <f t="shared" si="94"/>
        <v>Low</v>
      </c>
      <c r="AI465" t="e">
        <f t="shared" si="95"/>
        <v>#N/A</v>
      </c>
    </row>
    <row r="466" spans="33:35" x14ac:dyDescent="0.2">
      <c r="AG466" t="str">
        <f t="shared" si="93"/>
        <v>No</v>
      </c>
      <c r="AH466" t="str">
        <f t="shared" si="94"/>
        <v>Low</v>
      </c>
      <c r="AI466" t="e">
        <f t="shared" si="95"/>
        <v>#N/A</v>
      </c>
    </row>
    <row r="467" spans="33:35" x14ac:dyDescent="0.2">
      <c r="AG467" t="str">
        <f t="shared" si="93"/>
        <v>No</v>
      </c>
      <c r="AH467" t="str">
        <f t="shared" si="94"/>
        <v>Low</v>
      </c>
      <c r="AI467" t="e">
        <f t="shared" si="95"/>
        <v>#N/A</v>
      </c>
    </row>
    <row r="468" spans="33:35" x14ac:dyDescent="0.2">
      <c r="AG468" t="str">
        <f t="shared" si="93"/>
        <v>No</v>
      </c>
      <c r="AH468" t="str">
        <f t="shared" si="94"/>
        <v>Low</v>
      </c>
      <c r="AI468" t="e">
        <f t="shared" si="95"/>
        <v>#N/A</v>
      </c>
    </row>
    <row r="469" spans="33:35" x14ac:dyDescent="0.2">
      <c r="AG469" t="str">
        <f t="shared" si="93"/>
        <v>No</v>
      </c>
      <c r="AH469" t="str">
        <f t="shared" si="94"/>
        <v>Low</v>
      </c>
      <c r="AI469" t="e">
        <f t="shared" si="95"/>
        <v>#N/A</v>
      </c>
    </row>
    <row r="470" spans="33:35" x14ac:dyDescent="0.2">
      <c r="AG470" t="str">
        <f t="shared" si="93"/>
        <v>No</v>
      </c>
      <c r="AH470" t="str">
        <f t="shared" si="94"/>
        <v>Low</v>
      </c>
      <c r="AI470" t="e">
        <f t="shared" si="95"/>
        <v>#N/A</v>
      </c>
    </row>
    <row r="471" spans="33:35" x14ac:dyDescent="0.2">
      <c r="AG471" t="str">
        <f t="shared" si="93"/>
        <v>No</v>
      </c>
      <c r="AH471" t="str">
        <f t="shared" si="94"/>
        <v>Low</v>
      </c>
      <c r="AI471" t="e">
        <f t="shared" si="95"/>
        <v>#N/A</v>
      </c>
    </row>
    <row r="472" spans="33:35" x14ac:dyDescent="0.2">
      <c r="AG472" t="str">
        <f t="shared" si="93"/>
        <v>No</v>
      </c>
      <c r="AH472" t="str">
        <f t="shared" si="94"/>
        <v>Low</v>
      </c>
      <c r="AI472" t="e">
        <f t="shared" si="95"/>
        <v>#N/A</v>
      </c>
    </row>
    <row r="473" spans="33:35" x14ac:dyDescent="0.2">
      <c r="AG473" t="str">
        <f t="shared" si="93"/>
        <v>No</v>
      </c>
      <c r="AH473" t="str">
        <f t="shared" si="94"/>
        <v>Low</v>
      </c>
      <c r="AI473" t="e">
        <f t="shared" si="95"/>
        <v>#N/A</v>
      </c>
    </row>
    <row r="474" spans="33:35" x14ac:dyDescent="0.2">
      <c r="AG474" t="str">
        <f t="shared" si="93"/>
        <v>No</v>
      </c>
      <c r="AH474" t="str">
        <f t="shared" si="94"/>
        <v>Low</v>
      </c>
      <c r="AI474" t="e">
        <f t="shared" si="95"/>
        <v>#N/A</v>
      </c>
    </row>
    <row r="475" spans="33:35" x14ac:dyDescent="0.2">
      <c r="AG475" t="str">
        <f t="shared" si="93"/>
        <v>No</v>
      </c>
      <c r="AH475" t="str">
        <f t="shared" si="94"/>
        <v>Low</v>
      </c>
      <c r="AI475" t="e">
        <f t="shared" si="95"/>
        <v>#N/A</v>
      </c>
    </row>
    <row r="476" spans="33:35" x14ac:dyDescent="0.2">
      <c r="AG476" t="str">
        <f t="shared" si="93"/>
        <v>No</v>
      </c>
      <c r="AH476" t="str">
        <f t="shared" si="94"/>
        <v>Low</v>
      </c>
      <c r="AI476" t="e">
        <f t="shared" si="95"/>
        <v>#N/A</v>
      </c>
    </row>
    <row r="477" spans="33:35" x14ac:dyDescent="0.2">
      <c r="AG477" t="str">
        <f t="shared" si="93"/>
        <v>No</v>
      </c>
      <c r="AH477" t="str">
        <f t="shared" si="94"/>
        <v>Low</v>
      </c>
      <c r="AI477" t="e">
        <f t="shared" si="95"/>
        <v>#N/A</v>
      </c>
    </row>
    <row r="478" spans="33:35" x14ac:dyDescent="0.2">
      <c r="AG478" t="str">
        <f t="shared" si="93"/>
        <v>No</v>
      </c>
      <c r="AH478" t="str">
        <f t="shared" si="94"/>
        <v>Low</v>
      </c>
      <c r="AI478" t="e">
        <f t="shared" si="95"/>
        <v>#N/A</v>
      </c>
    </row>
    <row r="479" spans="33:35" x14ac:dyDescent="0.2">
      <c r="AG479" t="str">
        <f t="shared" si="93"/>
        <v>No</v>
      </c>
      <c r="AH479" t="str">
        <f t="shared" si="94"/>
        <v>Low</v>
      </c>
      <c r="AI479" t="e">
        <f t="shared" si="95"/>
        <v>#N/A</v>
      </c>
    </row>
    <row r="480" spans="33:35" x14ac:dyDescent="0.2">
      <c r="AG480" t="str">
        <f t="shared" si="93"/>
        <v>No</v>
      </c>
      <c r="AH480" t="str">
        <f t="shared" si="94"/>
        <v>Low</v>
      </c>
      <c r="AI480" t="e">
        <f t="shared" si="95"/>
        <v>#N/A</v>
      </c>
    </row>
    <row r="481" spans="33:35" x14ac:dyDescent="0.2">
      <c r="AG481" t="str">
        <f t="shared" si="93"/>
        <v>No</v>
      </c>
      <c r="AH481" t="str">
        <f t="shared" si="94"/>
        <v>Low</v>
      </c>
      <c r="AI481" t="e">
        <f t="shared" si="95"/>
        <v>#N/A</v>
      </c>
    </row>
    <row r="482" spans="33:35" x14ac:dyDescent="0.2">
      <c r="AG482" t="str">
        <f t="shared" si="93"/>
        <v>No</v>
      </c>
      <c r="AH482" t="str">
        <f t="shared" si="94"/>
        <v>Low</v>
      </c>
      <c r="AI482" t="e">
        <f t="shared" si="95"/>
        <v>#N/A</v>
      </c>
    </row>
    <row r="483" spans="33:35" x14ac:dyDescent="0.2">
      <c r="AG483" t="str">
        <f t="shared" si="93"/>
        <v>No</v>
      </c>
      <c r="AH483" t="str">
        <f t="shared" si="94"/>
        <v>Low</v>
      </c>
      <c r="AI483" t="e">
        <f t="shared" si="95"/>
        <v>#N/A</v>
      </c>
    </row>
    <row r="484" spans="33:35" x14ac:dyDescent="0.2">
      <c r="AG484" t="str">
        <f t="shared" si="93"/>
        <v>No</v>
      </c>
      <c r="AH484" t="str">
        <f t="shared" si="94"/>
        <v>Low</v>
      </c>
      <c r="AI484" t="e">
        <f t="shared" si="95"/>
        <v>#N/A</v>
      </c>
    </row>
    <row r="485" spans="33:35" x14ac:dyDescent="0.2">
      <c r="AG485" t="str">
        <f t="shared" si="93"/>
        <v>No</v>
      </c>
      <c r="AH485" t="str">
        <f t="shared" si="94"/>
        <v>Low</v>
      </c>
      <c r="AI485" t="e">
        <f t="shared" si="95"/>
        <v>#N/A</v>
      </c>
    </row>
    <row r="486" spans="33:35" x14ac:dyDescent="0.2">
      <c r="AG486" t="str">
        <f t="shared" si="93"/>
        <v>No</v>
      </c>
      <c r="AH486" t="str">
        <f t="shared" si="94"/>
        <v>Low</v>
      </c>
      <c r="AI486" t="e">
        <f t="shared" si="95"/>
        <v>#N/A</v>
      </c>
    </row>
    <row r="487" spans="33:35" x14ac:dyDescent="0.2">
      <c r="AG487" t="str">
        <f t="shared" si="93"/>
        <v>No</v>
      </c>
      <c r="AH487" t="str">
        <f t="shared" si="94"/>
        <v>Low</v>
      </c>
      <c r="AI487" t="e">
        <f t="shared" si="95"/>
        <v>#N/A</v>
      </c>
    </row>
    <row r="488" spans="33:35" x14ac:dyDescent="0.2">
      <c r="AG488" t="str">
        <f t="shared" si="93"/>
        <v>No</v>
      </c>
      <c r="AH488" t="str">
        <f t="shared" si="94"/>
        <v>Low</v>
      </c>
      <c r="AI488" t="e">
        <f t="shared" si="95"/>
        <v>#N/A</v>
      </c>
    </row>
    <row r="489" spans="33:35" x14ac:dyDescent="0.2">
      <c r="AG489" t="str">
        <f t="shared" si="93"/>
        <v>No</v>
      </c>
      <c r="AH489" t="str">
        <f t="shared" si="94"/>
        <v>Low</v>
      </c>
      <c r="AI489" t="e">
        <f t="shared" si="95"/>
        <v>#N/A</v>
      </c>
    </row>
    <row r="490" spans="33:35" x14ac:dyDescent="0.2">
      <c r="AG490" t="str">
        <f t="shared" si="93"/>
        <v>No</v>
      </c>
      <c r="AH490" t="str">
        <f t="shared" si="94"/>
        <v>Low</v>
      </c>
      <c r="AI490" t="e">
        <f t="shared" si="95"/>
        <v>#N/A</v>
      </c>
    </row>
    <row r="491" spans="33:35" x14ac:dyDescent="0.2">
      <c r="AG491" t="str">
        <f t="shared" si="93"/>
        <v>No</v>
      </c>
      <c r="AH491" t="str">
        <f t="shared" si="94"/>
        <v>Low</v>
      </c>
      <c r="AI491" t="e">
        <f t="shared" si="95"/>
        <v>#N/A</v>
      </c>
    </row>
    <row r="492" spans="33:35" x14ac:dyDescent="0.2">
      <c r="AG492" t="str">
        <f t="shared" si="93"/>
        <v>No</v>
      </c>
      <c r="AH492" t="str">
        <f t="shared" si="94"/>
        <v>Low</v>
      </c>
      <c r="AI492" t="e">
        <f t="shared" si="95"/>
        <v>#N/A</v>
      </c>
    </row>
    <row r="493" spans="33:35" x14ac:dyDescent="0.2">
      <c r="AG493" t="str">
        <f t="shared" si="93"/>
        <v>No</v>
      </c>
      <c r="AH493" t="str">
        <f t="shared" si="94"/>
        <v>Low</v>
      </c>
      <c r="AI493" t="e">
        <f t="shared" si="95"/>
        <v>#N/A</v>
      </c>
    </row>
    <row r="494" spans="33:35" x14ac:dyDescent="0.2">
      <c r="AG494" t="str">
        <f t="shared" si="93"/>
        <v>No</v>
      </c>
      <c r="AH494" t="str">
        <f t="shared" si="94"/>
        <v>Low</v>
      </c>
      <c r="AI494" t="e">
        <f t="shared" si="95"/>
        <v>#N/A</v>
      </c>
    </row>
    <row r="495" spans="33:35" x14ac:dyDescent="0.2">
      <c r="AG495" t="str">
        <f t="shared" si="93"/>
        <v>No</v>
      </c>
      <c r="AH495" t="str">
        <f t="shared" si="94"/>
        <v>Low</v>
      </c>
      <c r="AI495" t="e">
        <f t="shared" si="95"/>
        <v>#N/A</v>
      </c>
    </row>
    <row r="496" spans="33:35" x14ac:dyDescent="0.2">
      <c r="AG496" t="str">
        <f t="shared" si="93"/>
        <v>No</v>
      </c>
      <c r="AH496" t="str">
        <f t="shared" si="94"/>
        <v>Low</v>
      </c>
      <c r="AI496" t="e">
        <f t="shared" si="95"/>
        <v>#N/A</v>
      </c>
    </row>
    <row r="497" spans="33:35" x14ac:dyDescent="0.2">
      <c r="AG497" t="str">
        <f t="shared" si="93"/>
        <v>No</v>
      </c>
      <c r="AH497" t="str">
        <f t="shared" si="94"/>
        <v>Low</v>
      </c>
      <c r="AI497" t="e">
        <f t="shared" si="95"/>
        <v>#N/A</v>
      </c>
    </row>
    <row r="498" spans="33:35" x14ac:dyDescent="0.2">
      <c r="AG498" t="str">
        <f t="shared" si="93"/>
        <v>No</v>
      </c>
      <c r="AH498" t="str">
        <f t="shared" si="94"/>
        <v>Low</v>
      </c>
      <c r="AI498" t="e">
        <f t="shared" si="95"/>
        <v>#N/A</v>
      </c>
    </row>
    <row r="499" spans="33:35" x14ac:dyDescent="0.2">
      <c r="AG499" t="str">
        <f t="shared" si="93"/>
        <v>No</v>
      </c>
      <c r="AH499" t="str">
        <f t="shared" si="94"/>
        <v>Low</v>
      </c>
      <c r="AI499" t="e">
        <f t="shared" si="95"/>
        <v>#N/A</v>
      </c>
    </row>
    <row r="500" spans="33:35" x14ac:dyDescent="0.2">
      <c r="AG500" t="str">
        <f t="shared" si="93"/>
        <v>No</v>
      </c>
      <c r="AH500" t="str">
        <f t="shared" si="94"/>
        <v>Low</v>
      </c>
      <c r="AI500" t="e">
        <f t="shared" si="95"/>
        <v>#N/A</v>
      </c>
    </row>
    <row r="501" spans="33:35" x14ac:dyDescent="0.2">
      <c r="AG501" t="str">
        <f t="shared" si="93"/>
        <v>No</v>
      </c>
      <c r="AH501" t="str">
        <f t="shared" si="94"/>
        <v>Low</v>
      </c>
      <c r="AI501" t="e">
        <f t="shared" si="95"/>
        <v>#N/A</v>
      </c>
    </row>
    <row r="502" spans="33:35" x14ac:dyDescent="0.2">
      <c r="AG502" t="str">
        <f t="shared" si="93"/>
        <v>No</v>
      </c>
      <c r="AH502" t="str">
        <f t="shared" si="94"/>
        <v>Low</v>
      </c>
      <c r="AI502" t="e">
        <f t="shared" si="95"/>
        <v>#N/A</v>
      </c>
    </row>
    <row r="503" spans="33:35" x14ac:dyDescent="0.2">
      <c r="AG503" t="str">
        <f t="shared" si="93"/>
        <v>No</v>
      </c>
      <c r="AH503" t="str">
        <f t="shared" si="94"/>
        <v>Low</v>
      </c>
      <c r="AI503" t="e">
        <f t="shared" si="95"/>
        <v>#N/A</v>
      </c>
    </row>
    <row r="504" spans="33:35" x14ac:dyDescent="0.2">
      <c r="AG504" t="str">
        <f t="shared" si="93"/>
        <v>No</v>
      </c>
      <c r="AH504" t="str">
        <f t="shared" si="94"/>
        <v>Low</v>
      </c>
      <c r="AI504" t="e">
        <f t="shared" si="95"/>
        <v>#N/A</v>
      </c>
    </row>
    <row r="505" spans="33:35" x14ac:dyDescent="0.2">
      <c r="AG505" t="str">
        <f t="shared" si="93"/>
        <v>No</v>
      </c>
      <c r="AH505" t="str">
        <f t="shared" si="94"/>
        <v>Low</v>
      </c>
      <c r="AI505" t="e">
        <f t="shared" si="95"/>
        <v>#N/A</v>
      </c>
    </row>
    <row r="506" spans="33:35" x14ac:dyDescent="0.2">
      <c r="AG506" t="str">
        <f t="shared" si="93"/>
        <v>No</v>
      </c>
      <c r="AH506" t="str">
        <f t="shared" si="94"/>
        <v>Low</v>
      </c>
      <c r="AI506" t="e">
        <f t="shared" si="95"/>
        <v>#N/A</v>
      </c>
    </row>
    <row r="507" spans="33:35" x14ac:dyDescent="0.2">
      <c r="AG507" t="str">
        <f t="shared" si="93"/>
        <v>No</v>
      </c>
      <c r="AH507" t="str">
        <f t="shared" si="94"/>
        <v>Low</v>
      </c>
      <c r="AI507" t="e">
        <f t="shared" si="95"/>
        <v>#N/A</v>
      </c>
    </row>
    <row r="508" spans="33:35" x14ac:dyDescent="0.2">
      <c r="AG508" t="str">
        <f t="shared" si="93"/>
        <v>No</v>
      </c>
      <c r="AH508" t="str">
        <f t="shared" si="94"/>
        <v>Low</v>
      </c>
      <c r="AI508" t="e">
        <f t="shared" si="95"/>
        <v>#N/A</v>
      </c>
    </row>
    <row r="509" spans="33:35" x14ac:dyDescent="0.2">
      <c r="AG509" t="str">
        <f t="shared" si="93"/>
        <v>No</v>
      </c>
      <c r="AH509" t="str">
        <f t="shared" si="94"/>
        <v>Low</v>
      </c>
      <c r="AI509" t="e">
        <f t="shared" si="95"/>
        <v>#N/A</v>
      </c>
    </row>
    <row r="510" spans="33:35" x14ac:dyDescent="0.2">
      <c r="AG510" t="str">
        <f t="shared" si="93"/>
        <v>No</v>
      </c>
      <c r="AH510" t="str">
        <f t="shared" si="94"/>
        <v>Low</v>
      </c>
      <c r="AI510" t="e">
        <f t="shared" si="95"/>
        <v>#N/A</v>
      </c>
    </row>
    <row r="511" spans="33:35" x14ac:dyDescent="0.2">
      <c r="AG511" t="str">
        <f t="shared" si="93"/>
        <v>No</v>
      </c>
      <c r="AH511" t="str">
        <f t="shared" si="94"/>
        <v>Low</v>
      </c>
      <c r="AI511" t="e">
        <f t="shared" si="95"/>
        <v>#N/A</v>
      </c>
    </row>
    <row r="512" spans="33:35" x14ac:dyDescent="0.2">
      <c r="AG512" t="str">
        <f t="shared" si="93"/>
        <v>No</v>
      </c>
      <c r="AH512" t="str">
        <f t="shared" si="94"/>
        <v>Low</v>
      </c>
      <c r="AI512" t="e">
        <f t="shared" si="95"/>
        <v>#N/A</v>
      </c>
    </row>
    <row r="513" spans="33:35" x14ac:dyDescent="0.2">
      <c r="AG513" t="str">
        <f t="shared" si="93"/>
        <v>No</v>
      </c>
      <c r="AH513" t="str">
        <f t="shared" si="94"/>
        <v>Low</v>
      </c>
      <c r="AI513" t="e">
        <f t="shared" si="95"/>
        <v>#N/A</v>
      </c>
    </row>
    <row r="514" spans="33:35" x14ac:dyDescent="0.2">
      <c r="AG514" t="str">
        <f t="shared" si="93"/>
        <v>No</v>
      </c>
      <c r="AH514" t="str">
        <f t="shared" si="94"/>
        <v>Low</v>
      </c>
      <c r="AI514" t="e">
        <f t="shared" si="95"/>
        <v>#N/A</v>
      </c>
    </row>
    <row r="515" spans="33:35" x14ac:dyDescent="0.2">
      <c r="AG515" t="str">
        <f t="shared" ref="AG515:AG578" si="96">IF(AF515 &gt;= 0.5, "Yes", "No")</f>
        <v>No</v>
      </c>
      <c r="AH515" t="str">
        <f t="shared" ref="AH515:AH578" si="97">IF(AF515&gt;=0.6,"High",
   IF(AF515&gt;=0.4,"Medium","Low"))</f>
        <v>Low</v>
      </c>
      <c r="AI515" t="e">
        <f t="shared" ref="AI515:AI578" si="98">IF(AH515="High",N515,NA())</f>
        <v>#N/A</v>
      </c>
    </row>
    <row r="516" spans="33:35" x14ac:dyDescent="0.2">
      <c r="AG516" t="str">
        <f t="shared" si="96"/>
        <v>No</v>
      </c>
      <c r="AH516" t="str">
        <f t="shared" si="97"/>
        <v>Low</v>
      </c>
      <c r="AI516" t="e">
        <f t="shared" si="98"/>
        <v>#N/A</v>
      </c>
    </row>
    <row r="517" spans="33:35" x14ac:dyDescent="0.2">
      <c r="AG517" t="str">
        <f t="shared" si="96"/>
        <v>No</v>
      </c>
      <c r="AH517" t="str">
        <f t="shared" si="97"/>
        <v>Low</v>
      </c>
      <c r="AI517" t="e">
        <f t="shared" si="98"/>
        <v>#N/A</v>
      </c>
    </row>
    <row r="518" spans="33:35" x14ac:dyDescent="0.2">
      <c r="AG518" t="str">
        <f t="shared" si="96"/>
        <v>No</v>
      </c>
      <c r="AH518" t="str">
        <f t="shared" si="97"/>
        <v>Low</v>
      </c>
      <c r="AI518" t="e">
        <f t="shared" si="98"/>
        <v>#N/A</v>
      </c>
    </row>
    <row r="519" spans="33:35" x14ac:dyDescent="0.2">
      <c r="AG519" t="str">
        <f t="shared" si="96"/>
        <v>No</v>
      </c>
      <c r="AH519" t="str">
        <f t="shared" si="97"/>
        <v>Low</v>
      </c>
      <c r="AI519" t="e">
        <f t="shared" si="98"/>
        <v>#N/A</v>
      </c>
    </row>
    <row r="520" spans="33:35" x14ac:dyDescent="0.2">
      <c r="AG520" t="str">
        <f t="shared" si="96"/>
        <v>No</v>
      </c>
      <c r="AH520" t="str">
        <f t="shared" si="97"/>
        <v>Low</v>
      </c>
      <c r="AI520" t="e">
        <f t="shared" si="98"/>
        <v>#N/A</v>
      </c>
    </row>
    <row r="521" spans="33:35" x14ac:dyDescent="0.2">
      <c r="AG521" t="str">
        <f t="shared" si="96"/>
        <v>No</v>
      </c>
      <c r="AH521" t="str">
        <f t="shared" si="97"/>
        <v>Low</v>
      </c>
      <c r="AI521" t="e">
        <f t="shared" si="98"/>
        <v>#N/A</v>
      </c>
    </row>
    <row r="522" spans="33:35" x14ac:dyDescent="0.2">
      <c r="AG522" t="str">
        <f t="shared" si="96"/>
        <v>No</v>
      </c>
      <c r="AH522" t="str">
        <f t="shared" si="97"/>
        <v>Low</v>
      </c>
      <c r="AI522" t="e">
        <f t="shared" si="98"/>
        <v>#N/A</v>
      </c>
    </row>
    <row r="523" spans="33:35" x14ac:dyDescent="0.2">
      <c r="AG523" t="str">
        <f t="shared" si="96"/>
        <v>No</v>
      </c>
      <c r="AH523" t="str">
        <f t="shared" si="97"/>
        <v>Low</v>
      </c>
      <c r="AI523" t="e">
        <f t="shared" si="98"/>
        <v>#N/A</v>
      </c>
    </row>
    <row r="524" spans="33:35" x14ac:dyDescent="0.2">
      <c r="AG524" t="str">
        <f t="shared" si="96"/>
        <v>No</v>
      </c>
      <c r="AH524" t="str">
        <f t="shared" si="97"/>
        <v>Low</v>
      </c>
      <c r="AI524" t="e">
        <f t="shared" si="98"/>
        <v>#N/A</v>
      </c>
    </row>
    <row r="525" spans="33:35" x14ac:dyDescent="0.2">
      <c r="AG525" t="str">
        <f t="shared" si="96"/>
        <v>No</v>
      </c>
      <c r="AH525" t="str">
        <f t="shared" si="97"/>
        <v>Low</v>
      </c>
      <c r="AI525" t="e">
        <f t="shared" si="98"/>
        <v>#N/A</v>
      </c>
    </row>
    <row r="526" spans="33:35" x14ac:dyDescent="0.2">
      <c r="AG526" t="str">
        <f t="shared" si="96"/>
        <v>No</v>
      </c>
      <c r="AH526" t="str">
        <f t="shared" si="97"/>
        <v>Low</v>
      </c>
      <c r="AI526" t="e">
        <f t="shared" si="98"/>
        <v>#N/A</v>
      </c>
    </row>
    <row r="527" spans="33:35" x14ac:dyDescent="0.2">
      <c r="AG527" t="str">
        <f t="shared" si="96"/>
        <v>No</v>
      </c>
      <c r="AH527" t="str">
        <f t="shared" si="97"/>
        <v>Low</v>
      </c>
      <c r="AI527" t="e">
        <f t="shared" si="98"/>
        <v>#N/A</v>
      </c>
    </row>
    <row r="528" spans="33:35" x14ac:dyDescent="0.2">
      <c r="AG528" t="str">
        <f t="shared" si="96"/>
        <v>No</v>
      </c>
      <c r="AH528" t="str">
        <f t="shared" si="97"/>
        <v>Low</v>
      </c>
      <c r="AI528" t="e">
        <f t="shared" si="98"/>
        <v>#N/A</v>
      </c>
    </row>
    <row r="529" spans="33:35" x14ac:dyDescent="0.2">
      <c r="AG529" t="str">
        <f t="shared" si="96"/>
        <v>No</v>
      </c>
      <c r="AH529" t="str">
        <f t="shared" si="97"/>
        <v>Low</v>
      </c>
      <c r="AI529" t="e">
        <f t="shared" si="98"/>
        <v>#N/A</v>
      </c>
    </row>
    <row r="530" spans="33:35" x14ac:dyDescent="0.2">
      <c r="AG530" t="str">
        <f t="shared" si="96"/>
        <v>No</v>
      </c>
      <c r="AH530" t="str">
        <f t="shared" si="97"/>
        <v>Low</v>
      </c>
      <c r="AI530" t="e">
        <f t="shared" si="98"/>
        <v>#N/A</v>
      </c>
    </row>
    <row r="531" spans="33:35" x14ac:dyDescent="0.2">
      <c r="AG531" t="str">
        <f t="shared" si="96"/>
        <v>No</v>
      </c>
      <c r="AH531" t="str">
        <f t="shared" si="97"/>
        <v>Low</v>
      </c>
      <c r="AI531" t="e">
        <f t="shared" si="98"/>
        <v>#N/A</v>
      </c>
    </row>
    <row r="532" spans="33:35" x14ac:dyDescent="0.2">
      <c r="AG532" t="str">
        <f t="shared" si="96"/>
        <v>No</v>
      </c>
      <c r="AH532" t="str">
        <f t="shared" si="97"/>
        <v>Low</v>
      </c>
      <c r="AI532" t="e">
        <f t="shared" si="98"/>
        <v>#N/A</v>
      </c>
    </row>
    <row r="533" spans="33:35" x14ac:dyDescent="0.2">
      <c r="AG533" t="str">
        <f t="shared" si="96"/>
        <v>No</v>
      </c>
      <c r="AH533" t="str">
        <f t="shared" si="97"/>
        <v>Low</v>
      </c>
      <c r="AI533" t="e">
        <f t="shared" si="98"/>
        <v>#N/A</v>
      </c>
    </row>
    <row r="534" spans="33:35" x14ac:dyDescent="0.2">
      <c r="AG534" t="str">
        <f t="shared" si="96"/>
        <v>No</v>
      </c>
      <c r="AH534" t="str">
        <f t="shared" si="97"/>
        <v>Low</v>
      </c>
      <c r="AI534" t="e">
        <f t="shared" si="98"/>
        <v>#N/A</v>
      </c>
    </row>
    <row r="535" spans="33:35" x14ac:dyDescent="0.2">
      <c r="AG535" t="str">
        <f t="shared" si="96"/>
        <v>No</v>
      </c>
      <c r="AH535" t="str">
        <f t="shared" si="97"/>
        <v>Low</v>
      </c>
      <c r="AI535" t="e">
        <f t="shared" si="98"/>
        <v>#N/A</v>
      </c>
    </row>
    <row r="536" spans="33:35" x14ac:dyDescent="0.2">
      <c r="AG536" t="str">
        <f t="shared" si="96"/>
        <v>No</v>
      </c>
      <c r="AH536" t="str">
        <f t="shared" si="97"/>
        <v>Low</v>
      </c>
      <c r="AI536" t="e">
        <f t="shared" si="98"/>
        <v>#N/A</v>
      </c>
    </row>
    <row r="537" spans="33:35" x14ac:dyDescent="0.2">
      <c r="AG537" t="str">
        <f t="shared" si="96"/>
        <v>No</v>
      </c>
      <c r="AH537" t="str">
        <f t="shared" si="97"/>
        <v>Low</v>
      </c>
      <c r="AI537" t="e">
        <f t="shared" si="98"/>
        <v>#N/A</v>
      </c>
    </row>
    <row r="538" spans="33:35" x14ac:dyDescent="0.2">
      <c r="AG538" t="str">
        <f t="shared" si="96"/>
        <v>No</v>
      </c>
      <c r="AH538" t="str">
        <f t="shared" si="97"/>
        <v>Low</v>
      </c>
      <c r="AI538" t="e">
        <f t="shared" si="98"/>
        <v>#N/A</v>
      </c>
    </row>
    <row r="539" spans="33:35" x14ac:dyDescent="0.2">
      <c r="AG539" t="str">
        <f t="shared" si="96"/>
        <v>No</v>
      </c>
      <c r="AH539" t="str">
        <f t="shared" si="97"/>
        <v>Low</v>
      </c>
      <c r="AI539" t="e">
        <f t="shared" si="98"/>
        <v>#N/A</v>
      </c>
    </row>
    <row r="540" spans="33:35" x14ac:dyDescent="0.2">
      <c r="AG540" t="str">
        <f t="shared" si="96"/>
        <v>No</v>
      </c>
      <c r="AH540" t="str">
        <f t="shared" si="97"/>
        <v>Low</v>
      </c>
      <c r="AI540" t="e">
        <f t="shared" si="98"/>
        <v>#N/A</v>
      </c>
    </row>
    <row r="541" spans="33:35" x14ac:dyDescent="0.2">
      <c r="AG541" t="str">
        <f t="shared" si="96"/>
        <v>No</v>
      </c>
      <c r="AH541" t="str">
        <f t="shared" si="97"/>
        <v>Low</v>
      </c>
      <c r="AI541" t="e">
        <f t="shared" si="98"/>
        <v>#N/A</v>
      </c>
    </row>
    <row r="542" spans="33:35" x14ac:dyDescent="0.2">
      <c r="AG542" t="str">
        <f t="shared" si="96"/>
        <v>No</v>
      </c>
      <c r="AH542" t="str">
        <f t="shared" si="97"/>
        <v>Low</v>
      </c>
      <c r="AI542" t="e">
        <f t="shared" si="98"/>
        <v>#N/A</v>
      </c>
    </row>
    <row r="543" spans="33:35" x14ac:dyDescent="0.2">
      <c r="AG543" t="str">
        <f t="shared" si="96"/>
        <v>No</v>
      </c>
      <c r="AH543" t="str">
        <f t="shared" si="97"/>
        <v>Low</v>
      </c>
      <c r="AI543" t="e">
        <f t="shared" si="98"/>
        <v>#N/A</v>
      </c>
    </row>
    <row r="544" spans="33:35" x14ac:dyDescent="0.2">
      <c r="AG544" t="str">
        <f t="shared" si="96"/>
        <v>No</v>
      </c>
      <c r="AH544" t="str">
        <f t="shared" si="97"/>
        <v>Low</v>
      </c>
      <c r="AI544" t="e">
        <f t="shared" si="98"/>
        <v>#N/A</v>
      </c>
    </row>
    <row r="545" spans="33:35" x14ac:dyDescent="0.2">
      <c r="AG545" t="str">
        <f t="shared" si="96"/>
        <v>No</v>
      </c>
      <c r="AH545" t="str">
        <f t="shared" si="97"/>
        <v>Low</v>
      </c>
      <c r="AI545" t="e">
        <f t="shared" si="98"/>
        <v>#N/A</v>
      </c>
    </row>
    <row r="546" spans="33:35" x14ac:dyDescent="0.2">
      <c r="AG546" t="str">
        <f t="shared" si="96"/>
        <v>No</v>
      </c>
      <c r="AH546" t="str">
        <f t="shared" si="97"/>
        <v>Low</v>
      </c>
      <c r="AI546" t="e">
        <f t="shared" si="98"/>
        <v>#N/A</v>
      </c>
    </row>
    <row r="547" spans="33:35" x14ac:dyDescent="0.2">
      <c r="AG547" t="str">
        <f t="shared" si="96"/>
        <v>No</v>
      </c>
      <c r="AH547" t="str">
        <f t="shared" si="97"/>
        <v>Low</v>
      </c>
      <c r="AI547" t="e">
        <f t="shared" si="98"/>
        <v>#N/A</v>
      </c>
    </row>
    <row r="548" spans="33:35" x14ac:dyDescent="0.2">
      <c r="AG548" t="str">
        <f t="shared" si="96"/>
        <v>No</v>
      </c>
      <c r="AH548" t="str">
        <f t="shared" si="97"/>
        <v>Low</v>
      </c>
      <c r="AI548" t="e">
        <f t="shared" si="98"/>
        <v>#N/A</v>
      </c>
    </row>
    <row r="549" spans="33:35" x14ac:dyDescent="0.2">
      <c r="AG549" t="str">
        <f t="shared" si="96"/>
        <v>No</v>
      </c>
      <c r="AH549" t="str">
        <f t="shared" si="97"/>
        <v>Low</v>
      </c>
      <c r="AI549" t="e">
        <f t="shared" si="98"/>
        <v>#N/A</v>
      </c>
    </row>
    <row r="550" spans="33:35" x14ac:dyDescent="0.2">
      <c r="AG550" t="str">
        <f t="shared" si="96"/>
        <v>No</v>
      </c>
      <c r="AH550" t="str">
        <f t="shared" si="97"/>
        <v>Low</v>
      </c>
      <c r="AI550" t="e">
        <f t="shared" si="98"/>
        <v>#N/A</v>
      </c>
    </row>
    <row r="551" spans="33:35" x14ac:dyDescent="0.2">
      <c r="AG551" t="str">
        <f t="shared" si="96"/>
        <v>No</v>
      </c>
      <c r="AH551" t="str">
        <f t="shared" si="97"/>
        <v>Low</v>
      </c>
      <c r="AI551" t="e">
        <f t="shared" si="98"/>
        <v>#N/A</v>
      </c>
    </row>
    <row r="552" spans="33:35" x14ac:dyDescent="0.2">
      <c r="AG552" t="str">
        <f t="shared" si="96"/>
        <v>No</v>
      </c>
      <c r="AH552" t="str">
        <f t="shared" si="97"/>
        <v>Low</v>
      </c>
      <c r="AI552" t="e">
        <f t="shared" si="98"/>
        <v>#N/A</v>
      </c>
    </row>
    <row r="553" spans="33:35" x14ac:dyDescent="0.2">
      <c r="AG553" t="str">
        <f t="shared" si="96"/>
        <v>No</v>
      </c>
      <c r="AH553" t="str">
        <f t="shared" si="97"/>
        <v>Low</v>
      </c>
      <c r="AI553" t="e">
        <f t="shared" si="98"/>
        <v>#N/A</v>
      </c>
    </row>
    <row r="554" spans="33:35" x14ac:dyDescent="0.2">
      <c r="AG554" t="str">
        <f t="shared" si="96"/>
        <v>No</v>
      </c>
      <c r="AH554" t="str">
        <f t="shared" si="97"/>
        <v>Low</v>
      </c>
      <c r="AI554" t="e">
        <f t="shared" si="98"/>
        <v>#N/A</v>
      </c>
    </row>
    <row r="555" spans="33:35" x14ac:dyDescent="0.2">
      <c r="AG555" t="str">
        <f t="shared" si="96"/>
        <v>No</v>
      </c>
      <c r="AH555" t="str">
        <f t="shared" si="97"/>
        <v>Low</v>
      </c>
      <c r="AI555" t="e">
        <f t="shared" si="98"/>
        <v>#N/A</v>
      </c>
    </row>
    <row r="556" spans="33:35" x14ac:dyDescent="0.2">
      <c r="AG556" t="str">
        <f t="shared" si="96"/>
        <v>No</v>
      </c>
      <c r="AH556" t="str">
        <f t="shared" si="97"/>
        <v>Low</v>
      </c>
      <c r="AI556" t="e">
        <f t="shared" si="98"/>
        <v>#N/A</v>
      </c>
    </row>
    <row r="557" spans="33:35" x14ac:dyDescent="0.2">
      <c r="AG557" t="str">
        <f t="shared" si="96"/>
        <v>No</v>
      </c>
      <c r="AH557" t="str">
        <f t="shared" si="97"/>
        <v>Low</v>
      </c>
      <c r="AI557" t="e">
        <f t="shared" si="98"/>
        <v>#N/A</v>
      </c>
    </row>
    <row r="558" spans="33:35" x14ac:dyDescent="0.2">
      <c r="AG558" t="str">
        <f t="shared" si="96"/>
        <v>No</v>
      </c>
      <c r="AH558" t="str">
        <f t="shared" si="97"/>
        <v>Low</v>
      </c>
      <c r="AI558" t="e">
        <f t="shared" si="98"/>
        <v>#N/A</v>
      </c>
    </row>
    <row r="559" spans="33:35" x14ac:dyDescent="0.2">
      <c r="AG559" t="str">
        <f t="shared" si="96"/>
        <v>No</v>
      </c>
      <c r="AH559" t="str">
        <f t="shared" si="97"/>
        <v>Low</v>
      </c>
      <c r="AI559" t="e">
        <f t="shared" si="98"/>
        <v>#N/A</v>
      </c>
    </row>
    <row r="560" spans="33:35" x14ac:dyDescent="0.2">
      <c r="AG560" t="str">
        <f t="shared" si="96"/>
        <v>No</v>
      </c>
      <c r="AH560" t="str">
        <f t="shared" si="97"/>
        <v>Low</v>
      </c>
      <c r="AI560" t="e">
        <f t="shared" si="98"/>
        <v>#N/A</v>
      </c>
    </row>
    <row r="561" spans="33:35" x14ac:dyDescent="0.2">
      <c r="AG561" t="str">
        <f t="shared" si="96"/>
        <v>No</v>
      </c>
      <c r="AH561" t="str">
        <f t="shared" si="97"/>
        <v>Low</v>
      </c>
      <c r="AI561" t="e">
        <f t="shared" si="98"/>
        <v>#N/A</v>
      </c>
    </row>
    <row r="562" spans="33:35" x14ac:dyDescent="0.2">
      <c r="AG562" t="str">
        <f t="shared" si="96"/>
        <v>No</v>
      </c>
      <c r="AH562" t="str">
        <f t="shared" si="97"/>
        <v>Low</v>
      </c>
      <c r="AI562" t="e">
        <f t="shared" si="98"/>
        <v>#N/A</v>
      </c>
    </row>
    <row r="563" spans="33:35" x14ac:dyDescent="0.2">
      <c r="AG563" t="str">
        <f t="shared" si="96"/>
        <v>No</v>
      </c>
      <c r="AH563" t="str">
        <f t="shared" si="97"/>
        <v>Low</v>
      </c>
      <c r="AI563" t="e">
        <f t="shared" si="98"/>
        <v>#N/A</v>
      </c>
    </row>
    <row r="564" spans="33:35" x14ac:dyDescent="0.2">
      <c r="AG564" t="str">
        <f t="shared" si="96"/>
        <v>No</v>
      </c>
      <c r="AH564" t="str">
        <f t="shared" si="97"/>
        <v>Low</v>
      </c>
      <c r="AI564" t="e">
        <f t="shared" si="98"/>
        <v>#N/A</v>
      </c>
    </row>
    <row r="565" spans="33:35" x14ac:dyDescent="0.2">
      <c r="AG565" t="str">
        <f t="shared" si="96"/>
        <v>No</v>
      </c>
      <c r="AH565" t="str">
        <f t="shared" si="97"/>
        <v>Low</v>
      </c>
      <c r="AI565" t="e">
        <f t="shared" si="98"/>
        <v>#N/A</v>
      </c>
    </row>
    <row r="566" spans="33:35" x14ac:dyDescent="0.2">
      <c r="AG566" t="str">
        <f t="shared" si="96"/>
        <v>No</v>
      </c>
      <c r="AH566" t="str">
        <f t="shared" si="97"/>
        <v>Low</v>
      </c>
      <c r="AI566" t="e">
        <f t="shared" si="98"/>
        <v>#N/A</v>
      </c>
    </row>
    <row r="567" spans="33:35" x14ac:dyDescent="0.2">
      <c r="AG567" t="str">
        <f t="shared" si="96"/>
        <v>No</v>
      </c>
      <c r="AH567" t="str">
        <f t="shared" si="97"/>
        <v>Low</v>
      </c>
      <c r="AI567" t="e">
        <f t="shared" si="98"/>
        <v>#N/A</v>
      </c>
    </row>
    <row r="568" spans="33:35" x14ac:dyDescent="0.2">
      <c r="AG568" t="str">
        <f t="shared" si="96"/>
        <v>No</v>
      </c>
      <c r="AH568" t="str">
        <f t="shared" si="97"/>
        <v>Low</v>
      </c>
      <c r="AI568" t="e">
        <f t="shared" si="98"/>
        <v>#N/A</v>
      </c>
    </row>
    <row r="569" spans="33:35" x14ac:dyDescent="0.2">
      <c r="AG569" t="str">
        <f t="shared" si="96"/>
        <v>No</v>
      </c>
      <c r="AH569" t="str">
        <f t="shared" si="97"/>
        <v>Low</v>
      </c>
      <c r="AI569" t="e">
        <f t="shared" si="98"/>
        <v>#N/A</v>
      </c>
    </row>
    <row r="570" spans="33:35" x14ac:dyDescent="0.2">
      <c r="AG570" t="str">
        <f t="shared" si="96"/>
        <v>No</v>
      </c>
      <c r="AH570" t="str">
        <f t="shared" si="97"/>
        <v>Low</v>
      </c>
      <c r="AI570" t="e">
        <f t="shared" si="98"/>
        <v>#N/A</v>
      </c>
    </row>
    <row r="571" spans="33:35" x14ac:dyDescent="0.2">
      <c r="AG571" t="str">
        <f t="shared" si="96"/>
        <v>No</v>
      </c>
      <c r="AH571" t="str">
        <f t="shared" si="97"/>
        <v>Low</v>
      </c>
      <c r="AI571" t="e">
        <f t="shared" si="98"/>
        <v>#N/A</v>
      </c>
    </row>
    <row r="572" spans="33:35" x14ac:dyDescent="0.2">
      <c r="AG572" t="str">
        <f t="shared" si="96"/>
        <v>No</v>
      </c>
      <c r="AH572" t="str">
        <f t="shared" si="97"/>
        <v>Low</v>
      </c>
      <c r="AI572" t="e">
        <f t="shared" si="98"/>
        <v>#N/A</v>
      </c>
    </row>
    <row r="573" spans="33:35" x14ac:dyDescent="0.2">
      <c r="AG573" t="str">
        <f t="shared" si="96"/>
        <v>No</v>
      </c>
      <c r="AH573" t="str">
        <f t="shared" si="97"/>
        <v>Low</v>
      </c>
      <c r="AI573" t="e">
        <f t="shared" si="98"/>
        <v>#N/A</v>
      </c>
    </row>
    <row r="574" spans="33:35" x14ac:dyDescent="0.2">
      <c r="AG574" t="str">
        <f t="shared" si="96"/>
        <v>No</v>
      </c>
      <c r="AH574" t="str">
        <f t="shared" si="97"/>
        <v>Low</v>
      </c>
      <c r="AI574" t="e">
        <f t="shared" si="98"/>
        <v>#N/A</v>
      </c>
    </row>
    <row r="575" spans="33:35" x14ac:dyDescent="0.2">
      <c r="AG575" t="str">
        <f t="shared" si="96"/>
        <v>No</v>
      </c>
      <c r="AH575" t="str">
        <f t="shared" si="97"/>
        <v>Low</v>
      </c>
      <c r="AI575" t="e">
        <f t="shared" si="98"/>
        <v>#N/A</v>
      </c>
    </row>
    <row r="576" spans="33:35" x14ac:dyDescent="0.2">
      <c r="AG576" t="str">
        <f t="shared" si="96"/>
        <v>No</v>
      </c>
      <c r="AH576" t="str">
        <f t="shared" si="97"/>
        <v>Low</v>
      </c>
      <c r="AI576" t="e">
        <f t="shared" si="98"/>
        <v>#N/A</v>
      </c>
    </row>
    <row r="577" spans="33:35" x14ac:dyDescent="0.2">
      <c r="AG577" t="str">
        <f t="shared" si="96"/>
        <v>No</v>
      </c>
      <c r="AH577" t="str">
        <f t="shared" si="97"/>
        <v>Low</v>
      </c>
      <c r="AI577" t="e">
        <f t="shared" si="98"/>
        <v>#N/A</v>
      </c>
    </row>
    <row r="578" spans="33:35" x14ac:dyDescent="0.2">
      <c r="AG578" t="str">
        <f t="shared" si="96"/>
        <v>No</v>
      </c>
      <c r="AH578" t="str">
        <f t="shared" si="97"/>
        <v>Low</v>
      </c>
      <c r="AI578" t="e">
        <f t="shared" si="98"/>
        <v>#N/A</v>
      </c>
    </row>
    <row r="579" spans="33:35" x14ac:dyDescent="0.2">
      <c r="AG579" t="str">
        <f t="shared" ref="AG579:AG642" si="99">IF(AF579 &gt;= 0.5, "Yes", "No")</f>
        <v>No</v>
      </c>
      <c r="AH579" t="str">
        <f t="shared" ref="AH579:AH642" si="100">IF(AF579&gt;=0.6,"High",
   IF(AF579&gt;=0.4,"Medium","Low"))</f>
        <v>Low</v>
      </c>
      <c r="AI579" t="e">
        <f t="shared" ref="AI579:AI642" si="101">IF(AH579="High",N579,NA())</f>
        <v>#N/A</v>
      </c>
    </row>
    <row r="580" spans="33:35" x14ac:dyDescent="0.2">
      <c r="AG580" t="str">
        <f t="shared" si="99"/>
        <v>No</v>
      </c>
      <c r="AH580" t="str">
        <f t="shared" si="100"/>
        <v>Low</v>
      </c>
      <c r="AI580" t="e">
        <f t="shared" si="101"/>
        <v>#N/A</v>
      </c>
    </row>
    <row r="581" spans="33:35" x14ac:dyDescent="0.2">
      <c r="AG581" t="str">
        <f t="shared" si="99"/>
        <v>No</v>
      </c>
      <c r="AH581" t="str">
        <f t="shared" si="100"/>
        <v>Low</v>
      </c>
      <c r="AI581" t="e">
        <f t="shared" si="101"/>
        <v>#N/A</v>
      </c>
    </row>
    <row r="582" spans="33:35" x14ac:dyDescent="0.2">
      <c r="AG582" t="str">
        <f t="shared" si="99"/>
        <v>No</v>
      </c>
      <c r="AH582" t="str">
        <f t="shared" si="100"/>
        <v>Low</v>
      </c>
      <c r="AI582" t="e">
        <f t="shared" si="101"/>
        <v>#N/A</v>
      </c>
    </row>
    <row r="583" spans="33:35" x14ac:dyDescent="0.2">
      <c r="AG583" t="str">
        <f t="shared" si="99"/>
        <v>No</v>
      </c>
      <c r="AH583" t="str">
        <f t="shared" si="100"/>
        <v>Low</v>
      </c>
      <c r="AI583" t="e">
        <f t="shared" si="101"/>
        <v>#N/A</v>
      </c>
    </row>
    <row r="584" spans="33:35" x14ac:dyDescent="0.2">
      <c r="AG584" t="str">
        <f t="shared" si="99"/>
        <v>No</v>
      </c>
      <c r="AH584" t="str">
        <f t="shared" si="100"/>
        <v>Low</v>
      </c>
      <c r="AI584" t="e">
        <f t="shared" si="101"/>
        <v>#N/A</v>
      </c>
    </row>
    <row r="585" spans="33:35" x14ac:dyDescent="0.2">
      <c r="AG585" t="str">
        <f t="shared" si="99"/>
        <v>No</v>
      </c>
      <c r="AH585" t="str">
        <f t="shared" si="100"/>
        <v>Low</v>
      </c>
      <c r="AI585" t="e">
        <f t="shared" si="101"/>
        <v>#N/A</v>
      </c>
    </row>
    <row r="586" spans="33:35" x14ac:dyDescent="0.2">
      <c r="AG586" t="str">
        <f t="shared" si="99"/>
        <v>No</v>
      </c>
      <c r="AH586" t="str">
        <f t="shared" si="100"/>
        <v>Low</v>
      </c>
      <c r="AI586" t="e">
        <f t="shared" si="101"/>
        <v>#N/A</v>
      </c>
    </row>
    <row r="587" spans="33:35" x14ac:dyDescent="0.2">
      <c r="AG587" t="str">
        <f t="shared" si="99"/>
        <v>No</v>
      </c>
      <c r="AH587" t="str">
        <f t="shared" si="100"/>
        <v>Low</v>
      </c>
      <c r="AI587" t="e">
        <f t="shared" si="101"/>
        <v>#N/A</v>
      </c>
    </row>
    <row r="588" spans="33:35" x14ac:dyDescent="0.2">
      <c r="AG588" t="str">
        <f t="shared" si="99"/>
        <v>No</v>
      </c>
      <c r="AH588" t="str">
        <f t="shared" si="100"/>
        <v>Low</v>
      </c>
      <c r="AI588" t="e">
        <f t="shared" si="101"/>
        <v>#N/A</v>
      </c>
    </row>
    <row r="589" spans="33:35" x14ac:dyDescent="0.2">
      <c r="AG589" t="str">
        <f t="shared" si="99"/>
        <v>No</v>
      </c>
      <c r="AH589" t="str">
        <f t="shared" si="100"/>
        <v>Low</v>
      </c>
      <c r="AI589" t="e">
        <f t="shared" si="101"/>
        <v>#N/A</v>
      </c>
    </row>
    <row r="590" spans="33:35" x14ac:dyDescent="0.2">
      <c r="AG590" t="str">
        <f t="shared" si="99"/>
        <v>No</v>
      </c>
      <c r="AH590" t="str">
        <f t="shared" si="100"/>
        <v>Low</v>
      </c>
      <c r="AI590" t="e">
        <f t="shared" si="101"/>
        <v>#N/A</v>
      </c>
    </row>
    <row r="591" spans="33:35" x14ac:dyDescent="0.2">
      <c r="AG591" t="str">
        <f t="shared" si="99"/>
        <v>No</v>
      </c>
      <c r="AH591" t="str">
        <f t="shared" si="100"/>
        <v>Low</v>
      </c>
      <c r="AI591" t="e">
        <f t="shared" si="101"/>
        <v>#N/A</v>
      </c>
    </row>
    <row r="592" spans="33:35" x14ac:dyDescent="0.2">
      <c r="AG592" t="str">
        <f t="shared" si="99"/>
        <v>No</v>
      </c>
      <c r="AH592" t="str">
        <f t="shared" si="100"/>
        <v>Low</v>
      </c>
      <c r="AI592" t="e">
        <f t="shared" si="101"/>
        <v>#N/A</v>
      </c>
    </row>
    <row r="593" spans="33:35" x14ac:dyDescent="0.2">
      <c r="AG593" t="str">
        <f t="shared" si="99"/>
        <v>No</v>
      </c>
      <c r="AH593" t="str">
        <f t="shared" si="100"/>
        <v>Low</v>
      </c>
      <c r="AI593" t="e">
        <f t="shared" si="101"/>
        <v>#N/A</v>
      </c>
    </row>
    <row r="594" spans="33:35" x14ac:dyDescent="0.2">
      <c r="AG594" t="str">
        <f t="shared" si="99"/>
        <v>No</v>
      </c>
      <c r="AH594" t="str">
        <f t="shared" si="100"/>
        <v>Low</v>
      </c>
      <c r="AI594" t="e">
        <f t="shared" si="101"/>
        <v>#N/A</v>
      </c>
    </row>
    <row r="595" spans="33:35" x14ac:dyDescent="0.2">
      <c r="AG595" t="str">
        <f t="shared" si="99"/>
        <v>No</v>
      </c>
      <c r="AH595" t="str">
        <f t="shared" si="100"/>
        <v>Low</v>
      </c>
      <c r="AI595" t="e">
        <f t="shared" si="101"/>
        <v>#N/A</v>
      </c>
    </row>
    <row r="596" spans="33:35" x14ac:dyDescent="0.2">
      <c r="AG596" t="str">
        <f t="shared" si="99"/>
        <v>No</v>
      </c>
      <c r="AH596" t="str">
        <f t="shared" si="100"/>
        <v>Low</v>
      </c>
      <c r="AI596" t="e">
        <f t="shared" si="101"/>
        <v>#N/A</v>
      </c>
    </row>
    <row r="597" spans="33:35" x14ac:dyDescent="0.2">
      <c r="AG597" t="str">
        <f t="shared" si="99"/>
        <v>No</v>
      </c>
      <c r="AH597" t="str">
        <f t="shared" si="100"/>
        <v>Low</v>
      </c>
      <c r="AI597" t="e">
        <f t="shared" si="101"/>
        <v>#N/A</v>
      </c>
    </row>
    <row r="598" spans="33:35" x14ac:dyDescent="0.2">
      <c r="AG598" t="str">
        <f t="shared" si="99"/>
        <v>No</v>
      </c>
      <c r="AH598" t="str">
        <f t="shared" si="100"/>
        <v>Low</v>
      </c>
      <c r="AI598" t="e">
        <f t="shared" si="101"/>
        <v>#N/A</v>
      </c>
    </row>
    <row r="599" spans="33:35" x14ac:dyDescent="0.2">
      <c r="AG599" t="str">
        <f t="shared" si="99"/>
        <v>No</v>
      </c>
      <c r="AH599" t="str">
        <f t="shared" si="100"/>
        <v>Low</v>
      </c>
      <c r="AI599" t="e">
        <f t="shared" si="101"/>
        <v>#N/A</v>
      </c>
    </row>
    <row r="600" spans="33:35" x14ac:dyDescent="0.2">
      <c r="AG600" t="str">
        <f t="shared" si="99"/>
        <v>No</v>
      </c>
      <c r="AH600" t="str">
        <f t="shared" si="100"/>
        <v>Low</v>
      </c>
      <c r="AI600" t="e">
        <f t="shared" si="101"/>
        <v>#N/A</v>
      </c>
    </row>
    <row r="601" spans="33:35" x14ac:dyDescent="0.2">
      <c r="AG601" t="str">
        <f t="shared" si="99"/>
        <v>No</v>
      </c>
      <c r="AH601" t="str">
        <f t="shared" si="100"/>
        <v>Low</v>
      </c>
      <c r="AI601" t="e">
        <f t="shared" si="101"/>
        <v>#N/A</v>
      </c>
    </row>
    <row r="602" spans="33:35" x14ac:dyDescent="0.2">
      <c r="AG602" t="str">
        <f t="shared" si="99"/>
        <v>No</v>
      </c>
      <c r="AH602" t="str">
        <f t="shared" si="100"/>
        <v>Low</v>
      </c>
      <c r="AI602" t="e">
        <f t="shared" si="101"/>
        <v>#N/A</v>
      </c>
    </row>
    <row r="603" spans="33:35" x14ac:dyDescent="0.2">
      <c r="AG603" t="str">
        <f t="shared" si="99"/>
        <v>No</v>
      </c>
      <c r="AH603" t="str">
        <f t="shared" si="100"/>
        <v>Low</v>
      </c>
      <c r="AI603" t="e">
        <f t="shared" si="101"/>
        <v>#N/A</v>
      </c>
    </row>
    <row r="604" spans="33:35" x14ac:dyDescent="0.2">
      <c r="AG604" t="str">
        <f t="shared" si="99"/>
        <v>No</v>
      </c>
      <c r="AH604" t="str">
        <f t="shared" si="100"/>
        <v>Low</v>
      </c>
      <c r="AI604" t="e">
        <f t="shared" si="101"/>
        <v>#N/A</v>
      </c>
    </row>
    <row r="605" spans="33:35" x14ac:dyDescent="0.2">
      <c r="AG605" t="str">
        <f t="shared" si="99"/>
        <v>No</v>
      </c>
      <c r="AH605" t="str">
        <f t="shared" si="100"/>
        <v>Low</v>
      </c>
      <c r="AI605" t="e">
        <f t="shared" si="101"/>
        <v>#N/A</v>
      </c>
    </row>
    <row r="606" spans="33:35" x14ac:dyDescent="0.2">
      <c r="AG606" t="str">
        <f t="shared" si="99"/>
        <v>No</v>
      </c>
      <c r="AH606" t="str">
        <f t="shared" si="100"/>
        <v>Low</v>
      </c>
      <c r="AI606" t="e">
        <f t="shared" si="101"/>
        <v>#N/A</v>
      </c>
    </row>
    <row r="607" spans="33:35" x14ac:dyDescent="0.2">
      <c r="AG607" t="str">
        <f t="shared" si="99"/>
        <v>No</v>
      </c>
      <c r="AH607" t="str">
        <f t="shared" si="100"/>
        <v>Low</v>
      </c>
      <c r="AI607" t="e">
        <f t="shared" si="101"/>
        <v>#N/A</v>
      </c>
    </row>
    <row r="608" spans="33:35" x14ac:dyDescent="0.2">
      <c r="AG608" t="str">
        <f t="shared" si="99"/>
        <v>No</v>
      </c>
      <c r="AH608" t="str">
        <f t="shared" si="100"/>
        <v>Low</v>
      </c>
      <c r="AI608" t="e">
        <f t="shared" si="101"/>
        <v>#N/A</v>
      </c>
    </row>
    <row r="609" spans="33:35" x14ac:dyDescent="0.2">
      <c r="AG609" t="str">
        <f t="shared" si="99"/>
        <v>No</v>
      </c>
      <c r="AH609" t="str">
        <f t="shared" si="100"/>
        <v>Low</v>
      </c>
      <c r="AI609" t="e">
        <f t="shared" si="101"/>
        <v>#N/A</v>
      </c>
    </row>
    <row r="610" spans="33:35" x14ac:dyDescent="0.2">
      <c r="AG610" t="str">
        <f t="shared" si="99"/>
        <v>No</v>
      </c>
      <c r="AH610" t="str">
        <f t="shared" si="100"/>
        <v>Low</v>
      </c>
      <c r="AI610" t="e">
        <f t="shared" si="101"/>
        <v>#N/A</v>
      </c>
    </row>
    <row r="611" spans="33:35" x14ac:dyDescent="0.2">
      <c r="AG611" t="str">
        <f t="shared" si="99"/>
        <v>No</v>
      </c>
      <c r="AH611" t="str">
        <f t="shared" si="100"/>
        <v>Low</v>
      </c>
      <c r="AI611" t="e">
        <f t="shared" si="101"/>
        <v>#N/A</v>
      </c>
    </row>
    <row r="612" spans="33:35" x14ac:dyDescent="0.2">
      <c r="AG612" t="str">
        <f t="shared" si="99"/>
        <v>No</v>
      </c>
      <c r="AH612" t="str">
        <f t="shared" si="100"/>
        <v>Low</v>
      </c>
      <c r="AI612" t="e">
        <f t="shared" si="101"/>
        <v>#N/A</v>
      </c>
    </row>
    <row r="613" spans="33:35" x14ac:dyDescent="0.2">
      <c r="AG613" t="str">
        <f t="shared" si="99"/>
        <v>No</v>
      </c>
      <c r="AH613" t="str">
        <f t="shared" si="100"/>
        <v>Low</v>
      </c>
      <c r="AI613" t="e">
        <f t="shared" si="101"/>
        <v>#N/A</v>
      </c>
    </row>
    <row r="614" spans="33:35" x14ac:dyDescent="0.2">
      <c r="AG614" t="str">
        <f t="shared" si="99"/>
        <v>No</v>
      </c>
      <c r="AH614" t="str">
        <f t="shared" si="100"/>
        <v>Low</v>
      </c>
      <c r="AI614" t="e">
        <f t="shared" si="101"/>
        <v>#N/A</v>
      </c>
    </row>
    <row r="615" spans="33:35" x14ac:dyDescent="0.2">
      <c r="AG615" t="str">
        <f t="shared" si="99"/>
        <v>No</v>
      </c>
      <c r="AH615" t="str">
        <f t="shared" si="100"/>
        <v>Low</v>
      </c>
      <c r="AI615" t="e">
        <f t="shared" si="101"/>
        <v>#N/A</v>
      </c>
    </row>
    <row r="616" spans="33:35" x14ac:dyDescent="0.2">
      <c r="AG616" t="str">
        <f t="shared" si="99"/>
        <v>No</v>
      </c>
      <c r="AH616" t="str">
        <f t="shared" si="100"/>
        <v>Low</v>
      </c>
      <c r="AI616" t="e">
        <f t="shared" si="101"/>
        <v>#N/A</v>
      </c>
    </row>
    <row r="617" spans="33:35" x14ac:dyDescent="0.2">
      <c r="AG617" t="str">
        <f t="shared" si="99"/>
        <v>No</v>
      </c>
      <c r="AH617" t="str">
        <f t="shared" si="100"/>
        <v>Low</v>
      </c>
      <c r="AI617" t="e">
        <f t="shared" si="101"/>
        <v>#N/A</v>
      </c>
    </row>
    <row r="618" spans="33:35" x14ac:dyDescent="0.2">
      <c r="AG618" t="str">
        <f t="shared" si="99"/>
        <v>No</v>
      </c>
      <c r="AH618" t="str">
        <f t="shared" si="100"/>
        <v>Low</v>
      </c>
      <c r="AI618" t="e">
        <f t="shared" si="101"/>
        <v>#N/A</v>
      </c>
    </row>
    <row r="619" spans="33:35" x14ac:dyDescent="0.2">
      <c r="AG619" t="str">
        <f t="shared" si="99"/>
        <v>No</v>
      </c>
      <c r="AH619" t="str">
        <f t="shared" si="100"/>
        <v>Low</v>
      </c>
      <c r="AI619" t="e">
        <f t="shared" si="101"/>
        <v>#N/A</v>
      </c>
    </row>
    <row r="620" spans="33:35" x14ac:dyDescent="0.2">
      <c r="AG620" t="str">
        <f t="shared" si="99"/>
        <v>No</v>
      </c>
      <c r="AH620" t="str">
        <f t="shared" si="100"/>
        <v>Low</v>
      </c>
      <c r="AI620" t="e">
        <f t="shared" si="101"/>
        <v>#N/A</v>
      </c>
    </row>
    <row r="621" spans="33:35" x14ac:dyDescent="0.2">
      <c r="AG621" t="str">
        <f t="shared" si="99"/>
        <v>No</v>
      </c>
      <c r="AH621" t="str">
        <f t="shared" si="100"/>
        <v>Low</v>
      </c>
      <c r="AI621" t="e">
        <f t="shared" si="101"/>
        <v>#N/A</v>
      </c>
    </row>
    <row r="622" spans="33:35" x14ac:dyDescent="0.2">
      <c r="AG622" t="str">
        <f t="shared" si="99"/>
        <v>No</v>
      </c>
      <c r="AH622" t="str">
        <f t="shared" si="100"/>
        <v>Low</v>
      </c>
      <c r="AI622" t="e">
        <f t="shared" si="101"/>
        <v>#N/A</v>
      </c>
    </row>
    <row r="623" spans="33:35" x14ac:dyDescent="0.2">
      <c r="AG623" t="str">
        <f t="shared" si="99"/>
        <v>No</v>
      </c>
      <c r="AH623" t="str">
        <f t="shared" si="100"/>
        <v>Low</v>
      </c>
      <c r="AI623" t="e">
        <f t="shared" si="101"/>
        <v>#N/A</v>
      </c>
    </row>
    <row r="624" spans="33:35" x14ac:dyDescent="0.2">
      <c r="AG624" t="str">
        <f t="shared" si="99"/>
        <v>No</v>
      </c>
      <c r="AH624" t="str">
        <f t="shared" si="100"/>
        <v>Low</v>
      </c>
      <c r="AI624" t="e">
        <f t="shared" si="101"/>
        <v>#N/A</v>
      </c>
    </row>
    <row r="625" spans="33:35" x14ac:dyDescent="0.2">
      <c r="AG625" t="str">
        <f t="shared" si="99"/>
        <v>No</v>
      </c>
      <c r="AH625" t="str">
        <f t="shared" si="100"/>
        <v>Low</v>
      </c>
      <c r="AI625" t="e">
        <f t="shared" si="101"/>
        <v>#N/A</v>
      </c>
    </row>
    <row r="626" spans="33:35" x14ac:dyDescent="0.2">
      <c r="AG626" t="str">
        <f t="shared" si="99"/>
        <v>No</v>
      </c>
      <c r="AH626" t="str">
        <f t="shared" si="100"/>
        <v>Low</v>
      </c>
      <c r="AI626" t="e">
        <f t="shared" si="101"/>
        <v>#N/A</v>
      </c>
    </row>
    <row r="627" spans="33:35" x14ac:dyDescent="0.2">
      <c r="AG627" t="str">
        <f t="shared" si="99"/>
        <v>No</v>
      </c>
      <c r="AH627" t="str">
        <f t="shared" si="100"/>
        <v>Low</v>
      </c>
      <c r="AI627" t="e">
        <f t="shared" si="101"/>
        <v>#N/A</v>
      </c>
    </row>
    <row r="628" spans="33:35" x14ac:dyDescent="0.2">
      <c r="AG628" t="str">
        <f t="shared" si="99"/>
        <v>No</v>
      </c>
      <c r="AH628" t="str">
        <f t="shared" si="100"/>
        <v>Low</v>
      </c>
      <c r="AI628" t="e">
        <f t="shared" si="101"/>
        <v>#N/A</v>
      </c>
    </row>
    <row r="629" spans="33:35" x14ac:dyDescent="0.2">
      <c r="AG629" t="str">
        <f t="shared" si="99"/>
        <v>No</v>
      </c>
      <c r="AH629" t="str">
        <f t="shared" si="100"/>
        <v>Low</v>
      </c>
      <c r="AI629" t="e">
        <f t="shared" si="101"/>
        <v>#N/A</v>
      </c>
    </row>
    <row r="630" spans="33:35" x14ac:dyDescent="0.2">
      <c r="AG630" t="str">
        <f t="shared" si="99"/>
        <v>No</v>
      </c>
      <c r="AH630" t="str">
        <f t="shared" si="100"/>
        <v>Low</v>
      </c>
      <c r="AI630" t="e">
        <f t="shared" si="101"/>
        <v>#N/A</v>
      </c>
    </row>
    <row r="631" spans="33:35" x14ac:dyDescent="0.2">
      <c r="AG631" t="str">
        <f t="shared" si="99"/>
        <v>No</v>
      </c>
      <c r="AH631" t="str">
        <f t="shared" si="100"/>
        <v>Low</v>
      </c>
      <c r="AI631" t="e">
        <f t="shared" si="101"/>
        <v>#N/A</v>
      </c>
    </row>
    <row r="632" spans="33:35" x14ac:dyDescent="0.2">
      <c r="AG632" t="str">
        <f t="shared" si="99"/>
        <v>No</v>
      </c>
      <c r="AH632" t="str">
        <f t="shared" si="100"/>
        <v>Low</v>
      </c>
      <c r="AI632" t="e">
        <f t="shared" si="101"/>
        <v>#N/A</v>
      </c>
    </row>
    <row r="633" spans="33:35" x14ac:dyDescent="0.2">
      <c r="AG633" t="str">
        <f t="shared" si="99"/>
        <v>No</v>
      </c>
      <c r="AH633" t="str">
        <f t="shared" si="100"/>
        <v>Low</v>
      </c>
      <c r="AI633" t="e">
        <f t="shared" si="101"/>
        <v>#N/A</v>
      </c>
    </row>
    <row r="634" spans="33:35" x14ac:dyDescent="0.2">
      <c r="AG634" t="str">
        <f t="shared" si="99"/>
        <v>No</v>
      </c>
      <c r="AH634" t="str">
        <f t="shared" si="100"/>
        <v>Low</v>
      </c>
      <c r="AI634" t="e">
        <f t="shared" si="101"/>
        <v>#N/A</v>
      </c>
    </row>
    <row r="635" spans="33:35" x14ac:dyDescent="0.2">
      <c r="AG635" t="str">
        <f t="shared" si="99"/>
        <v>No</v>
      </c>
      <c r="AH635" t="str">
        <f t="shared" si="100"/>
        <v>Low</v>
      </c>
      <c r="AI635" t="e">
        <f t="shared" si="101"/>
        <v>#N/A</v>
      </c>
    </row>
    <row r="636" spans="33:35" x14ac:dyDescent="0.2">
      <c r="AG636" t="str">
        <f t="shared" si="99"/>
        <v>No</v>
      </c>
      <c r="AH636" t="str">
        <f t="shared" si="100"/>
        <v>Low</v>
      </c>
      <c r="AI636" t="e">
        <f t="shared" si="101"/>
        <v>#N/A</v>
      </c>
    </row>
    <row r="637" spans="33:35" x14ac:dyDescent="0.2">
      <c r="AG637" t="str">
        <f t="shared" si="99"/>
        <v>No</v>
      </c>
      <c r="AH637" t="str">
        <f t="shared" si="100"/>
        <v>Low</v>
      </c>
      <c r="AI637" t="e">
        <f t="shared" si="101"/>
        <v>#N/A</v>
      </c>
    </row>
    <row r="638" spans="33:35" x14ac:dyDescent="0.2">
      <c r="AG638" t="str">
        <f t="shared" si="99"/>
        <v>No</v>
      </c>
      <c r="AH638" t="str">
        <f t="shared" si="100"/>
        <v>Low</v>
      </c>
      <c r="AI638" t="e">
        <f t="shared" si="101"/>
        <v>#N/A</v>
      </c>
    </row>
    <row r="639" spans="33:35" x14ac:dyDescent="0.2">
      <c r="AG639" t="str">
        <f t="shared" si="99"/>
        <v>No</v>
      </c>
      <c r="AH639" t="str">
        <f t="shared" si="100"/>
        <v>Low</v>
      </c>
      <c r="AI639" t="e">
        <f t="shared" si="101"/>
        <v>#N/A</v>
      </c>
    </row>
    <row r="640" spans="33:35" x14ac:dyDescent="0.2">
      <c r="AG640" t="str">
        <f t="shared" si="99"/>
        <v>No</v>
      </c>
      <c r="AH640" t="str">
        <f t="shared" si="100"/>
        <v>Low</v>
      </c>
      <c r="AI640" t="e">
        <f t="shared" si="101"/>
        <v>#N/A</v>
      </c>
    </row>
    <row r="641" spans="33:35" x14ac:dyDescent="0.2">
      <c r="AG641" t="str">
        <f t="shared" si="99"/>
        <v>No</v>
      </c>
      <c r="AH641" t="str">
        <f t="shared" si="100"/>
        <v>Low</v>
      </c>
      <c r="AI641" t="e">
        <f t="shared" si="101"/>
        <v>#N/A</v>
      </c>
    </row>
    <row r="642" spans="33:35" x14ac:dyDescent="0.2">
      <c r="AG642" t="str">
        <f t="shared" si="99"/>
        <v>No</v>
      </c>
      <c r="AH642" t="str">
        <f t="shared" si="100"/>
        <v>Low</v>
      </c>
      <c r="AI642" t="e">
        <f t="shared" si="101"/>
        <v>#N/A</v>
      </c>
    </row>
    <row r="643" spans="33:35" x14ac:dyDescent="0.2">
      <c r="AG643" t="str">
        <f t="shared" ref="AG643:AG706" si="102">IF(AF643 &gt;= 0.5, "Yes", "No")</f>
        <v>No</v>
      </c>
      <c r="AH643" t="str">
        <f t="shared" ref="AH643:AH706" si="103">IF(AF643&gt;=0.6,"High",
   IF(AF643&gt;=0.4,"Medium","Low"))</f>
        <v>Low</v>
      </c>
      <c r="AI643" t="e">
        <f t="shared" ref="AI643:AI706" si="104">IF(AH643="High",N643,NA())</f>
        <v>#N/A</v>
      </c>
    </row>
    <row r="644" spans="33:35" x14ac:dyDescent="0.2">
      <c r="AG644" t="str">
        <f t="shared" si="102"/>
        <v>No</v>
      </c>
      <c r="AH644" t="str">
        <f t="shared" si="103"/>
        <v>Low</v>
      </c>
      <c r="AI644" t="e">
        <f t="shared" si="104"/>
        <v>#N/A</v>
      </c>
    </row>
    <row r="645" spans="33:35" x14ac:dyDescent="0.2">
      <c r="AG645" t="str">
        <f t="shared" si="102"/>
        <v>No</v>
      </c>
      <c r="AH645" t="str">
        <f t="shared" si="103"/>
        <v>Low</v>
      </c>
      <c r="AI645" t="e">
        <f t="shared" si="104"/>
        <v>#N/A</v>
      </c>
    </row>
    <row r="646" spans="33:35" x14ac:dyDescent="0.2">
      <c r="AG646" t="str">
        <f t="shared" si="102"/>
        <v>No</v>
      </c>
      <c r="AH646" t="str">
        <f t="shared" si="103"/>
        <v>Low</v>
      </c>
      <c r="AI646" t="e">
        <f t="shared" si="104"/>
        <v>#N/A</v>
      </c>
    </row>
    <row r="647" spans="33:35" x14ac:dyDescent="0.2">
      <c r="AG647" t="str">
        <f t="shared" si="102"/>
        <v>No</v>
      </c>
      <c r="AH647" t="str">
        <f t="shared" si="103"/>
        <v>Low</v>
      </c>
      <c r="AI647" t="e">
        <f t="shared" si="104"/>
        <v>#N/A</v>
      </c>
    </row>
    <row r="648" spans="33:35" x14ac:dyDescent="0.2">
      <c r="AG648" t="str">
        <f t="shared" si="102"/>
        <v>No</v>
      </c>
      <c r="AH648" t="str">
        <f t="shared" si="103"/>
        <v>Low</v>
      </c>
      <c r="AI648" t="e">
        <f t="shared" si="104"/>
        <v>#N/A</v>
      </c>
    </row>
    <row r="649" spans="33:35" x14ac:dyDescent="0.2">
      <c r="AG649" t="str">
        <f t="shared" si="102"/>
        <v>No</v>
      </c>
      <c r="AH649" t="str">
        <f t="shared" si="103"/>
        <v>Low</v>
      </c>
      <c r="AI649" t="e">
        <f t="shared" si="104"/>
        <v>#N/A</v>
      </c>
    </row>
    <row r="650" spans="33:35" x14ac:dyDescent="0.2">
      <c r="AG650" t="str">
        <f t="shared" si="102"/>
        <v>No</v>
      </c>
      <c r="AH650" t="str">
        <f t="shared" si="103"/>
        <v>Low</v>
      </c>
      <c r="AI650" t="e">
        <f t="shared" si="104"/>
        <v>#N/A</v>
      </c>
    </row>
    <row r="651" spans="33:35" x14ac:dyDescent="0.2">
      <c r="AG651" t="str">
        <f t="shared" si="102"/>
        <v>No</v>
      </c>
      <c r="AH651" t="str">
        <f t="shared" si="103"/>
        <v>Low</v>
      </c>
      <c r="AI651" t="e">
        <f t="shared" si="104"/>
        <v>#N/A</v>
      </c>
    </row>
    <row r="652" spans="33:35" x14ac:dyDescent="0.2">
      <c r="AG652" t="str">
        <f t="shared" si="102"/>
        <v>No</v>
      </c>
      <c r="AH652" t="str">
        <f t="shared" si="103"/>
        <v>Low</v>
      </c>
      <c r="AI652" t="e">
        <f t="shared" si="104"/>
        <v>#N/A</v>
      </c>
    </row>
    <row r="653" spans="33:35" x14ac:dyDescent="0.2">
      <c r="AG653" t="str">
        <f t="shared" si="102"/>
        <v>No</v>
      </c>
      <c r="AH653" t="str">
        <f t="shared" si="103"/>
        <v>Low</v>
      </c>
      <c r="AI653" t="e">
        <f t="shared" si="104"/>
        <v>#N/A</v>
      </c>
    </row>
    <row r="654" spans="33:35" x14ac:dyDescent="0.2">
      <c r="AG654" t="str">
        <f t="shared" si="102"/>
        <v>No</v>
      </c>
      <c r="AH654" t="str">
        <f t="shared" si="103"/>
        <v>Low</v>
      </c>
      <c r="AI654" t="e">
        <f t="shared" si="104"/>
        <v>#N/A</v>
      </c>
    </row>
    <row r="655" spans="33:35" x14ac:dyDescent="0.2">
      <c r="AG655" t="str">
        <f t="shared" si="102"/>
        <v>No</v>
      </c>
      <c r="AH655" t="str">
        <f t="shared" si="103"/>
        <v>Low</v>
      </c>
      <c r="AI655" t="e">
        <f t="shared" si="104"/>
        <v>#N/A</v>
      </c>
    </row>
    <row r="656" spans="33:35" x14ac:dyDescent="0.2">
      <c r="AG656" t="str">
        <f t="shared" si="102"/>
        <v>No</v>
      </c>
      <c r="AH656" t="str">
        <f t="shared" si="103"/>
        <v>Low</v>
      </c>
      <c r="AI656" t="e">
        <f t="shared" si="104"/>
        <v>#N/A</v>
      </c>
    </row>
    <row r="657" spans="33:35" x14ac:dyDescent="0.2">
      <c r="AG657" t="str">
        <f t="shared" si="102"/>
        <v>No</v>
      </c>
      <c r="AH657" t="str">
        <f t="shared" si="103"/>
        <v>Low</v>
      </c>
      <c r="AI657" t="e">
        <f t="shared" si="104"/>
        <v>#N/A</v>
      </c>
    </row>
    <row r="658" spans="33:35" x14ac:dyDescent="0.2">
      <c r="AG658" t="str">
        <f t="shared" si="102"/>
        <v>No</v>
      </c>
      <c r="AH658" t="str">
        <f t="shared" si="103"/>
        <v>Low</v>
      </c>
      <c r="AI658" t="e">
        <f t="shared" si="104"/>
        <v>#N/A</v>
      </c>
    </row>
    <row r="659" spans="33:35" x14ac:dyDescent="0.2">
      <c r="AG659" t="str">
        <f t="shared" si="102"/>
        <v>No</v>
      </c>
      <c r="AH659" t="str">
        <f t="shared" si="103"/>
        <v>Low</v>
      </c>
      <c r="AI659" t="e">
        <f t="shared" si="104"/>
        <v>#N/A</v>
      </c>
    </row>
    <row r="660" spans="33:35" x14ac:dyDescent="0.2">
      <c r="AG660" t="str">
        <f t="shared" si="102"/>
        <v>No</v>
      </c>
      <c r="AH660" t="str">
        <f t="shared" si="103"/>
        <v>Low</v>
      </c>
      <c r="AI660" t="e">
        <f t="shared" si="104"/>
        <v>#N/A</v>
      </c>
    </row>
    <row r="661" spans="33:35" x14ac:dyDescent="0.2">
      <c r="AG661" t="str">
        <f t="shared" si="102"/>
        <v>No</v>
      </c>
      <c r="AH661" t="str">
        <f t="shared" si="103"/>
        <v>Low</v>
      </c>
      <c r="AI661" t="e">
        <f t="shared" si="104"/>
        <v>#N/A</v>
      </c>
    </row>
    <row r="662" spans="33:35" x14ac:dyDescent="0.2">
      <c r="AG662" t="str">
        <f t="shared" si="102"/>
        <v>No</v>
      </c>
      <c r="AH662" t="str">
        <f t="shared" si="103"/>
        <v>Low</v>
      </c>
      <c r="AI662" t="e">
        <f t="shared" si="104"/>
        <v>#N/A</v>
      </c>
    </row>
    <row r="663" spans="33:35" x14ac:dyDescent="0.2">
      <c r="AG663" t="str">
        <f t="shared" si="102"/>
        <v>No</v>
      </c>
      <c r="AH663" t="str">
        <f t="shared" si="103"/>
        <v>Low</v>
      </c>
      <c r="AI663" t="e">
        <f t="shared" si="104"/>
        <v>#N/A</v>
      </c>
    </row>
    <row r="664" spans="33:35" x14ac:dyDescent="0.2">
      <c r="AG664" t="str">
        <f t="shared" si="102"/>
        <v>No</v>
      </c>
      <c r="AH664" t="str">
        <f t="shared" si="103"/>
        <v>Low</v>
      </c>
      <c r="AI664" t="e">
        <f t="shared" si="104"/>
        <v>#N/A</v>
      </c>
    </row>
    <row r="665" spans="33:35" x14ac:dyDescent="0.2">
      <c r="AG665" t="str">
        <f t="shared" si="102"/>
        <v>No</v>
      </c>
      <c r="AH665" t="str">
        <f t="shared" si="103"/>
        <v>Low</v>
      </c>
      <c r="AI665" t="e">
        <f t="shared" si="104"/>
        <v>#N/A</v>
      </c>
    </row>
    <row r="666" spans="33:35" x14ac:dyDescent="0.2">
      <c r="AG666" t="str">
        <f t="shared" si="102"/>
        <v>No</v>
      </c>
      <c r="AH666" t="str">
        <f t="shared" si="103"/>
        <v>Low</v>
      </c>
      <c r="AI666" t="e">
        <f t="shared" si="104"/>
        <v>#N/A</v>
      </c>
    </row>
    <row r="667" spans="33:35" x14ac:dyDescent="0.2">
      <c r="AG667" t="str">
        <f t="shared" si="102"/>
        <v>No</v>
      </c>
      <c r="AH667" t="str">
        <f t="shared" si="103"/>
        <v>Low</v>
      </c>
      <c r="AI667" t="e">
        <f t="shared" si="104"/>
        <v>#N/A</v>
      </c>
    </row>
    <row r="668" spans="33:35" x14ac:dyDescent="0.2">
      <c r="AG668" t="str">
        <f t="shared" si="102"/>
        <v>No</v>
      </c>
      <c r="AH668" t="str">
        <f t="shared" si="103"/>
        <v>Low</v>
      </c>
      <c r="AI668" t="e">
        <f t="shared" si="104"/>
        <v>#N/A</v>
      </c>
    </row>
    <row r="669" spans="33:35" x14ac:dyDescent="0.2">
      <c r="AG669" t="str">
        <f t="shared" si="102"/>
        <v>No</v>
      </c>
      <c r="AH669" t="str">
        <f t="shared" si="103"/>
        <v>Low</v>
      </c>
      <c r="AI669" t="e">
        <f t="shared" si="104"/>
        <v>#N/A</v>
      </c>
    </row>
    <row r="670" spans="33:35" x14ac:dyDescent="0.2">
      <c r="AG670" t="str">
        <f t="shared" si="102"/>
        <v>No</v>
      </c>
      <c r="AH670" t="str">
        <f t="shared" si="103"/>
        <v>Low</v>
      </c>
      <c r="AI670" t="e">
        <f t="shared" si="104"/>
        <v>#N/A</v>
      </c>
    </row>
    <row r="671" spans="33:35" x14ac:dyDescent="0.2">
      <c r="AG671" t="str">
        <f t="shared" si="102"/>
        <v>No</v>
      </c>
      <c r="AH671" t="str">
        <f t="shared" si="103"/>
        <v>Low</v>
      </c>
      <c r="AI671" t="e">
        <f t="shared" si="104"/>
        <v>#N/A</v>
      </c>
    </row>
    <row r="672" spans="33:35" x14ac:dyDescent="0.2">
      <c r="AG672" t="str">
        <f t="shared" si="102"/>
        <v>No</v>
      </c>
      <c r="AH672" t="str">
        <f t="shared" si="103"/>
        <v>Low</v>
      </c>
      <c r="AI672" t="e">
        <f t="shared" si="104"/>
        <v>#N/A</v>
      </c>
    </row>
    <row r="673" spans="33:35" x14ac:dyDescent="0.2">
      <c r="AG673" t="str">
        <f t="shared" si="102"/>
        <v>No</v>
      </c>
      <c r="AH673" t="str">
        <f t="shared" si="103"/>
        <v>Low</v>
      </c>
      <c r="AI673" t="e">
        <f t="shared" si="104"/>
        <v>#N/A</v>
      </c>
    </row>
    <row r="674" spans="33:35" x14ac:dyDescent="0.2">
      <c r="AG674" t="str">
        <f t="shared" si="102"/>
        <v>No</v>
      </c>
      <c r="AH674" t="str">
        <f t="shared" si="103"/>
        <v>Low</v>
      </c>
      <c r="AI674" t="e">
        <f t="shared" si="104"/>
        <v>#N/A</v>
      </c>
    </row>
    <row r="675" spans="33:35" x14ac:dyDescent="0.2">
      <c r="AG675" t="str">
        <f t="shared" si="102"/>
        <v>No</v>
      </c>
      <c r="AH675" t="str">
        <f t="shared" si="103"/>
        <v>Low</v>
      </c>
      <c r="AI675" t="e">
        <f t="shared" si="104"/>
        <v>#N/A</v>
      </c>
    </row>
    <row r="676" spans="33:35" x14ac:dyDescent="0.2">
      <c r="AG676" t="str">
        <f t="shared" si="102"/>
        <v>No</v>
      </c>
      <c r="AH676" t="str">
        <f t="shared" si="103"/>
        <v>Low</v>
      </c>
      <c r="AI676" t="e">
        <f t="shared" si="104"/>
        <v>#N/A</v>
      </c>
    </row>
    <row r="677" spans="33:35" x14ac:dyDescent="0.2">
      <c r="AG677" t="str">
        <f t="shared" si="102"/>
        <v>No</v>
      </c>
      <c r="AH677" t="str">
        <f t="shared" si="103"/>
        <v>Low</v>
      </c>
      <c r="AI677" t="e">
        <f t="shared" si="104"/>
        <v>#N/A</v>
      </c>
    </row>
    <row r="678" spans="33:35" x14ac:dyDescent="0.2">
      <c r="AG678" t="str">
        <f t="shared" si="102"/>
        <v>No</v>
      </c>
      <c r="AH678" t="str">
        <f t="shared" si="103"/>
        <v>Low</v>
      </c>
      <c r="AI678" t="e">
        <f t="shared" si="104"/>
        <v>#N/A</v>
      </c>
    </row>
    <row r="679" spans="33:35" x14ac:dyDescent="0.2">
      <c r="AG679" t="str">
        <f t="shared" si="102"/>
        <v>No</v>
      </c>
      <c r="AH679" t="str">
        <f t="shared" si="103"/>
        <v>Low</v>
      </c>
      <c r="AI679" t="e">
        <f t="shared" si="104"/>
        <v>#N/A</v>
      </c>
    </row>
    <row r="680" spans="33:35" x14ac:dyDescent="0.2">
      <c r="AG680" t="str">
        <f t="shared" si="102"/>
        <v>No</v>
      </c>
      <c r="AH680" t="str">
        <f t="shared" si="103"/>
        <v>Low</v>
      </c>
      <c r="AI680" t="e">
        <f t="shared" si="104"/>
        <v>#N/A</v>
      </c>
    </row>
    <row r="681" spans="33:35" x14ac:dyDescent="0.2">
      <c r="AG681" t="str">
        <f t="shared" si="102"/>
        <v>No</v>
      </c>
      <c r="AH681" t="str">
        <f t="shared" si="103"/>
        <v>Low</v>
      </c>
      <c r="AI681" t="e">
        <f t="shared" si="104"/>
        <v>#N/A</v>
      </c>
    </row>
    <row r="682" spans="33:35" x14ac:dyDescent="0.2">
      <c r="AG682" t="str">
        <f t="shared" si="102"/>
        <v>No</v>
      </c>
      <c r="AH682" t="str">
        <f t="shared" si="103"/>
        <v>Low</v>
      </c>
      <c r="AI682" t="e">
        <f t="shared" si="104"/>
        <v>#N/A</v>
      </c>
    </row>
    <row r="683" spans="33:35" x14ac:dyDescent="0.2">
      <c r="AG683" t="str">
        <f t="shared" si="102"/>
        <v>No</v>
      </c>
      <c r="AH683" t="str">
        <f t="shared" si="103"/>
        <v>Low</v>
      </c>
      <c r="AI683" t="e">
        <f t="shared" si="104"/>
        <v>#N/A</v>
      </c>
    </row>
    <row r="684" spans="33:35" x14ac:dyDescent="0.2">
      <c r="AG684" t="str">
        <f t="shared" si="102"/>
        <v>No</v>
      </c>
      <c r="AH684" t="str">
        <f t="shared" si="103"/>
        <v>Low</v>
      </c>
      <c r="AI684" t="e">
        <f t="shared" si="104"/>
        <v>#N/A</v>
      </c>
    </row>
    <row r="685" spans="33:35" x14ac:dyDescent="0.2">
      <c r="AG685" t="str">
        <f t="shared" si="102"/>
        <v>No</v>
      </c>
      <c r="AH685" t="str">
        <f t="shared" si="103"/>
        <v>Low</v>
      </c>
      <c r="AI685" t="e">
        <f t="shared" si="104"/>
        <v>#N/A</v>
      </c>
    </row>
    <row r="686" spans="33:35" x14ac:dyDescent="0.2">
      <c r="AG686" t="str">
        <f t="shared" si="102"/>
        <v>No</v>
      </c>
      <c r="AH686" t="str">
        <f t="shared" si="103"/>
        <v>Low</v>
      </c>
      <c r="AI686" t="e">
        <f t="shared" si="104"/>
        <v>#N/A</v>
      </c>
    </row>
    <row r="687" spans="33:35" x14ac:dyDescent="0.2">
      <c r="AG687" t="str">
        <f t="shared" si="102"/>
        <v>No</v>
      </c>
      <c r="AH687" t="str">
        <f t="shared" si="103"/>
        <v>Low</v>
      </c>
      <c r="AI687" t="e">
        <f t="shared" si="104"/>
        <v>#N/A</v>
      </c>
    </row>
    <row r="688" spans="33:35" x14ac:dyDescent="0.2">
      <c r="AG688" t="str">
        <f t="shared" si="102"/>
        <v>No</v>
      </c>
      <c r="AH688" t="str">
        <f t="shared" si="103"/>
        <v>Low</v>
      </c>
      <c r="AI688" t="e">
        <f t="shared" si="104"/>
        <v>#N/A</v>
      </c>
    </row>
    <row r="689" spans="33:35" x14ac:dyDescent="0.2">
      <c r="AG689" t="str">
        <f t="shared" si="102"/>
        <v>No</v>
      </c>
      <c r="AH689" t="str">
        <f t="shared" si="103"/>
        <v>Low</v>
      </c>
      <c r="AI689" t="e">
        <f t="shared" si="104"/>
        <v>#N/A</v>
      </c>
    </row>
    <row r="690" spans="33:35" x14ac:dyDescent="0.2">
      <c r="AG690" t="str">
        <f t="shared" si="102"/>
        <v>No</v>
      </c>
      <c r="AH690" t="str">
        <f t="shared" si="103"/>
        <v>Low</v>
      </c>
      <c r="AI690" t="e">
        <f t="shared" si="104"/>
        <v>#N/A</v>
      </c>
    </row>
    <row r="691" spans="33:35" x14ac:dyDescent="0.2">
      <c r="AG691" t="str">
        <f t="shared" si="102"/>
        <v>No</v>
      </c>
      <c r="AH691" t="str">
        <f t="shared" si="103"/>
        <v>Low</v>
      </c>
      <c r="AI691" t="e">
        <f t="shared" si="104"/>
        <v>#N/A</v>
      </c>
    </row>
    <row r="692" spans="33:35" x14ac:dyDescent="0.2">
      <c r="AG692" t="str">
        <f t="shared" si="102"/>
        <v>No</v>
      </c>
      <c r="AH692" t="str">
        <f t="shared" si="103"/>
        <v>Low</v>
      </c>
      <c r="AI692" t="e">
        <f t="shared" si="104"/>
        <v>#N/A</v>
      </c>
    </row>
    <row r="693" spans="33:35" x14ac:dyDescent="0.2">
      <c r="AG693" t="str">
        <f t="shared" si="102"/>
        <v>No</v>
      </c>
      <c r="AH693" t="str">
        <f t="shared" si="103"/>
        <v>Low</v>
      </c>
      <c r="AI693" t="e">
        <f t="shared" si="104"/>
        <v>#N/A</v>
      </c>
    </row>
    <row r="694" spans="33:35" x14ac:dyDescent="0.2">
      <c r="AG694" t="str">
        <f t="shared" si="102"/>
        <v>No</v>
      </c>
      <c r="AH694" t="str">
        <f t="shared" si="103"/>
        <v>Low</v>
      </c>
      <c r="AI694" t="e">
        <f t="shared" si="104"/>
        <v>#N/A</v>
      </c>
    </row>
    <row r="695" spans="33:35" x14ac:dyDescent="0.2">
      <c r="AG695" t="str">
        <f t="shared" si="102"/>
        <v>No</v>
      </c>
      <c r="AH695" t="str">
        <f t="shared" si="103"/>
        <v>Low</v>
      </c>
      <c r="AI695" t="e">
        <f t="shared" si="104"/>
        <v>#N/A</v>
      </c>
    </row>
    <row r="696" spans="33:35" x14ac:dyDescent="0.2">
      <c r="AG696" t="str">
        <f t="shared" si="102"/>
        <v>No</v>
      </c>
      <c r="AH696" t="str">
        <f t="shared" si="103"/>
        <v>Low</v>
      </c>
      <c r="AI696" t="e">
        <f t="shared" si="104"/>
        <v>#N/A</v>
      </c>
    </row>
    <row r="697" spans="33:35" x14ac:dyDescent="0.2">
      <c r="AG697" t="str">
        <f t="shared" si="102"/>
        <v>No</v>
      </c>
      <c r="AH697" t="str">
        <f t="shared" si="103"/>
        <v>Low</v>
      </c>
      <c r="AI697" t="e">
        <f t="shared" si="104"/>
        <v>#N/A</v>
      </c>
    </row>
    <row r="698" spans="33:35" x14ac:dyDescent="0.2">
      <c r="AG698" t="str">
        <f t="shared" si="102"/>
        <v>No</v>
      </c>
      <c r="AH698" t="str">
        <f t="shared" si="103"/>
        <v>Low</v>
      </c>
      <c r="AI698" t="e">
        <f t="shared" si="104"/>
        <v>#N/A</v>
      </c>
    </row>
    <row r="699" spans="33:35" x14ac:dyDescent="0.2">
      <c r="AG699" t="str">
        <f t="shared" si="102"/>
        <v>No</v>
      </c>
      <c r="AH699" t="str">
        <f t="shared" si="103"/>
        <v>Low</v>
      </c>
      <c r="AI699" t="e">
        <f t="shared" si="104"/>
        <v>#N/A</v>
      </c>
    </row>
    <row r="700" spans="33:35" x14ac:dyDescent="0.2">
      <c r="AG700" t="str">
        <f t="shared" si="102"/>
        <v>No</v>
      </c>
      <c r="AH700" t="str">
        <f t="shared" si="103"/>
        <v>Low</v>
      </c>
      <c r="AI700" t="e">
        <f t="shared" si="104"/>
        <v>#N/A</v>
      </c>
    </row>
    <row r="701" spans="33:35" x14ac:dyDescent="0.2">
      <c r="AG701" t="str">
        <f t="shared" si="102"/>
        <v>No</v>
      </c>
      <c r="AH701" t="str">
        <f t="shared" si="103"/>
        <v>Low</v>
      </c>
      <c r="AI701" t="e">
        <f t="shared" si="104"/>
        <v>#N/A</v>
      </c>
    </row>
    <row r="702" spans="33:35" x14ac:dyDescent="0.2">
      <c r="AG702" t="str">
        <f t="shared" si="102"/>
        <v>No</v>
      </c>
      <c r="AH702" t="str">
        <f t="shared" si="103"/>
        <v>Low</v>
      </c>
      <c r="AI702" t="e">
        <f t="shared" si="104"/>
        <v>#N/A</v>
      </c>
    </row>
    <row r="703" spans="33:35" x14ac:dyDescent="0.2">
      <c r="AG703" t="str">
        <f t="shared" si="102"/>
        <v>No</v>
      </c>
      <c r="AH703" t="str">
        <f t="shared" si="103"/>
        <v>Low</v>
      </c>
      <c r="AI703" t="e">
        <f t="shared" si="104"/>
        <v>#N/A</v>
      </c>
    </row>
    <row r="704" spans="33:35" x14ac:dyDescent="0.2">
      <c r="AG704" t="str">
        <f t="shared" si="102"/>
        <v>No</v>
      </c>
      <c r="AH704" t="str">
        <f t="shared" si="103"/>
        <v>Low</v>
      </c>
      <c r="AI704" t="e">
        <f t="shared" si="104"/>
        <v>#N/A</v>
      </c>
    </row>
    <row r="705" spans="33:35" x14ac:dyDescent="0.2">
      <c r="AG705" t="str">
        <f t="shared" si="102"/>
        <v>No</v>
      </c>
      <c r="AH705" t="str">
        <f t="shared" si="103"/>
        <v>Low</v>
      </c>
      <c r="AI705" t="e">
        <f t="shared" si="104"/>
        <v>#N/A</v>
      </c>
    </row>
    <row r="706" spans="33:35" x14ac:dyDescent="0.2">
      <c r="AG706" t="str">
        <f t="shared" si="102"/>
        <v>No</v>
      </c>
      <c r="AH706" t="str">
        <f t="shared" si="103"/>
        <v>Low</v>
      </c>
      <c r="AI706" t="e">
        <f t="shared" si="104"/>
        <v>#N/A</v>
      </c>
    </row>
    <row r="707" spans="33:35" x14ac:dyDescent="0.2">
      <c r="AG707" t="str">
        <f t="shared" ref="AG707:AG749" si="105">IF(AF707 &gt;= 0.5, "Yes", "No")</f>
        <v>No</v>
      </c>
      <c r="AH707" t="str">
        <f t="shared" ref="AH707:AH749" si="106">IF(AF707&gt;=0.6,"High",
   IF(AF707&gt;=0.4,"Medium","Low"))</f>
        <v>Low</v>
      </c>
      <c r="AI707" t="e">
        <f t="shared" ref="AI707:AI749" si="107">IF(AH707="High",N707,NA())</f>
        <v>#N/A</v>
      </c>
    </row>
    <row r="708" spans="33:35" x14ac:dyDescent="0.2">
      <c r="AG708" t="str">
        <f t="shared" si="105"/>
        <v>No</v>
      </c>
      <c r="AH708" t="str">
        <f t="shared" si="106"/>
        <v>Low</v>
      </c>
      <c r="AI708" t="e">
        <f t="shared" si="107"/>
        <v>#N/A</v>
      </c>
    </row>
    <row r="709" spans="33:35" x14ac:dyDescent="0.2">
      <c r="AG709" t="str">
        <f t="shared" si="105"/>
        <v>No</v>
      </c>
      <c r="AH709" t="str">
        <f t="shared" si="106"/>
        <v>Low</v>
      </c>
      <c r="AI709" t="e">
        <f t="shared" si="107"/>
        <v>#N/A</v>
      </c>
    </row>
    <row r="710" spans="33:35" x14ac:dyDescent="0.2">
      <c r="AG710" t="str">
        <f t="shared" si="105"/>
        <v>No</v>
      </c>
      <c r="AH710" t="str">
        <f t="shared" si="106"/>
        <v>Low</v>
      </c>
      <c r="AI710" t="e">
        <f t="shared" si="107"/>
        <v>#N/A</v>
      </c>
    </row>
    <row r="711" spans="33:35" x14ac:dyDescent="0.2">
      <c r="AG711" t="str">
        <f t="shared" si="105"/>
        <v>No</v>
      </c>
      <c r="AH711" t="str">
        <f t="shared" si="106"/>
        <v>Low</v>
      </c>
      <c r="AI711" t="e">
        <f t="shared" si="107"/>
        <v>#N/A</v>
      </c>
    </row>
    <row r="712" spans="33:35" x14ac:dyDescent="0.2">
      <c r="AG712" t="str">
        <f t="shared" si="105"/>
        <v>No</v>
      </c>
      <c r="AH712" t="str">
        <f t="shared" si="106"/>
        <v>Low</v>
      </c>
      <c r="AI712" t="e">
        <f t="shared" si="107"/>
        <v>#N/A</v>
      </c>
    </row>
    <row r="713" spans="33:35" x14ac:dyDescent="0.2">
      <c r="AG713" t="str">
        <f t="shared" si="105"/>
        <v>No</v>
      </c>
      <c r="AH713" t="str">
        <f t="shared" si="106"/>
        <v>Low</v>
      </c>
      <c r="AI713" t="e">
        <f t="shared" si="107"/>
        <v>#N/A</v>
      </c>
    </row>
    <row r="714" spans="33:35" x14ac:dyDescent="0.2">
      <c r="AG714" t="str">
        <f t="shared" si="105"/>
        <v>No</v>
      </c>
      <c r="AH714" t="str">
        <f t="shared" si="106"/>
        <v>Low</v>
      </c>
      <c r="AI714" t="e">
        <f t="shared" si="107"/>
        <v>#N/A</v>
      </c>
    </row>
    <row r="715" spans="33:35" x14ac:dyDescent="0.2">
      <c r="AG715" t="str">
        <f t="shared" si="105"/>
        <v>No</v>
      </c>
      <c r="AH715" t="str">
        <f t="shared" si="106"/>
        <v>Low</v>
      </c>
      <c r="AI715" t="e">
        <f t="shared" si="107"/>
        <v>#N/A</v>
      </c>
    </row>
    <row r="716" spans="33:35" x14ac:dyDescent="0.2">
      <c r="AG716" t="str">
        <f t="shared" si="105"/>
        <v>No</v>
      </c>
      <c r="AH716" t="str">
        <f t="shared" si="106"/>
        <v>Low</v>
      </c>
      <c r="AI716" t="e">
        <f t="shared" si="107"/>
        <v>#N/A</v>
      </c>
    </row>
    <row r="717" spans="33:35" x14ac:dyDescent="0.2">
      <c r="AG717" t="str">
        <f t="shared" si="105"/>
        <v>No</v>
      </c>
      <c r="AH717" t="str">
        <f t="shared" si="106"/>
        <v>Low</v>
      </c>
      <c r="AI717" t="e">
        <f t="shared" si="107"/>
        <v>#N/A</v>
      </c>
    </row>
    <row r="718" spans="33:35" x14ac:dyDescent="0.2">
      <c r="AG718" t="str">
        <f t="shared" si="105"/>
        <v>No</v>
      </c>
      <c r="AH718" t="str">
        <f t="shared" si="106"/>
        <v>Low</v>
      </c>
      <c r="AI718" t="e">
        <f t="shared" si="107"/>
        <v>#N/A</v>
      </c>
    </row>
    <row r="719" spans="33:35" x14ac:dyDescent="0.2">
      <c r="AG719" t="str">
        <f t="shared" si="105"/>
        <v>No</v>
      </c>
      <c r="AH719" t="str">
        <f t="shared" si="106"/>
        <v>Low</v>
      </c>
      <c r="AI719" t="e">
        <f t="shared" si="107"/>
        <v>#N/A</v>
      </c>
    </row>
    <row r="720" spans="33:35" x14ac:dyDescent="0.2">
      <c r="AG720" t="str">
        <f t="shared" si="105"/>
        <v>No</v>
      </c>
      <c r="AH720" t="str">
        <f t="shared" si="106"/>
        <v>Low</v>
      </c>
      <c r="AI720" t="e">
        <f t="shared" si="107"/>
        <v>#N/A</v>
      </c>
    </row>
    <row r="721" spans="33:35" x14ac:dyDescent="0.2">
      <c r="AG721" t="str">
        <f t="shared" si="105"/>
        <v>No</v>
      </c>
      <c r="AH721" t="str">
        <f t="shared" si="106"/>
        <v>Low</v>
      </c>
      <c r="AI721" t="e">
        <f t="shared" si="107"/>
        <v>#N/A</v>
      </c>
    </row>
    <row r="722" spans="33:35" x14ac:dyDescent="0.2">
      <c r="AG722" t="str">
        <f t="shared" si="105"/>
        <v>No</v>
      </c>
      <c r="AH722" t="str">
        <f t="shared" si="106"/>
        <v>Low</v>
      </c>
      <c r="AI722" t="e">
        <f t="shared" si="107"/>
        <v>#N/A</v>
      </c>
    </row>
    <row r="723" spans="33:35" x14ac:dyDescent="0.2">
      <c r="AG723" t="str">
        <f t="shared" si="105"/>
        <v>No</v>
      </c>
      <c r="AH723" t="str">
        <f t="shared" si="106"/>
        <v>Low</v>
      </c>
      <c r="AI723" t="e">
        <f t="shared" si="107"/>
        <v>#N/A</v>
      </c>
    </row>
    <row r="724" spans="33:35" x14ac:dyDescent="0.2">
      <c r="AG724" t="str">
        <f t="shared" si="105"/>
        <v>No</v>
      </c>
      <c r="AH724" t="str">
        <f t="shared" si="106"/>
        <v>Low</v>
      </c>
      <c r="AI724" t="e">
        <f t="shared" si="107"/>
        <v>#N/A</v>
      </c>
    </row>
    <row r="725" spans="33:35" x14ac:dyDescent="0.2">
      <c r="AG725" t="str">
        <f t="shared" si="105"/>
        <v>No</v>
      </c>
      <c r="AH725" t="str">
        <f t="shared" si="106"/>
        <v>Low</v>
      </c>
      <c r="AI725" t="e">
        <f t="shared" si="107"/>
        <v>#N/A</v>
      </c>
    </row>
    <row r="726" spans="33:35" x14ac:dyDescent="0.2">
      <c r="AG726" t="str">
        <f t="shared" si="105"/>
        <v>No</v>
      </c>
      <c r="AH726" t="str">
        <f t="shared" si="106"/>
        <v>Low</v>
      </c>
      <c r="AI726" t="e">
        <f t="shared" si="107"/>
        <v>#N/A</v>
      </c>
    </row>
    <row r="727" spans="33:35" x14ac:dyDescent="0.2">
      <c r="AG727" t="str">
        <f t="shared" si="105"/>
        <v>No</v>
      </c>
      <c r="AH727" t="str">
        <f t="shared" si="106"/>
        <v>Low</v>
      </c>
      <c r="AI727" t="e">
        <f t="shared" si="107"/>
        <v>#N/A</v>
      </c>
    </row>
    <row r="728" spans="33:35" x14ac:dyDescent="0.2">
      <c r="AG728" t="str">
        <f t="shared" si="105"/>
        <v>No</v>
      </c>
      <c r="AH728" t="str">
        <f t="shared" si="106"/>
        <v>Low</v>
      </c>
      <c r="AI728" t="e">
        <f t="shared" si="107"/>
        <v>#N/A</v>
      </c>
    </row>
    <row r="729" spans="33:35" x14ac:dyDescent="0.2">
      <c r="AG729" t="str">
        <f t="shared" si="105"/>
        <v>No</v>
      </c>
      <c r="AH729" t="str">
        <f t="shared" si="106"/>
        <v>Low</v>
      </c>
      <c r="AI729" t="e">
        <f t="shared" si="107"/>
        <v>#N/A</v>
      </c>
    </row>
    <row r="730" spans="33:35" x14ac:dyDescent="0.2">
      <c r="AG730" t="str">
        <f t="shared" si="105"/>
        <v>No</v>
      </c>
      <c r="AH730" t="str">
        <f t="shared" si="106"/>
        <v>Low</v>
      </c>
      <c r="AI730" t="e">
        <f t="shared" si="107"/>
        <v>#N/A</v>
      </c>
    </row>
    <row r="731" spans="33:35" x14ac:dyDescent="0.2">
      <c r="AG731" t="str">
        <f t="shared" si="105"/>
        <v>No</v>
      </c>
      <c r="AH731" t="str">
        <f t="shared" si="106"/>
        <v>Low</v>
      </c>
      <c r="AI731" t="e">
        <f t="shared" si="107"/>
        <v>#N/A</v>
      </c>
    </row>
    <row r="732" spans="33:35" x14ac:dyDescent="0.2">
      <c r="AG732" t="str">
        <f t="shared" si="105"/>
        <v>No</v>
      </c>
      <c r="AH732" t="str">
        <f t="shared" si="106"/>
        <v>Low</v>
      </c>
      <c r="AI732" t="e">
        <f t="shared" si="107"/>
        <v>#N/A</v>
      </c>
    </row>
    <row r="733" spans="33:35" x14ac:dyDescent="0.2">
      <c r="AG733" t="str">
        <f t="shared" si="105"/>
        <v>No</v>
      </c>
      <c r="AH733" t="str">
        <f t="shared" si="106"/>
        <v>Low</v>
      </c>
      <c r="AI733" t="e">
        <f t="shared" si="107"/>
        <v>#N/A</v>
      </c>
    </row>
    <row r="734" spans="33:35" x14ac:dyDescent="0.2">
      <c r="AG734" t="str">
        <f t="shared" si="105"/>
        <v>No</v>
      </c>
      <c r="AH734" t="str">
        <f t="shared" si="106"/>
        <v>Low</v>
      </c>
      <c r="AI734" t="e">
        <f t="shared" si="107"/>
        <v>#N/A</v>
      </c>
    </row>
    <row r="735" spans="33:35" x14ac:dyDescent="0.2">
      <c r="AG735" t="str">
        <f t="shared" si="105"/>
        <v>No</v>
      </c>
      <c r="AH735" t="str">
        <f t="shared" si="106"/>
        <v>Low</v>
      </c>
      <c r="AI735" t="e">
        <f t="shared" si="107"/>
        <v>#N/A</v>
      </c>
    </row>
    <row r="736" spans="33:35" x14ac:dyDescent="0.2">
      <c r="AG736" t="str">
        <f t="shared" si="105"/>
        <v>No</v>
      </c>
      <c r="AH736" t="str">
        <f t="shared" si="106"/>
        <v>Low</v>
      </c>
      <c r="AI736" t="e">
        <f t="shared" si="107"/>
        <v>#N/A</v>
      </c>
    </row>
    <row r="737" spans="33:35" x14ac:dyDescent="0.2">
      <c r="AG737" t="str">
        <f t="shared" si="105"/>
        <v>No</v>
      </c>
      <c r="AH737" t="str">
        <f t="shared" si="106"/>
        <v>Low</v>
      </c>
      <c r="AI737" t="e">
        <f t="shared" si="107"/>
        <v>#N/A</v>
      </c>
    </row>
    <row r="738" spans="33:35" x14ac:dyDescent="0.2">
      <c r="AG738" t="str">
        <f t="shared" si="105"/>
        <v>No</v>
      </c>
      <c r="AH738" t="str">
        <f t="shared" si="106"/>
        <v>Low</v>
      </c>
      <c r="AI738" t="e">
        <f t="shared" si="107"/>
        <v>#N/A</v>
      </c>
    </row>
    <row r="739" spans="33:35" x14ac:dyDescent="0.2">
      <c r="AG739" t="str">
        <f t="shared" si="105"/>
        <v>No</v>
      </c>
      <c r="AH739" t="str">
        <f t="shared" si="106"/>
        <v>Low</v>
      </c>
      <c r="AI739" t="e">
        <f t="shared" si="107"/>
        <v>#N/A</v>
      </c>
    </row>
    <row r="740" spans="33:35" x14ac:dyDescent="0.2">
      <c r="AG740" t="str">
        <f t="shared" si="105"/>
        <v>No</v>
      </c>
      <c r="AH740" t="str">
        <f t="shared" si="106"/>
        <v>Low</v>
      </c>
      <c r="AI740" t="e">
        <f t="shared" si="107"/>
        <v>#N/A</v>
      </c>
    </row>
    <row r="741" spans="33:35" x14ac:dyDescent="0.2">
      <c r="AG741" t="str">
        <f t="shared" si="105"/>
        <v>No</v>
      </c>
      <c r="AH741" t="str">
        <f t="shared" si="106"/>
        <v>Low</v>
      </c>
      <c r="AI741" t="e">
        <f t="shared" si="107"/>
        <v>#N/A</v>
      </c>
    </row>
    <row r="742" spans="33:35" x14ac:dyDescent="0.2">
      <c r="AG742" t="str">
        <f t="shared" si="105"/>
        <v>No</v>
      </c>
      <c r="AH742" t="str">
        <f t="shared" si="106"/>
        <v>Low</v>
      </c>
      <c r="AI742" t="e">
        <f t="shared" si="107"/>
        <v>#N/A</v>
      </c>
    </row>
    <row r="743" spans="33:35" x14ac:dyDescent="0.2">
      <c r="AG743" t="str">
        <f t="shared" si="105"/>
        <v>No</v>
      </c>
      <c r="AH743" t="str">
        <f t="shared" si="106"/>
        <v>Low</v>
      </c>
      <c r="AI743" t="e">
        <f t="shared" si="107"/>
        <v>#N/A</v>
      </c>
    </row>
    <row r="744" spans="33:35" x14ac:dyDescent="0.2">
      <c r="AG744" t="str">
        <f t="shared" si="105"/>
        <v>No</v>
      </c>
      <c r="AH744" t="str">
        <f t="shared" si="106"/>
        <v>Low</v>
      </c>
      <c r="AI744" t="e">
        <f t="shared" si="107"/>
        <v>#N/A</v>
      </c>
    </row>
    <row r="745" spans="33:35" x14ac:dyDescent="0.2">
      <c r="AG745" t="str">
        <f t="shared" si="105"/>
        <v>No</v>
      </c>
      <c r="AH745" t="str">
        <f t="shared" si="106"/>
        <v>Low</v>
      </c>
      <c r="AI745" t="e">
        <f t="shared" si="107"/>
        <v>#N/A</v>
      </c>
    </row>
    <row r="746" spans="33:35" x14ac:dyDescent="0.2">
      <c r="AG746" t="str">
        <f t="shared" si="105"/>
        <v>No</v>
      </c>
      <c r="AH746" t="str">
        <f t="shared" si="106"/>
        <v>Low</v>
      </c>
      <c r="AI746" t="e">
        <f t="shared" si="107"/>
        <v>#N/A</v>
      </c>
    </row>
    <row r="747" spans="33:35" x14ac:dyDescent="0.2">
      <c r="AG747" t="str">
        <f t="shared" si="105"/>
        <v>No</v>
      </c>
      <c r="AH747" t="str">
        <f t="shared" si="106"/>
        <v>Low</v>
      </c>
      <c r="AI747" t="e">
        <f t="shared" si="107"/>
        <v>#N/A</v>
      </c>
    </row>
    <row r="748" spans="33:35" x14ac:dyDescent="0.2">
      <c r="AG748" t="str">
        <f t="shared" si="105"/>
        <v>No</v>
      </c>
      <c r="AH748" t="str">
        <f t="shared" si="106"/>
        <v>Low</v>
      </c>
      <c r="AI748" t="e">
        <f t="shared" si="107"/>
        <v>#N/A</v>
      </c>
    </row>
    <row r="749" spans="33:35" x14ac:dyDescent="0.2">
      <c r="AG749" t="str">
        <f t="shared" si="105"/>
        <v>No</v>
      </c>
      <c r="AH749" t="str">
        <f t="shared" si="106"/>
        <v>Low</v>
      </c>
      <c r="AI749" t="e">
        <f t="shared" si="107"/>
        <v>#N/A</v>
      </c>
    </row>
  </sheetData>
  <pageMargins left="0.7" right="0.7" top="0.75" bottom="0.75" header="0.3" footer="0.3"/>
  <ignoredErrors>
    <ignoredError sqref="N2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D92F-69B9-7149-9AE4-9456567F2E9E}">
  <dimension ref="A1:R251"/>
  <sheetViews>
    <sheetView workbookViewId="0">
      <selection activeCell="E23" sqref="E23"/>
    </sheetView>
  </sheetViews>
  <sheetFormatPr baseColWidth="10" defaultRowHeight="15" x14ac:dyDescent="0.2"/>
  <cols>
    <col min="10" max="10" width="16.33203125" customWidth="1"/>
    <col min="12" max="12" width="10.6640625" bestFit="1" customWidth="1"/>
    <col min="13" max="13" width="14.5" customWidth="1"/>
    <col min="14" max="14" width="15.5" customWidth="1"/>
    <col min="15" max="15" width="12.33203125" customWidth="1"/>
    <col min="16" max="16" width="14.5" customWidth="1"/>
  </cols>
  <sheetData>
    <row r="1" spans="1:15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15" x14ac:dyDescent="0.2">
      <c r="A2">
        <v>56</v>
      </c>
      <c r="B2">
        <v>58</v>
      </c>
      <c r="C2">
        <v>28.27</v>
      </c>
      <c r="D2">
        <v>2</v>
      </c>
      <c r="E2">
        <v>52.7</v>
      </c>
      <c r="F2">
        <v>6</v>
      </c>
      <c r="G2">
        <v>1614.09</v>
      </c>
      <c r="H2">
        <v>1</v>
      </c>
    </row>
    <row r="3" spans="1:15" x14ac:dyDescent="0.2">
      <c r="A3">
        <v>69</v>
      </c>
      <c r="B3">
        <v>63</v>
      </c>
      <c r="C3">
        <v>107.67</v>
      </c>
      <c r="D3">
        <v>1</v>
      </c>
      <c r="E3">
        <v>16.8</v>
      </c>
      <c r="F3">
        <v>1</v>
      </c>
      <c r="G3">
        <v>6505.15</v>
      </c>
      <c r="H3">
        <v>1</v>
      </c>
      <c r="J3" t="s">
        <v>37</v>
      </c>
    </row>
    <row r="4" spans="1:15" ht="16" thickBot="1" x14ac:dyDescent="0.25">
      <c r="A4">
        <v>46</v>
      </c>
      <c r="B4">
        <v>62</v>
      </c>
      <c r="C4">
        <v>75.16</v>
      </c>
      <c r="D4">
        <v>1</v>
      </c>
      <c r="E4">
        <v>41.6</v>
      </c>
      <c r="F4">
        <v>5</v>
      </c>
      <c r="G4">
        <v>4646.87</v>
      </c>
      <c r="H4">
        <v>0</v>
      </c>
    </row>
    <row r="5" spans="1:15" x14ac:dyDescent="0.2">
      <c r="A5">
        <v>32</v>
      </c>
      <c r="B5">
        <v>22</v>
      </c>
      <c r="C5">
        <v>36.479999999999997</v>
      </c>
      <c r="D5">
        <v>1</v>
      </c>
      <c r="E5">
        <v>66.099999999999994</v>
      </c>
      <c r="F5">
        <v>3</v>
      </c>
      <c r="G5">
        <v>814.95</v>
      </c>
      <c r="H5">
        <v>1</v>
      </c>
      <c r="J5" s="10" t="s">
        <v>38</v>
      </c>
      <c r="K5" s="10"/>
    </row>
    <row r="6" spans="1:15" x14ac:dyDescent="0.2">
      <c r="A6">
        <v>60</v>
      </c>
      <c r="B6">
        <v>58</v>
      </c>
      <c r="C6">
        <v>61.13</v>
      </c>
      <c r="D6">
        <v>3</v>
      </c>
      <c r="E6">
        <v>79.099999999999994</v>
      </c>
      <c r="F6">
        <v>1</v>
      </c>
      <c r="G6">
        <v>3222</v>
      </c>
      <c r="H6">
        <v>1</v>
      </c>
      <c r="J6" t="s">
        <v>39</v>
      </c>
      <c r="K6">
        <v>0.30281581046540063</v>
      </c>
    </row>
    <row r="7" spans="1:15" x14ac:dyDescent="0.2">
      <c r="A7">
        <v>25</v>
      </c>
      <c r="B7">
        <v>58</v>
      </c>
      <c r="C7">
        <v>97.76</v>
      </c>
      <c r="D7">
        <v>2</v>
      </c>
      <c r="E7">
        <v>25.6</v>
      </c>
      <c r="F7">
        <v>4</v>
      </c>
      <c r="G7">
        <v>5242.5600000000004</v>
      </c>
      <c r="H7">
        <v>1</v>
      </c>
      <c r="J7" t="s">
        <v>40</v>
      </c>
      <c r="K7">
        <v>9.169741506781745E-2</v>
      </c>
    </row>
    <row r="8" spans="1:15" x14ac:dyDescent="0.2">
      <c r="A8">
        <v>38</v>
      </c>
      <c r="B8">
        <v>49</v>
      </c>
      <c r="C8">
        <v>68.040000000000006</v>
      </c>
      <c r="D8">
        <v>2</v>
      </c>
      <c r="E8">
        <v>18.100000000000001</v>
      </c>
      <c r="F8">
        <v>2</v>
      </c>
      <c r="G8">
        <v>3373.06</v>
      </c>
      <c r="H8">
        <v>1</v>
      </c>
      <c r="J8" t="s">
        <v>41</v>
      </c>
      <c r="K8">
        <v>6.5424199801184066E-2</v>
      </c>
    </row>
    <row r="9" spans="1:15" x14ac:dyDescent="0.2">
      <c r="A9">
        <v>56</v>
      </c>
      <c r="B9">
        <v>52</v>
      </c>
      <c r="C9">
        <v>118.53</v>
      </c>
      <c r="D9">
        <v>3</v>
      </c>
      <c r="E9">
        <v>68</v>
      </c>
      <c r="F9">
        <v>2</v>
      </c>
      <c r="G9">
        <v>5970.23</v>
      </c>
      <c r="H9">
        <v>0</v>
      </c>
      <c r="J9" t="s">
        <v>42</v>
      </c>
      <c r="K9">
        <v>0.48357691129633529</v>
      </c>
    </row>
    <row r="10" spans="1:15" ht="16" thickBot="1" x14ac:dyDescent="0.25">
      <c r="A10">
        <v>36</v>
      </c>
      <c r="B10">
        <v>42</v>
      </c>
      <c r="C10">
        <v>57.67</v>
      </c>
      <c r="D10">
        <v>0</v>
      </c>
      <c r="E10">
        <v>5.2</v>
      </c>
      <c r="F10">
        <v>3</v>
      </c>
      <c r="G10">
        <v>2533.16</v>
      </c>
      <c r="H10">
        <v>1</v>
      </c>
      <c r="J10" s="8" t="s">
        <v>43</v>
      </c>
      <c r="K10" s="8">
        <v>250</v>
      </c>
    </row>
    <row r="11" spans="1:15" x14ac:dyDescent="0.2">
      <c r="A11">
        <v>40</v>
      </c>
      <c r="B11">
        <v>70</v>
      </c>
      <c r="C11">
        <v>94.96</v>
      </c>
      <c r="D11">
        <v>5</v>
      </c>
      <c r="E11">
        <v>21.9</v>
      </c>
      <c r="F11">
        <v>8</v>
      </c>
      <c r="G11">
        <v>6849.66</v>
      </c>
      <c r="H11">
        <v>0</v>
      </c>
    </row>
    <row r="12" spans="1:15" ht="16" thickBot="1" x14ac:dyDescent="0.25">
      <c r="A12">
        <v>28</v>
      </c>
      <c r="B12">
        <v>15</v>
      </c>
      <c r="C12">
        <v>59.3</v>
      </c>
      <c r="D12">
        <v>1</v>
      </c>
      <c r="E12">
        <v>7.8</v>
      </c>
      <c r="F12">
        <v>8</v>
      </c>
      <c r="G12">
        <v>950.98</v>
      </c>
      <c r="H12">
        <v>0</v>
      </c>
      <c r="J12" t="s">
        <v>44</v>
      </c>
    </row>
    <row r="13" spans="1:15" x14ac:dyDescent="0.2">
      <c r="A13">
        <v>28</v>
      </c>
      <c r="B13">
        <v>54</v>
      </c>
      <c r="C13">
        <v>102.92</v>
      </c>
      <c r="D13">
        <v>3</v>
      </c>
      <c r="E13">
        <v>20.9</v>
      </c>
      <c r="F13">
        <v>7</v>
      </c>
      <c r="G13">
        <v>5771.64</v>
      </c>
      <c r="H13">
        <v>0</v>
      </c>
      <c r="J13" s="9"/>
      <c r="K13" s="9" t="s">
        <v>49</v>
      </c>
      <c r="L13" s="9" t="s">
        <v>50</v>
      </c>
      <c r="M13" s="9" t="s">
        <v>51</v>
      </c>
      <c r="N13" s="9" t="s">
        <v>52</v>
      </c>
      <c r="O13" s="9" t="s">
        <v>53</v>
      </c>
    </row>
    <row r="14" spans="1:15" x14ac:dyDescent="0.2">
      <c r="A14">
        <v>41</v>
      </c>
      <c r="B14">
        <v>60</v>
      </c>
      <c r="C14">
        <v>76.91</v>
      </c>
      <c r="D14">
        <v>0</v>
      </c>
      <c r="E14">
        <v>22.2</v>
      </c>
      <c r="F14">
        <v>6</v>
      </c>
      <c r="G14">
        <v>4549.93</v>
      </c>
      <c r="H14">
        <v>0</v>
      </c>
      <c r="J14" t="s">
        <v>45</v>
      </c>
      <c r="K14">
        <v>7</v>
      </c>
      <c r="L14">
        <v>5.7131157483852988</v>
      </c>
      <c r="M14">
        <v>0.8161593926264713</v>
      </c>
      <c r="N14">
        <v>3.4901482036830078</v>
      </c>
      <c r="O14">
        <v>1.3870959629063236E-3</v>
      </c>
    </row>
    <row r="15" spans="1:15" x14ac:dyDescent="0.2">
      <c r="A15">
        <v>53</v>
      </c>
      <c r="B15">
        <v>8</v>
      </c>
      <c r="C15">
        <v>26.35</v>
      </c>
      <c r="D15">
        <v>1</v>
      </c>
      <c r="E15">
        <v>41.8</v>
      </c>
      <c r="F15">
        <v>9</v>
      </c>
      <c r="G15">
        <v>218.09</v>
      </c>
      <c r="H15">
        <v>1</v>
      </c>
      <c r="J15" t="s">
        <v>46</v>
      </c>
      <c r="K15">
        <v>242</v>
      </c>
      <c r="L15">
        <v>56.590884251614703</v>
      </c>
      <c r="M15">
        <v>0.23384662913890372</v>
      </c>
    </row>
    <row r="16" spans="1:15" ht="16" thickBot="1" x14ac:dyDescent="0.25">
      <c r="A16">
        <v>57</v>
      </c>
      <c r="B16">
        <v>53</v>
      </c>
      <c r="C16">
        <v>23.68</v>
      </c>
      <c r="D16">
        <v>1</v>
      </c>
      <c r="E16">
        <v>43.2</v>
      </c>
      <c r="F16">
        <v>4</v>
      </c>
      <c r="G16">
        <v>1198.6600000000001</v>
      </c>
      <c r="H16">
        <v>0</v>
      </c>
      <c r="J16" s="8" t="s">
        <v>47</v>
      </c>
      <c r="K16" s="8">
        <v>249</v>
      </c>
      <c r="L16" s="8">
        <v>62.304000000000002</v>
      </c>
      <c r="M16" s="8"/>
      <c r="N16" s="8"/>
      <c r="O16" s="8"/>
    </row>
    <row r="17" spans="1:18" ht="16" thickBot="1" x14ac:dyDescent="0.25">
      <c r="A17">
        <v>41</v>
      </c>
      <c r="B17">
        <v>60</v>
      </c>
      <c r="C17">
        <v>33.39</v>
      </c>
      <c r="D17">
        <v>3</v>
      </c>
      <c r="E17">
        <v>88.1</v>
      </c>
      <c r="F17">
        <v>1</v>
      </c>
      <c r="G17">
        <v>1925.79</v>
      </c>
      <c r="H17">
        <v>1</v>
      </c>
    </row>
    <row r="18" spans="1:18" x14ac:dyDescent="0.2">
      <c r="A18">
        <v>20</v>
      </c>
      <c r="B18">
        <v>5</v>
      </c>
      <c r="C18">
        <v>21.37</v>
      </c>
      <c r="D18">
        <v>3</v>
      </c>
      <c r="E18">
        <v>53.5</v>
      </c>
      <c r="F18">
        <v>8</v>
      </c>
      <c r="G18">
        <v>113.03</v>
      </c>
      <c r="H18">
        <v>0</v>
      </c>
      <c r="J18" s="9"/>
      <c r="K18" s="9" t="s">
        <v>54</v>
      </c>
      <c r="L18" s="9" t="s">
        <v>42</v>
      </c>
      <c r="M18" s="9" t="s">
        <v>55</v>
      </c>
      <c r="N18" s="9" t="s">
        <v>56</v>
      </c>
      <c r="O18" s="9" t="s">
        <v>57</v>
      </c>
      <c r="P18" s="9" t="s">
        <v>58</v>
      </c>
      <c r="Q18" s="9" t="s">
        <v>59</v>
      </c>
      <c r="R18" s="9" t="s">
        <v>60</v>
      </c>
    </row>
    <row r="19" spans="1:18" x14ac:dyDescent="0.2">
      <c r="A19">
        <v>39</v>
      </c>
      <c r="B19">
        <v>68</v>
      </c>
      <c r="C19">
        <v>27.54</v>
      </c>
      <c r="D19">
        <v>2</v>
      </c>
      <c r="E19">
        <v>73.7</v>
      </c>
      <c r="F19">
        <v>7</v>
      </c>
      <c r="G19">
        <v>1852.65</v>
      </c>
      <c r="H19">
        <v>0</v>
      </c>
      <c r="J19" t="s">
        <v>48</v>
      </c>
      <c r="K19">
        <v>0.60208199935278228</v>
      </c>
      <c r="L19">
        <v>0.19975632640104327</v>
      </c>
      <c r="M19">
        <v>3.0140822581208511</v>
      </c>
      <c r="N19">
        <v>2.8517499132850598E-3</v>
      </c>
      <c r="O19">
        <v>0.20859896446870779</v>
      </c>
      <c r="P19">
        <v>0.99556503423685672</v>
      </c>
      <c r="Q19">
        <v>0.20859896446870779</v>
      </c>
      <c r="R19">
        <v>0.99556503423685672</v>
      </c>
    </row>
    <row r="20" spans="1:18" x14ac:dyDescent="0.2">
      <c r="A20">
        <v>19</v>
      </c>
      <c r="B20">
        <v>6</v>
      </c>
      <c r="C20">
        <v>89.17</v>
      </c>
      <c r="D20">
        <v>6</v>
      </c>
      <c r="E20">
        <v>14.9</v>
      </c>
      <c r="F20">
        <v>7</v>
      </c>
      <c r="G20">
        <v>566.95000000000005</v>
      </c>
      <c r="H20">
        <v>1</v>
      </c>
      <c r="J20" t="s">
        <v>6</v>
      </c>
      <c r="K20">
        <v>-1.1302138348602128E-3</v>
      </c>
      <c r="L20">
        <v>2.0599581066530355E-3</v>
      </c>
      <c r="M20">
        <v>-0.54865865048904017</v>
      </c>
      <c r="N20">
        <v>0.58374554592981809</v>
      </c>
      <c r="O20">
        <v>-5.1879504890303563E-3</v>
      </c>
      <c r="P20">
        <v>2.9275228193099308E-3</v>
      </c>
      <c r="Q20">
        <v>-5.1879504890303563E-3</v>
      </c>
      <c r="R20">
        <v>2.9275228193099308E-3</v>
      </c>
    </row>
    <row r="21" spans="1:18" x14ac:dyDescent="0.2">
      <c r="A21">
        <v>41</v>
      </c>
      <c r="B21">
        <v>47</v>
      </c>
      <c r="C21">
        <v>73.430000000000007</v>
      </c>
      <c r="D21">
        <v>3</v>
      </c>
      <c r="E21">
        <v>26.4</v>
      </c>
      <c r="F21">
        <v>3</v>
      </c>
      <c r="G21">
        <v>3673.76</v>
      </c>
      <c r="H21">
        <v>1</v>
      </c>
      <c r="J21" t="s">
        <v>7</v>
      </c>
      <c r="K21">
        <v>2.8360258252816553E-3</v>
      </c>
      <c r="L21">
        <v>3.9532711187891872E-3</v>
      </c>
      <c r="M21">
        <v>0.71738713082503602</v>
      </c>
      <c r="N21">
        <v>0.47382713367812845</v>
      </c>
      <c r="O21">
        <v>-4.9511874538498424E-3</v>
      </c>
      <c r="P21">
        <v>1.0623239104413153E-2</v>
      </c>
      <c r="Q21">
        <v>-4.9511874538498424E-3</v>
      </c>
      <c r="R21">
        <v>1.0623239104413153E-2</v>
      </c>
    </row>
    <row r="22" spans="1:18" x14ac:dyDescent="0.2">
      <c r="A22">
        <v>61</v>
      </c>
      <c r="B22">
        <v>55</v>
      </c>
      <c r="C22">
        <v>94.99</v>
      </c>
      <c r="D22">
        <v>4</v>
      </c>
      <c r="E22">
        <v>71.8</v>
      </c>
      <c r="F22">
        <v>4</v>
      </c>
      <c r="G22">
        <v>5598.06</v>
      </c>
      <c r="H22">
        <v>0</v>
      </c>
      <c r="J22" t="s">
        <v>8</v>
      </c>
      <c r="K22">
        <v>1.806425311660424E-3</v>
      </c>
      <c r="L22">
        <v>2.1306508107600381E-3</v>
      </c>
      <c r="M22">
        <v>0.84782795122399357</v>
      </c>
      <c r="N22">
        <v>0.39737154785802975</v>
      </c>
      <c r="O22">
        <v>-2.390562900932652E-3</v>
      </c>
      <c r="P22">
        <v>6.0034135242535E-3</v>
      </c>
      <c r="Q22">
        <v>-2.390562900932652E-3</v>
      </c>
      <c r="R22">
        <v>6.0034135242535E-3</v>
      </c>
    </row>
    <row r="23" spans="1:18" x14ac:dyDescent="0.2">
      <c r="A23">
        <v>47</v>
      </c>
      <c r="B23">
        <v>40</v>
      </c>
      <c r="C23">
        <v>111.32</v>
      </c>
      <c r="D23">
        <v>1</v>
      </c>
      <c r="E23">
        <v>10</v>
      </c>
      <c r="F23">
        <v>10</v>
      </c>
      <c r="G23">
        <v>4823.84</v>
      </c>
      <c r="H23">
        <v>1</v>
      </c>
      <c r="J23" t="s">
        <v>9</v>
      </c>
      <c r="K23">
        <v>-7.7821510800726908E-3</v>
      </c>
      <c r="L23">
        <v>2.3086420997192981E-2</v>
      </c>
      <c r="M23">
        <v>-0.33708780936719912</v>
      </c>
      <c r="N23">
        <v>0.73634287140997767</v>
      </c>
      <c r="O23">
        <v>-5.32581325533657E-2</v>
      </c>
      <c r="P23">
        <v>3.7693830393220322E-2</v>
      </c>
      <c r="Q23">
        <v>-5.32581325533657E-2</v>
      </c>
      <c r="R23">
        <v>3.7693830393220322E-2</v>
      </c>
    </row>
    <row r="24" spans="1:18" x14ac:dyDescent="0.2">
      <c r="A24">
        <v>55</v>
      </c>
      <c r="B24">
        <v>52</v>
      </c>
      <c r="C24">
        <v>78.510000000000005</v>
      </c>
      <c r="D24">
        <v>0</v>
      </c>
      <c r="E24">
        <v>51.2</v>
      </c>
      <c r="F24">
        <v>9</v>
      </c>
      <c r="G24">
        <v>4026.17</v>
      </c>
      <c r="H24">
        <v>1</v>
      </c>
      <c r="J24" t="s">
        <v>10</v>
      </c>
      <c r="K24">
        <v>1.9819795141223454E-3</v>
      </c>
      <c r="L24">
        <v>1.1169201408263152E-3</v>
      </c>
      <c r="M24">
        <v>1.7745042296900884</v>
      </c>
      <c r="N24">
        <v>7.7236963217991603E-2</v>
      </c>
      <c r="O24">
        <v>-2.1814668289802115E-4</v>
      </c>
      <c r="P24">
        <v>4.1821057111427118E-3</v>
      </c>
      <c r="Q24">
        <v>-2.1814668289802115E-4</v>
      </c>
      <c r="R24">
        <v>4.1821057111427118E-3</v>
      </c>
    </row>
    <row r="25" spans="1:18" x14ac:dyDescent="0.2">
      <c r="A25">
        <v>19</v>
      </c>
      <c r="B25">
        <v>16</v>
      </c>
      <c r="C25">
        <v>92.61</v>
      </c>
      <c r="D25">
        <v>1</v>
      </c>
      <c r="E25">
        <v>61.9</v>
      </c>
      <c r="F25">
        <v>6</v>
      </c>
      <c r="G25">
        <v>1428.08</v>
      </c>
      <c r="H25">
        <v>0</v>
      </c>
      <c r="J25" t="s">
        <v>11</v>
      </c>
      <c r="K25">
        <v>-4.4070489689981389E-2</v>
      </c>
      <c r="L25">
        <v>1.0898669733104414E-2</v>
      </c>
      <c r="M25">
        <v>-4.0436576911876196</v>
      </c>
      <c r="N25" s="11">
        <v>7.0776475377345291E-5</v>
      </c>
      <c r="O25">
        <v>-6.5538854272194358E-2</v>
      </c>
      <c r="P25">
        <v>-2.260212510776842E-2</v>
      </c>
      <c r="Q25">
        <v>-6.5538854272194358E-2</v>
      </c>
      <c r="R25">
        <v>-2.260212510776842E-2</v>
      </c>
    </row>
    <row r="26" spans="1:18" ht="16" thickBot="1" x14ac:dyDescent="0.25">
      <c r="A26">
        <v>38</v>
      </c>
      <c r="B26">
        <v>13</v>
      </c>
      <c r="C26">
        <v>95.71</v>
      </c>
      <c r="D26">
        <v>1</v>
      </c>
      <c r="E26">
        <v>62.2</v>
      </c>
      <c r="F26">
        <v>5</v>
      </c>
      <c r="G26">
        <v>1264.68</v>
      </c>
      <c r="H26">
        <v>0</v>
      </c>
      <c r="J26" s="8" t="s">
        <v>12</v>
      </c>
      <c r="K26" s="8">
        <v>-6.3935698314301488E-5</v>
      </c>
      <c r="L26" s="8">
        <v>5.1823785757325933E-5</v>
      </c>
      <c r="M26" s="8">
        <v>-1.2337133881668108</v>
      </c>
      <c r="N26" s="8">
        <v>0.21850657829381778</v>
      </c>
      <c r="O26" s="8">
        <v>-1.6601897580727497E-4</v>
      </c>
      <c r="P26" s="8">
        <v>3.8147579178671981E-5</v>
      </c>
      <c r="Q26" s="8">
        <v>-1.6601897580727497E-4</v>
      </c>
      <c r="R26" s="8">
        <v>3.8147579178671981E-5</v>
      </c>
    </row>
    <row r="27" spans="1:18" x14ac:dyDescent="0.2">
      <c r="A27">
        <v>50</v>
      </c>
      <c r="B27">
        <v>30</v>
      </c>
      <c r="C27">
        <v>57.79</v>
      </c>
      <c r="D27">
        <v>4</v>
      </c>
      <c r="E27">
        <v>7.2</v>
      </c>
      <c r="F27">
        <v>3</v>
      </c>
      <c r="G27">
        <v>1689.03</v>
      </c>
      <c r="H27">
        <v>0</v>
      </c>
    </row>
    <row r="28" spans="1:18" x14ac:dyDescent="0.2">
      <c r="A28">
        <v>29</v>
      </c>
      <c r="B28">
        <v>19</v>
      </c>
      <c r="C28">
        <v>44.11</v>
      </c>
      <c r="D28">
        <v>1</v>
      </c>
      <c r="E28">
        <v>35.6</v>
      </c>
      <c r="F28">
        <v>9</v>
      </c>
      <c r="G28">
        <v>855.03</v>
      </c>
      <c r="H28">
        <v>0</v>
      </c>
    </row>
    <row r="29" spans="1:18" ht="16" thickBot="1" x14ac:dyDescent="0.25">
      <c r="A29">
        <v>39</v>
      </c>
      <c r="B29">
        <v>17</v>
      </c>
      <c r="C29">
        <v>40.5</v>
      </c>
      <c r="D29">
        <v>2</v>
      </c>
      <c r="E29">
        <v>65.5</v>
      </c>
      <c r="F29">
        <v>5</v>
      </c>
      <c r="G29">
        <v>716.81</v>
      </c>
      <c r="H29">
        <v>0</v>
      </c>
    </row>
    <row r="30" spans="1:18" x14ac:dyDescent="0.2">
      <c r="A30">
        <v>61</v>
      </c>
      <c r="B30">
        <v>63</v>
      </c>
      <c r="C30">
        <v>45.14</v>
      </c>
      <c r="D30">
        <v>1</v>
      </c>
      <c r="E30">
        <v>19.2</v>
      </c>
      <c r="F30">
        <v>5</v>
      </c>
      <c r="G30">
        <v>2950.98</v>
      </c>
      <c r="H30">
        <v>0</v>
      </c>
      <c r="J30" s="12"/>
      <c r="K30" s="12" t="s">
        <v>6</v>
      </c>
      <c r="L30" s="12" t="s">
        <v>7</v>
      </c>
      <c r="M30" s="12" t="s">
        <v>8</v>
      </c>
      <c r="N30" s="12" t="s">
        <v>9</v>
      </c>
      <c r="O30" s="12" t="s">
        <v>10</v>
      </c>
      <c r="P30" s="12" t="s">
        <v>11</v>
      </c>
      <c r="Q30" s="12" t="s">
        <v>12</v>
      </c>
      <c r="R30" s="12" t="s">
        <v>13</v>
      </c>
    </row>
    <row r="31" spans="1:18" x14ac:dyDescent="0.2">
      <c r="A31">
        <v>42</v>
      </c>
      <c r="B31">
        <v>19</v>
      </c>
      <c r="C31">
        <v>47.47</v>
      </c>
      <c r="D31">
        <v>1</v>
      </c>
      <c r="E31">
        <v>71.099999999999994</v>
      </c>
      <c r="F31">
        <v>4</v>
      </c>
      <c r="G31">
        <v>879.3</v>
      </c>
      <c r="H31">
        <v>1</v>
      </c>
      <c r="J31" s="13" t="s">
        <v>6</v>
      </c>
      <c r="K31" s="13">
        <v>1</v>
      </c>
      <c r="L31" s="13"/>
      <c r="M31" s="13"/>
      <c r="N31" s="13"/>
      <c r="O31" s="13"/>
      <c r="P31" s="13"/>
      <c r="Q31" s="13"/>
      <c r="R31" s="13"/>
    </row>
    <row r="32" spans="1:18" x14ac:dyDescent="0.2">
      <c r="A32">
        <v>66</v>
      </c>
      <c r="B32">
        <v>58</v>
      </c>
      <c r="C32">
        <v>40.72</v>
      </c>
      <c r="D32">
        <v>2</v>
      </c>
      <c r="E32">
        <v>75.900000000000006</v>
      </c>
      <c r="F32">
        <v>4</v>
      </c>
      <c r="G32">
        <v>2204.4</v>
      </c>
      <c r="H32">
        <v>1</v>
      </c>
      <c r="J32" s="13" t="s">
        <v>7</v>
      </c>
      <c r="K32" s="13">
        <v>0.14689270982160388</v>
      </c>
      <c r="L32" s="13">
        <v>1</v>
      </c>
      <c r="M32" s="13"/>
      <c r="N32" s="13"/>
      <c r="O32" s="13"/>
      <c r="P32" s="13"/>
      <c r="Q32" s="13"/>
      <c r="R32" s="13"/>
    </row>
    <row r="33" spans="1:18" x14ac:dyDescent="0.2">
      <c r="A33">
        <v>44</v>
      </c>
      <c r="B33">
        <v>55</v>
      </c>
      <c r="C33">
        <v>107.82</v>
      </c>
      <c r="D33">
        <v>2</v>
      </c>
      <c r="E33">
        <v>98.3</v>
      </c>
      <c r="F33">
        <v>1</v>
      </c>
      <c r="G33">
        <v>5847.71</v>
      </c>
      <c r="H33">
        <v>0</v>
      </c>
      <c r="J33" s="13" t="s">
        <v>8</v>
      </c>
      <c r="K33" s="13">
        <v>5.3954113327412234E-2</v>
      </c>
      <c r="L33" s="13">
        <v>-6.1242557649911471E-3</v>
      </c>
      <c r="M33" s="13">
        <v>1</v>
      </c>
      <c r="N33" s="13"/>
      <c r="O33" s="13"/>
      <c r="P33" s="13"/>
      <c r="Q33" s="13"/>
      <c r="R33" s="13"/>
    </row>
    <row r="34" spans="1:18" x14ac:dyDescent="0.2">
      <c r="A34">
        <v>59</v>
      </c>
      <c r="B34">
        <v>62</v>
      </c>
      <c r="C34">
        <v>95.7</v>
      </c>
      <c r="D34">
        <v>4</v>
      </c>
      <c r="E34">
        <v>24.9</v>
      </c>
      <c r="F34">
        <v>7</v>
      </c>
      <c r="G34">
        <v>5509.27</v>
      </c>
      <c r="H34">
        <v>0</v>
      </c>
      <c r="J34" s="13" t="s">
        <v>9</v>
      </c>
      <c r="K34" s="13">
        <v>-7.9744086691389465E-2</v>
      </c>
      <c r="L34" s="13">
        <v>0.18350682911063237</v>
      </c>
      <c r="M34" s="13">
        <v>8.8981325686080609E-2</v>
      </c>
      <c r="N34" s="13">
        <v>1</v>
      </c>
      <c r="O34" s="13"/>
      <c r="P34" s="13"/>
      <c r="Q34" s="13"/>
      <c r="R34" s="13"/>
    </row>
    <row r="35" spans="1:18" x14ac:dyDescent="0.2">
      <c r="A35">
        <v>45</v>
      </c>
      <c r="B35">
        <v>23</v>
      </c>
      <c r="C35">
        <v>24.69</v>
      </c>
      <c r="D35">
        <v>5</v>
      </c>
      <c r="E35">
        <v>83.4</v>
      </c>
      <c r="F35">
        <v>9</v>
      </c>
      <c r="G35">
        <v>612.16999999999996</v>
      </c>
      <c r="H35">
        <v>1</v>
      </c>
      <c r="J35" s="13" t="s">
        <v>10</v>
      </c>
      <c r="K35" s="13">
        <v>0.12177666614612813</v>
      </c>
      <c r="L35" s="13">
        <v>8.6782236834084016E-3</v>
      </c>
      <c r="M35" s="13">
        <v>-7.3505396257575836E-2</v>
      </c>
      <c r="N35" s="13">
        <v>4.8312037410381106E-2</v>
      </c>
      <c r="O35" s="13">
        <v>1</v>
      </c>
      <c r="P35" s="13"/>
      <c r="Q35" s="13"/>
      <c r="R35" s="13"/>
    </row>
    <row r="36" spans="1:18" x14ac:dyDescent="0.2">
      <c r="A36">
        <v>33</v>
      </c>
      <c r="B36">
        <v>9</v>
      </c>
      <c r="C36">
        <v>46.87</v>
      </c>
      <c r="D36">
        <v>0</v>
      </c>
      <c r="E36">
        <v>54.4</v>
      </c>
      <c r="F36">
        <v>3</v>
      </c>
      <c r="G36">
        <v>408.83</v>
      </c>
      <c r="H36">
        <v>1</v>
      </c>
      <c r="J36" s="13" t="s">
        <v>11</v>
      </c>
      <c r="K36" s="13">
        <v>-1.9344970370674817E-2</v>
      </c>
      <c r="L36" s="13">
        <v>9.2591523198688241E-2</v>
      </c>
      <c r="M36" s="13">
        <v>-8.7628608042001691E-2</v>
      </c>
      <c r="N36" s="13">
        <v>2.5787339391779206E-2</v>
      </c>
      <c r="O36" s="13">
        <v>-2.7606005037238406E-3</v>
      </c>
      <c r="P36" s="13">
        <v>1</v>
      </c>
      <c r="Q36" s="13"/>
      <c r="R36" s="13"/>
    </row>
    <row r="37" spans="1:18" x14ac:dyDescent="0.2">
      <c r="A37">
        <v>32</v>
      </c>
      <c r="B37">
        <v>12</v>
      </c>
      <c r="C37">
        <v>22.22</v>
      </c>
      <c r="D37">
        <v>1</v>
      </c>
      <c r="E37">
        <v>40.5</v>
      </c>
      <c r="F37">
        <v>2</v>
      </c>
      <c r="G37">
        <v>248.21</v>
      </c>
      <c r="H37">
        <v>0</v>
      </c>
      <c r="J37" s="13" t="s">
        <v>12</v>
      </c>
      <c r="K37" s="13">
        <v>0.13928474764362805</v>
      </c>
      <c r="L37" s="13">
        <v>0.78187453982500421</v>
      </c>
      <c r="M37" s="13">
        <v>0.52987460664377073</v>
      </c>
      <c r="N37" s="13">
        <v>0.21223924268655173</v>
      </c>
      <c r="O37" s="13">
        <v>-5.1839020325116718E-2</v>
      </c>
      <c r="P37" s="13">
        <v>2.991252099191356E-2</v>
      </c>
      <c r="Q37" s="13">
        <v>1</v>
      </c>
      <c r="R37" s="13"/>
    </row>
    <row r="38" spans="1:18" ht="16" thickBot="1" x14ac:dyDescent="0.25">
      <c r="A38">
        <v>64</v>
      </c>
      <c r="B38">
        <v>1</v>
      </c>
      <c r="C38">
        <v>69.819999999999993</v>
      </c>
      <c r="D38">
        <v>1</v>
      </c>
      <c r="E38">
        <v>16.600000000000001</v>
      </c>
      <c r="F38">
        <v>3</v>
      </c>
      <c r="G38">
        <v>63.19</v>
      </c>
      <c r="H38">
        <v>0</v>
      </c>
      <c r="J38" s="14" t="s">
        <v>13</v>
      </c>
      <c r="K38" s="14">
        <v>-2.4970367210338244E-2</v>
      </c>
      <c r="L38" s="14">
        <v>-0.10016427670308739</v>
      </c>
      <c r="M38" s="14">
        <v>-1.4899158858393864E-2</v>
      </c>
      <c r="N38" s="14">
        <v>-3.9512827759969442E-2</v>
      </c>
      <c r="O38" s="14">
        <v>0.11168543179876328</v>
      </c>
      <c r="P38" s="14">
        <v>-0.25523745076834697</v>
      </c>
      <c r="Q38" s="14">
        <v>-0.11437043558575295</v>
      </c>
      <c r="R38" s="14">
        <v>1</v>
      </c>
    </row>
    <row r="39" spans="1:18" x14ac:dyDescent="0.2">
      <c r="A39">
        <v>68</v>
      </c>
      <c r="B39">
        <v>58</v>
      </c>
      <c r="C39">
        <v>67.62</v>
      </c>
      <c r="D39">
        <v>3</v>
      </c>
      <c r="E39">
        <v>74.900000000000006</v>
      </c>
      <c r="F39">
        <v>1</v>
      </c>
      <c r="G39">
        <v>4036.34</v>
      </c>
      <c r="H39">
        <v>0</v>
      </c>
    </row>
    <row r="40" spans="1:18" x14ac:dyDescent="0.2">
      <c r="A40">
        <v>61</v>
      </c>
      <c r="B40">
        <v>1</v>
      </c>
      <c r="C40">
        <v>103.14</v>
      </c>
      <c r="D40">
        <v>2</v>
      </c>
      <c r="E40">
        <v>27.4</v>
      </c>
      <c r="F40">
        <v>6</v>
      </c>
      <c r="G40">
        <v>105.96</v>
      </c>
      <c r="H40">
        <v>1</v>
      </c>
    </row>
    <row r="41" spans="1:18" x14ac:dyDescent="0.2">
      <c r="A41">
        <v>69</v>
      </c>
      <c r="B41">
        <v>34</v>
      </c>
      <c r="C41">
        <v>50.78</v>
      </c>
      <c r="D41">
        <v>2</v>
      </c>
      <c r="E41">
        <v>40.299999999999997</v>
      </c>
      <c r="F41">
        <v>7</v>
      </c>
      <c r="G41">
        <v>1671.48</v>
      </c>
      <c r="H41">
        <v>0</v>
      </c>
      <c r="J41">
        <f>CORREL(F2:F251, H2:H251)</f>
        <v>-0.25523745076834714</v>
      </c>
    </row>
    <row r="42" spans="1:18" x14ac:dyDescent="0.2">
      <c r="A42">
        <v>20</v>
      </c>
      <c r="B42">
        <v>48</v>
      </c>
      <c r="C42">
        <v>101.64</v>
      </c>
      <c r="D42">
        <v>3</v>
      </c>
      <c r="E42">
        <v>10.9</v>
      </c>
      <c r="F42">
        <v>2</v>
      </c>
      <c r="G42">
        <v>4460.82</v>
      </c>
      <c r="H42">
        <v>1</v>
      </c>
    </row>
    <row r="43" spans="1:18" x14ac:dyDescent="0.2">
      <c r="A43">
        <v>54</v>
      </c>
      <c r="B43">
        <v>1</v>
      </c>
      <c r="C43">
        <v>116.8</v>
      </c>
      <c r="D43">
        <v>0</v>
      </c>
      <c r="E43">
        <v>81.099999999999994</v>
      </c>
      <c r="F43">
        <v>8</v>
      </c>
      <c r="G43">
        <v>114.69</v>
      </c>
      <c r="H43">
        <v>1</v>
      </c>
    </row>
    <row r="44" spans="1:18" x14ac:dyDescent="0.2">
      <c r="A44">
        <v>68</v>
      </c>
      <c r="B44">
        <v>16</v>
      </c>
      <c r="C44">
        <v>28.84</v>
      </c>
      <c r="D44">
        <v>2</v>
      </c>
      <c r="E44">
        <v>77.8</v>
      </c>
      <c r="F44">
        <v>6</v>
      </c>
      <c r="G44">
        <v>444.02</v>
      </c>
      <c r="H44">
        <v>1</v>
      </c>
    </row>
    <row r="45" spans="1:18" x14ac:dyDescent="0.2">
      <c r="A45">
        <v>24</v>
      </c>
      <c r="B45">
        <v>61</v>
      </c>
      <c r="C45">
        <v>99.18</v>
      </c>
      <c r="D45">
        <v>4</v>
      </c>
      <c r="E45">
        <v>74.7</v>
      </c>
      <c r="F45">
        <v>4</v>
      </c>
      <c r="G45">
        <v>6264.3</v>
      </c>
      <c r="H45">
        <v>0</v>
      </c>
    </row>
    <row r="46" spans="1:18" x14ac:dyDescent="0.2">
      <c r="A46">
        <v>38</v>
      </c>
      <c r="B46">
        <v>64</v>
      </c>
      <c r="C46">
        <v>79</v>
      </c>
      <c r="D46">
        <v>5</v>
      </c>
      <c r="E46">
        <v>33.4</v>
      </c>
      <c r="F46">
        <v>5</v>
      </c>
      <c r="G46">
        <v>5162.96</v>
      </c>
      <c r="H46">
        <v>1</v>
      </c>
    </row>
    <row r="47" spans="1:18" x14ac:dyDescent="0.2">
      <c r="A47">
        <v>26</v>
      </c>
      <c r="B47">
        <v>63</v>
      </c>
      <c r="C47">
        <v>68</v>
      </c>
      <c r="D47">
        <v>4</v>
      </c>
      <c r="E47">
        <v>21.5</v>
      </c>
      <c r="F47">
        <v>8</v>
      </c>
      <c r="G47">
        <v>4167.9799999999996</v>
      </c>
      <c r="H47">
        <v>0</v>
      </c>
    </row>
    <row r="48" spans="1:18" x14ac:dyDescent="0.2">
      <c r="A48">
        <v>56</v>
      </c>
      <c r="B48">
        <v>69</v>
      </c>
      <c r="C48">
        <v>62.05</v>
      </c>
      <c r="D48">
        <v>0</v>
      </c>
      <c r="E48">
        <v>65.599999999999994</v>
      </c>
      <c r="F48">
        <v>3</v>
      </c>
      <c r="G48">
        <v>4039.88</v>
      </c>
      <c r="H48">
        <v>0</v>
      </c>
    </row>
    <row r="49" spans="1:8" x14ac:dyDescent="0.2">
      <c r="A49">
        <v>35</v>
      </c>
      <c r="B49">
        <v>22</v>
      </c>
      <c r="C49">
        <v>98.47</v>
      </c>
      <c r="D49">
        <v>1</v>
      </c>
      <c r="E49">
        <v>52.1</v>
      </c>
      <c r="F49">
        <v>3</v>
      </c>
      <c r="G49">
        <v>2377.79</v>
      </c>
      <c r="H49">
        <v>1</v>
      </c>
    </row>
    <row r="50" spans="1:8" x14ac:dyDescent="0.2">
      <c r="A50">
        <v>21</v>
      </c>
      <c r="B50">
        <v>67</v>
      </c>
      <c r="C50">
        <v>83.94</v>
      </c>
      <c r="D50">
        <v>3</v>
      </c>
      <c r="E50">
        <v>21.9</v>
      </c>
      <c r="F50">
        <v>4</v>
      </c>
      <c r="G50">
        <v>5572.24</v>
      </c>
      <c r="H50">
        <v>0</v>
      </c>
    </row>
    <row r="51" spans="1:8" x14ac:dyDescent="0.2">
      <c r="A51">
        <v>42</v>
      </c>
      <c r="B51">
        <v>26</v>
      </c>
      <c r="C51">
        <v>100.5</v>
      </c>
      <c r="D51">
        <v>2</v>
      </c>
      <c r="E51">
        <v>70.2</v>
      </c>
      <c r="F51">
        <v>1</v>
      </c>
      <c r="G51">
        <v>2711.39</v>
      </c>
      <c r="H51">
        <v>1</v>
      </c>
    </row>
    <row r="52" spans="1:8" x14ac:dyDescent="0.2">
      <c r="A52">
        <v>31</v>
      </c>
      <c r="B52">
        <v>16</v>
      </c>
      <c r="C52">
        <v>110.32</v>
      </c>
      <c r="D52">
        <v>3</v>
      </c>
      <c r="E52">
        <v>99.2</v>
      </c>
      <c r="F52">
        <v>9</v>
      </c>
      <c r="G52">
        <v>1638.23</v>
      </c>
      <c r="H52">
        <v>0</v>
      </c>
    </row>
    <row r="53" spans="1:8" x14ac:dyDescent="0.2">
      <c r="A53">
        <v>67</v>
      </c>
      <c r="B53">
        <v>51</v>
      </c>
      <c r="C53">
        <v>81.73</v>
      </c>
      <c r="D53">
        <v>1</v>
      </c>
      <c r="E53">
        <v>76</v>
      </c>
      <c r="F53">
        <v>8</v>
      </c>
      <c r="G53">
        <v>4156.22</v>
      </c>
      <c r="H53">
        <v>0</v>
      </c>
    </row>
    <row r="54" spans="1:8" x14ac:dyDescent="0.2">
      <c r="A54">
        <v>26</v>
      </c>
      <c r="B54">
        <v>57</v>
      </c>
      <c r="C54">
        <v>118.05</v>
      </c>
      <c r="D54">
        <v>2</v>
      </c>
      <c r="E54">
        <v>75.3</v>
      </c>
      <c r="F54">
        <v>8</v>
      </c>
      <c r="G54">
        <v>6093.02</v>
      </c>
      <c r="H54">
        <v>0</v>
      </c>
    </row>
    <row r="55" spans="1:8" x14ac:dyDescent="0.2">
      <c r="A55">
        <v>43</v>
      </c>
      <c r="B55">
        <v>29</v>
      </c>
      <c r="C55">
        <v>80.81</v>
      </c>
      <c r="D55">
        <v>1</v>
      </c>
      <c r="E55">
        <v>95.3</v>
      </c>
      <c r="F55">
        <v>10</v>
      </c>
      <c r="G55">
        <v>2346.0500000000002</v>
      </c>
      <c r="H55">
        <v>0</v>
      </c>
    </row>
    <row r="56" spans="1:8" x14ac:dyDescent="0.2">
      <c r="A56">
        <v>19</v>
      </c>
      <c r="B56">
        <v>69</v>
      </c>
      <c r="C56">
        <v>83.66</v>
      </c>
      <c r="D56">
        <v>1</v>
      </c>
      <c r="E56">
        <v>24.3</v>
      </c>
      <c r="F56">
        <v>6</v>
      </c>
      <c r="G56">
        <v>6308.25</v>
      </c>
      <c r="H56">
        <v>1</v>
      </c>
    </row>
    <row r="57" spans="1:8" x14ac:dyDescent="0.2">
      <c r="A57">
        <v>37</v>
      </c>
      <c r="B57">
        <v>47</v>
      </c>
      <c r="C57">
        <v>75.48</v>
      </c>
      <c r="D57">
        <v>1</v>
      </c>
      <c r="E57">
        <v>58.7</v>
      </c>
      <c r="F57">
        <v>7</v>
      </c>
      <c r="G57">
        <v>3465.4</v>
      </c>
      <c r="H57">
        <v>1</v>
      </c>
    </row>
    <row r="58" spans="1:8" x14ac:dyDescent="0.2">
      <c r="A58">
        <v>45</v>
      </c>
      <c r="B58">
        <v>62</v>
      </c>
      <c r="C58">
        <v>29.1</v>
      </c>
      <c r="D58">
        <v>3</v>
      </c>
      <c r="E58">
        <v>98.1</v>
      </c>
      <c r="F58">
        <v>6</v>
      </c>
      <c r="G58">
        <v>1637.85</v>
      </c>
      <c r="H58">
        <v>0</v>
      </c>
    </row>
    <row r="59" spans="1:8" x14ac:dyDescent="0.2">
      <c r="A59">
        <v>64</v>
      </c>
      <c r="B59">
        <v>69</v>
      </c>
      <c r="C59">
        <v>92.64</v>
      </c>
      <c r="D59">
        <v>5</v>
      </c>
      <c r="E59">
        <v>20.7</v>
      </c>
      <c r="F59">
        <v>9</v>
      </c>
      <c r="G59">
        <v>5792.52</v>
      </c>
      <c r="H59">
        <v>0</v>
      </c>
    </row>
    <row r="60" spans="1:8" x14ac:dyDescent="0.2">
      <c r="A60">
        <v>24</v>
      </c>
      <c r="B60">
        <v>16</v>
      </c>
      <c r="C60">
        <v>74.739999999999995</v>
      </c>
      <c r="D60">
        <v>2</v>
      </c>
      <c r="E60">
        <v>71.5</v>
      </c>
      <c r="F60">
        <v>3</v>
      </c>
      <c r="G60">
        <v>1169.05</v>
      </c>
      <c r="H60">
        <v>1</v>
      </c>
    </row>
    <row r="61" spans="1:8" x14ac:dyDescent="0.2">
      <c r="A61">
        <v>61</v>
      </c>
      <c r="B61">
        <v>48</v>
      </c>
      <c r="C61">
        <v>65.09</v>
      </c>
      <c r="D61">
        <v>3</v>
      </c>
      <c r="E61">
        <v>60.7</v>
      </c>
      <c r="F61">
        <v>3</v>
      </c>
      <c r="G61">
        <v>2911.88</v>
      </c>
      <c r="H61">
        <v>0</v>
      </c>
    </row>
    <row r="62" spans="1:8" x14ac:dyDescent="0.2">
      <c r="A62">
        <v>25</v>
      </c>
      <c r="B62">
        <v>39</v>
      </c>
      <c r="C62">
        <v>111.05</v>
      </c>
      <c r="D62">
        <v>3</v>
      </c>
      <c r="E62">
        <v>60.7</v>
      </c>
      <c r="F62">
        <v>3</v>
      </c>
      <c r="G62">
        <v>3918.08</v>
      </c>
      <c r="H62">
        <v>1</v>
      </c>
    </row>
    <row r="63" spans="1:8" x14ac:dyDescent="0.2">
      <c r="A63">
        <v>64</v>
      </c>
      <c r="B63">
        <v>33</v>
      </c>
      <c r="C63">
        <v>49.8</v>
      </c>
      <c r="D63">
        <v>3</v>
      </c>
      <c r="E63">
        <v>71.3</v>
      </c>
      <c r="F63">
        <v>10</v>
      </c>
      <c r="G63">
        <v>1727.61</v>
      </c>
      <c r="H63">
        <v>0</v>
      </c>
    </row>
    <row r="64" spans="1:8" x14ac:dyDescent="0.2">
      <c r="A64">
        <v>52</v>
      </c>
      <c r="B64">
        <v>23</v>
      </c>
      <c r="C64">
        <v>72.36</v>
      </c>
      <c r="D64">
        <v>3</v>
      </c>
      <c r="E64">
        <v>93.3</v>
      </c>
      <c r="F64">
        <v>3</v>
      </c>
      <c r="G64">
        <v>1650.47</v>
      </c>
      <c r="H64">
        <v>1</v>
      </c>
    </row>
    <row r="65" spans="1:8" x14ac:dyDescent="0.2">
      <c r="A65">
        <v>31</v>
      </c>
      <c r="B65">
        <v>10</v>
      </c>
      <c r="C65">
        <v>89.76</v>
      </c>
      <c r="D65">
        <v>2</v>
      </c>
      <c r="E65">
        <v>79.3</v>
      </c>
      <c r="F65">
        <v>9</v>
      </c>
      <c r="G65">
        <v>859.77</v>
      </c>
      <c r="H65">
        <v>0</v>
      </c>
    </row>
    <row r="66" spans="1:8" x14ac:dyDescent="0.2">
      <c r="A66">
        <v>34</v>
      </c>
      <c r="B66">
        <v>69</v>
      </c>
      <c r="C66">
        <v>99.65</v>
      </c>
      <c r="D66">
        <v>0</v>
      </c>
      <c r="E66">
        <v>10.3</v>
      </c>
      <c r="F66">
        <v>4</v>
      </c>
      <c r="G66">
        <v>7426.03</v>
      </c>
      <c r="H66">
        <v>1</v>
      </c>
    </row>
    <row r="67" spans="1:8" x14ac:dyDescent="0.2">
      <c r="A67">
        <v>53</v>
      </c>
      <c r="B67">
        <v>34</v>
      </c>
      <c r="C67">
        <v>65.930000000000007</v>
      </c>
      <c r="D67">
        <v>1</v>
      </c>
      <c r="E67">
        <v>86</v>
      </c>
      <c r="F67">
        <v>7</v>
      </c>
      <c r="G67">
        <v>2069.5300000000002</v>
      </c>
      <c r="H67">
        <v>1</v>
      </c>
    </row>
    <row r="68" spans="1:8" x14ac:dyDescent="0.2">
      <c r="A68">
        <v>67</v>
      </c>
      <c r="B68">
        <v>52</v>
      </c>
      <c r="C68">
        <v>104.21</v>
      </c>
      <c r="D68">
        <v>3</v>
      </c>
      <c r="E68">
        <v>26.4</v>
      </c>
      <c r="F68">
        <v>9</v>
      </c>
      <c r="G68">
        <v>5913.04</v>
      </c>
      <c r="H68">
        <v>1</v>
      </c>
    </row>
    <row r="69" spans="1:8" x14ac:dyDescent="0.2">
      <c r="A69">
        <v>57</v>
      </c>
      <c r="B69">
        <v>10</v>
      </c>
      <c r="C69">
        <v>96.89</v>
      </c>
      <c r="D69">
        <v>0</v>
      </c>
      <c r="E69">
        <v>40.799999999999997</v>
      </c>
      <c r="F69">
        <v>7</v>
      </c>
      <c r="G69">
        <v>932.85</v>
      </c>
      <c r="H69">
        <v>1</v>
      </c>
    </row>
    <row r="70" spans="1:8" x14ac:dyDescent="0.2">
      <c r="A70">
        <v>21</v>
      </c>
      <c r="B70">
        <v>19</v>
      </c>
      <c r="C70">
        <v>26.62</v>
      </c>
      <c r="D70">
        <v>2</v>
      </c>
      <c r="E70">
        <v>48.9</v>
      </c>
      <c r="F70">
        <v>9</v>
      </c>
      <c r="G70">
        <v>545.07000000000005</v>
      </c>
      <c r="H70">
        <v>0</v>
      </c>
    </row>
    <row r="71" spans="1:8" x14ac:dyDescent="0.2">
      <c r="A71">
        <v>19</v>
      </c>
      <c r="B71">
        <v>58</v>
      </c>
      <c r="C71">
        <v>24.59</v>
      </c>
      <c r="D71">
        <v>1</v>
      </c>
      <c r="E71">
        <v>50.7</v>
      </c>
      <c r="F71">
        <v>3</v>
      </c>
      <c r="G71">
        <v>1455.58</v>
      </c>
      <c r="H71">
        <v>1</v>
      </c>
    </row>
    <row r="72" spans="1:8" x14ac:dyDescent="0.2">
      <c r="A72">
        <v>23</v>
      </c>
      <c r="B72">
        <v>1</v>
      </c>
      <c r="C72">
        <v>82.08</v>
      </c>
      <c r="D72">
        <v>3</v>
      </c>
      <c r="E72">
        <v>46.3</v>
      </c>
      <c r="F72">
        <v>4</v>
      </c>
      <c r="G72">
        <v>87.44</v>
      </c>
      <c r="H72">
        <v>0</v>
      </c>
    </row>
    <row r="73" spans="1:8" x14ac:dyDescent="0.2">
      <c r="A73">
        <v>59</v>
      </c>
      <c r="B73">
        <v>69</v>
      </c>
      <c r="C73">
        <v>54.74</v>
      </c>
      <c r="D73">
        <v>2</v>
      </c>
      <c r="E73">
        <v>94</v>
      </c>
      <c r="F73">
        <v>8</v>
      </c>
      <c r="G73">
        <v>4142.6899999999996</v>
      </c>
      <c r="H73">
        <v>1</v>
      </c>
    </row>
    <row r="74" spans="1:8" x14ac:dyDescent="0.2">
      <c r="A74">
        <v>21</v>
      </c>
      <c r="B74">
        <v>4</v>
      </c>
      <c r="C74">
        <v>40.909999999999997</v>
      </c>
      <c r="D74">
        <v>2</v>
      </c>
      <c r="E74">
        <v>72.099999999999994</v>
      </c>
      <c r="F74">
        <v>6</v>
      </c>
      <c r="G74">
        <v>156.71</v>
      </c>
      <c r="H74">
        <v>1</v>
      </c>
    </row>
    <row r="75" spans="1:8" x14ac:dyDescent="0.2">
      <c r="A75">
        <v>46</v>
      </c>
      <c r="B75">
        <v>16</v>
      </c>
      <c r="C75">
        <v>77.959999999999994</v>
      </c>
      <c r="D75">
        <v>1</v>
      </c>
      <c r="E75">
        <v>65</v>
      </c>
      <c r="F75">
        <v>5</v>
      </c>
      <c r="G75">
        <v>1362.4</v>
      </c>
      <c r="H75">
        <v>1</v>
      </c>
    </row>
    <row r="76" spans="1:8" x14ac:dyDescent="0.2">
      <c r="A76">
        <v>35</v>
      </c>
      <c r="B76">
        <v>24</v>
      </c>
      <c r="C76">
        <v>54.16</v>
      </c>
      <c r="D76">
        <v>3</v>
      </c>
      <c r="E76">
        <v>9.6999999999999993</v>
      </c>
      <c r="F76">
        <v>4</v>
      </c>
      <c r="G76">
        <v>1271.1099999999999</v>
      </c>
      <c r="H76">
        <v>1</v>
      </c>
    </row>
    <row r="77" spans="1:8" x14ac:dyDescent="0.2">
      <c r="A77">
        <v>43</v>
      </c>
      <c r="B77">
        <v>2</v>
      </c>
      <c r="C77">
        <v>73.73</v>
      </c>
      <c r="D77">
        <v>2</v>
      </c>
      <c r="E77">
        <v>90.9</v>
      </c>
      <c r="F77">
        <v>8</v>
      </c>
      <c r="G77">
        <v>144.08000000000001</v>
      </c>
      <c r="H77">
        <v>1</v>
      </c>
    </row>
    <row r="78" spans="1:8" x14ac:dyDescent="0.2">
      <c r="A78">
        <v>61</v>
      </c>
      <c r="B78">
        <v>32</v>
      </c>
      <c r="C78">
        <v>66.010000000000005</v>
      </c>
      <c r="D78">
        <v>3</v>
      </c>
      <c r="E78">
        <v>91.4</v>
      </c>
      <c r="F78">
        <v>1</v>
      </c>
      <c r="G78">
        <v>2044.89</v>
      </c>
      <c r="H78">
        <v>0</v>
      </c>
    </row>
    <row r="79" spans="1:8" x14ac:dyDescent="0.2">
      <c r="A79">
        <v>51</v>
      </c>
      <c r="B79">
        <v>24</v>
      </c>
      <c r="C79">
        <v>78.48</v>
      </c>
      <c r="D79">
        <v>3</v>
      </c>
      <c r="E79">
        <v>79.099999999999994</v>
      </c>
      <c r="F79">
        <v>9</v>
      </c>
      <c r="G79">
        <v>1899.12</v>
      </c>
      <c r="H79">
        <v>0</v>
      </c>
    </row>
    <row r="80" spans="1:8" x14ac:dyDescent="0.2">
      <c r="A80">
        <v>27</v>
      </c>
      <c r="B80">
        <v>12</v>
      </c>
      <c r="C80">
        <v>60.03</v>
      </c>
      <c r="D80">
        <v>1</v>
      </c>
      <c r="E80">
        <v>5.7</v>
      </c>
      <c r="F80">
        <v>1</v>
      </c>
      <c r="G80">
        <v>670.53</v>
      </c>
      <c r="H80">
        <v>1</v>
      </c>
    </row>
    <row r="81" spans="1:8" x14ac:dyDescent="0.2">
      <c r="A81">
        <v>53</v>
      </c>
      <c r="B81">
        <v>50</v>
      </c>
      <c r="C81">
        <v>89.77</v>
      </c>
      <c r="D81">
        <v>1</v>
      </c>
      <c r="E81">
        <v>10.4</v>
      </c>
      <c r="F81">
        <v>8</v>
      </c>
      <c r="G81">
        <v>4536.72</v>
      </c>
      <c r="H81">
        <v>0</v>
      </c>
    </row>
    <row r="82" spans="1:8" x14ac:dyDescent="0.2">
      <c r="A82">
        <v>31</v>
      </c>
      <c r="B82">
        <v>35</v>
      </c>
      <c r="C82">
        <v>38.01</v>
      </c>
      <c r="D82">
        <v>2</v>
      </c>
      <c r="E82">
        <v>26.4</v>
      </c>
      <c r="F82">
        <v>4</v>
      </c>
      <c r="G82">
        <v>1341.45</v>
      </c>
      <c r="H82">
        <v>1</v>
      </c>
    </row>
    <row r="83" spans="1:8" x14ac:dyDescent="0.2">
      <c r="A83">
        <v>48</v>
      </c>
      <c r="B83">
        <v>33</v>
      </c>
      <c r="C83">
        <v>89.65</v>
      </c>
      <c r="D83">
        <v>0</v>
      </c>
      <c r="E83">
        <v>17.5</v>
      </c>
      <c r="F83">
        <v>9</v>
      </c>
      <c r="G83">
        <v>3113.41</v>
      </c>
      <c r="H83">
        <v>1</v>
      </c>
    </row>
    <row r="84" spans="1:8" x14ac:dyDescent="0.2">
      <c r="A84">
        <v>65</v>
      </c>
      <c r="B84">
        <v>33</v>
      </c>
      <c r="C84">
        <v>61.17</v>
      </c>
      <c r="D84">
        <v>0</v>
      </c>
      <c r="E84">
        <v>42.9</v>
      </c>
      <c r="F84">
        <v>5</v>
      </c>
      <c r="G84">
        <v>2153.31</v>
      </c>
      <c r="H84">
        <v>0</v>
      </c>
    </row>
    <row r="85" spans="1:8" x14ac:dyDescent="0.2">
      <c r="A85">
        <v>32</v>
      </c>
      <c r="B85">
        <v>61</v>
      </c>
      <c r="C85">
        <v>107.43</v>
      </c>
      <c r="D85">
        <v>3</v>
      </c>
      <c r="E85">
        <v>92.6</v>
      </c>
      <c r="F85">
        <v>3</v>
      </c>
      <c r="G85">
        <v>6475.17</v>
      </c>
      <c r="H85">
        <v>0</v>
      </c>
    </row>
    <row r="86" spans="1:8" x14ac:dyDescent="0.2">
      <c r="A86">
        <v>25</v>
      </c>
      <c r="B86">
        <v>51</v>
      </c>
      <c r="C86">
        <v>71.52</v>
      </c>
      <c r="D86">
        <v>1</v>
      </c>
      <c r="E86">
        <v>49.8</v>
      </c>
      <c r="F86">
        <v>9</v>
      </c>
      <c r="G86">
        <v>3503.32</v>
      </c>
      <c r="H86">
        <v>0</v>
      </c>
    </row>
    <row r="87" spans="1:8" x14ac:dyDescent="0.2">
      <c r="A87">
        <v>31</v>
      </c>
      <c r="B87">
        <v>43</v>
      </c>
      <c r="C87">
        <v>117.31</v>
      </c>
      <c r="D87">
        <v>3</v>
      </c>
      <c r="E87">
        <v>6.3</v>
      </c>
      <c r="F87">
        <v>9</v>
      </c>
      <c r="G87">
        <v>4801.53</v>
      </c>
      <c r="H87">
        <v>0</v>
      </c>
    </row>
    <row r="88" spans="1:8" x14ac:dyDescent="0.2">
      <c r="A88">
        <v>40</v>
      </c>
      <c r="B88">
        <v>12</v>
      </c>
      <c r="C88">
        <v>80.19</v>
      </c>
      <c r="D88">
        <v>2</v>
      </c>
      <c r="E88">
        <v>31.9</v>
      </c>
      <c r="F88">
        <v>4</v>
      </c>
      <c r="G88">
        <v>903.51</v>
      </c>
      <c r="H88">
        <v>1</v>
      </c>
    </row>
    <row r="89" spans="1:8" x14ac:dyDescent="0.2">
      <c r="A89">
        <v>57</v>
      </c>
      <c r="B89">
        <v>67</v>
      </c>
      <c r="C89">
        <v>42.38</v>
      </c>
      <c r="D89">
        <v>0</v>
      </c>
      <c r="E89">
        <v>9.1999999999999993</v>
      </c>
      <c r="F89">
        <v>4</v>
      </c>
      <c r="G89">
        <v>2588.25</v>
      </c>
      <c r="H89">
        <v>0</v>
      </c>
    </row>
    <row r="90" spans="1:8" x14ac:dyDescent="0.2">
      <c r="A90">
        <v>38</v>
      </c>
      <c r="B90">
        <v>65</v>
      </c>
      <c r="C90">
        <v>102.18</v>
      </c>
      <c r="D90">
        <v>0</v>
      </c>
      <c r="E90">
        <v>8.4</v>
      </c>
      <c r="F90">
        <v>8</v>
      </c>
      <c r="G90">
        <v>6432.42</v>
      </c>
      <c r="H90">
        <v>0</v>
      </c>
    </row>
    <row r="91" spans="1:8" x14ac:dyDescent="0.2">
      <c r="A91">
        <v>33</v>
      </c>
      <c r="B91">
        <v>33</v>
      </c>
      <c r="C91">
        <v>54.51</v>
      </c>
      <c r="D91">
        <v>1</v>
      </c>
      <c r="E91">
        <v>31.2</v>
      </c>
      <c r="F91">
        <v>2</v>
      </c>
      <c r="G91">
        <v>1716.17</v>
      </c>
      <c r="H91">
        <v>1</v>
      </c>
    </row>
    <row r="92" spans="1:8" x14ac:dyDescent="0.2">
      <c r="A92">
        <v>62</v>
      </c>
      <c r="B92">
        <v>40</v>
      </c>
      <c r="C92">
        <v>54.76</v>
      </c>
      <c r="D92">
        <v>1</v>
      </c>
      <c r="E92">
        <v>31.2</v>
      </c>
      <c r="F92">
        <v>9</v>
      </c>
      <c r="G92">
        <v>2394.73</v>
      </c>
      <c r="H92">
        <v>0</v>
      </c>
    </row>
    <row r="93" spans="1:8" x14ac:dyDescent="0.2">
      <c r="A93">
        <v>35</v>
      </c>
      <c r="B93">
        <v>43</v>
      </c>
      <c r="C93">
        <v>23.18</v>
      </c>
      <c r="D93">
        <v>2</v>
      </c>
      <c r="E93">
        <v>79.8</v>
      </c>
      <c r="F93">
        <v>6</v>
      </c>
      <c r="G93">
        <v>1008.24</v>
      </c>
      <c r="H93">
        <v>1</v>
      </c>
    </row>
    <row r="94" spans="1:8" x14ac:dyDescent="0.2">
      <c r="A94">
        <v>64</v>
      </c>
      <c r="B94">
        <v>44</v>
      </c>
      <c r="C94">
        <v>74.87</v>
      </c>
      <c r="D94">
        <v>2</v>
      </c>
      <c r="E94">
        <v>97.6</v>
      </c>
      <c r="F94">
        <v>9</v>
      </c>
      <c r="G94">
        <v>3193.66</v>
      </c>
      <c r="H94">
        <v>1</v>
      </c>
    </row>
    <row r="95" spans="1:8" x14ac:dyDescent="0.2">
      <c r="A95">
        <v>41</v>
      </c>
      <c r="B95">
        <v>29</v>
      </c>
      <c r="C95">
        <v>73.44</v>
      </c>
      <c r="D95">
        <v>3</v>
      </c>
      <c r="E95">
        <v>40.299999999999997</v>
      </c>
      <c r="F95">
        <v>8</v>
      </c>
      <c r="G95">
        <v>2164.04</v>
      </c>
      <c r="H95">
        <v>0</v>
      </c>
    </row>
    <row r="96" spans="1:8" x14ac:dyDescent="0.2">
      <c r="A96">
        <v>43</v>
      </c>
      <c r="B96">
        <v>13</v>
      </c>
      <c r="C96">
        <v>55.6</v>
      </c>
      <c r="D96">
        <v>3</v>
      </c>
      <c r="E96">
        <v>45.7</v>
      </c>
      <c r="F96">
        <v>7</v>
      </c>
      <c r="G96">
        <v>670.64</v>
      </c>
      <c r="H96">
        <v>0</v>
      </c>
    </row>
    <row r="97" spans="1:8" x14ac:dyDescent="0.2">
      <c r="A97">
        <v>42</v>
      </c>
      <c r="B97">
        <v>12</v>
      </c>
      <c r="C97">
        <v>109.42</v>
      </c>
      <c r="D97">
        <v>0</v>
      </c>
      <c r="E97">
        <v>85.3</v>
      </c>
      <c r="F97">
        <v>1</v>
      </c>
      <c r="G97">
        <v>1298.3499999999999</v>
      </c>
      <c r="H97">
        <v>1</v>
      </c>
    </row>
    <row r="98" spans="1:8" x14ac:dyDescent="0.2">
      <c r="A98">
        <v>62</v>
      </c>
      <c r="B98">
        <v>46</v>
      </c>
      <c r="C98">
        <v>32.869999999999997</v>
      </c>
      <c r="D98">
        <v>6</v>
      </c>
      <c r="E98">
        <v>30.5</v>
      </c>
      <c r="F98">
        <v>3</v>
      </c>
      <c r="G98">
        <v>1550.19</v>
      </c>
      <c r="H98">
        <v>1</v>
      </c>
    </row>
    <row r="99" spans="1:8" x14ac:dyDescent="0.2">
      <c r="A99">
        <v>58</v>
      </c>
      <c r="B99">
        <v>2</v>
      </c>
      <c r="C99">
        <v>53.01</v>
      </c>
      <c r="D99">
        <v>1</v>
      </c>
      <c r="E99">
        <v>19.899999999999999</v>
      </c>
      <c r="F99">
        <v>2</v>
      </c>
      <c r="G99">
        <v>105.78</v>
      </c>
      <c r="H99">
        <v>1</v>
      </c>
    </row>
    <row r="100" spans="1:8" x14ac:dyDescent="0.2">
      <c r="A100">
        <v>46</v>
      </c>
      <c r="B100">
        <v>35</v>
      </c>
      <c r="C100">
        <v>52.16</v>
      </c>
      <c r="D100">
        <v>4</v>
      </c>
      <c r="E100">
        <v>86</v>
      </c>
      <c r="F100">
        <v>5</v>
      </c>
      <c r="G100">
        <v>1789.74</v>
      </c>
      <c r="H100">
        <v>1</v>
      </c>
    </row>
    <row r="101" spans="1:8" x14ac:dyDescent="0.2">
      <c r="A101">
        <v>32</v>
      </c>
      <c r="B101">
        <v>8</v>
      </c>
      <c r="C101">
        <v>29.23</v>
      </c>
      <c r="D101">
        <v>0</v>
      </c>
      <c r="E101">
        <v>9.4</v>
      </c>
      <c r="F101">
        <v>5</v>
      </c>
      <c r="G101">
        <v>256.94</v>
      </c>
      <c r="H101">
        <v>0</v>
      </c>
    </row>
    <row r="102" spans="1:8" x14ac:dyDescent="0.2">
      <c r="A102">
        <v>62</v>
      </c>
      <c r="B102">
        <v>26</v>
      </c>
      <c r="C102">
        <v>68.11</v>
      </c>
      <c r="D102">
        <v>1</v>
      </c>
      <c r="E102">
        <v>63.9</v>
      </c>
      <c r="F102">
        <v>5</v>
      </c>
      <c r="G102">
        <v>1905.56</v>
      </c>
      <c r="H102">
        <v>0</v>
      </c>
    </row>
    <row r="103" spans="1:8" x14ac:dyDescent="0.2">
      <c r="A103">
        <v>18</v>
      </c>
      <c r="B103">
        <v>34</v>
      </c>
      <c r="C103">
        <v>88.78</v>
      </c>
      <c r="D103">
        <v>6</v>
      </c>
      <c r="E103">
        <v>58.4</v>
      </c>
      <c r="F103">
        <v>4</v>
      </c>
      <c r="G103">
        <v>3093.02</v>
      </c>
      <c r="H103">
        <v>1</v>
      </c>
    </row>
    <row r="104" spans="1:8" x14ac:dyDescent="0.2">
      <c r="A104">
        <v>42</v>
      </c>
      <c r="B104">
        <v>7</v>
      </c>
      <c r="C104">
        <v>71.17</v>
      </c>
      <c r="D104">
        <v>2</v>
      </c>
      <c r="E104">
        <v>37.9</v>
      </c>
      <c r="F104">
        <v>5</v>
      </c>
      <c r="G104">
        <v>505.1</v>
      </c>
      <c r="H104">
        <v>1</v>
      </c>
    </row>
    <row r="105" spans="1:8" x14ac:dyDescent="0.2">
      <c r="A105">
        <v>24</v>
      </c>
      <c r="B105">
        <v>68</v>
      </c>
      <c r="C105">
        <v>35.700000000000003</v>
      </c>
      <c r="D105">
        <v>2</v>
      </c>
      <c r="E105">
        <v>34.9</v>
      </c>
      <c r="F105">
        <v>3</v>
      </c>
      <c r="G105">
        <v>2486.1799999999998</v>
      </c>
      <c r="H105">
        <v>1</v>
      </c>
    </row>
    <row r="106" spans="1:8" x14ac:dyDescent="0.2">
      <c r="A106">
        <v>26</v>
      </c>
      <c r="B106">
        <v>58</v>
      </c>
      <c r="C106">
        <v>57.73</v>
      </c>
      <c r="D106">
        <v>2</v>
      </c>
      <c r="E106">
        <v>78.3</v>
      </c>
      <c r="F106">
        <v>1</v>
      </c>
      <c r="G106">
        <v>3148.32</v>
      </c>
      <c r="H106">
        <v>1</v>
      </c>
    </row>
    <row r="107" spans="1:8" x14ac:dyDescent="0.2">
      <c r="A107">
        <v>41</v>
      </c>
      <c r="B107">
        <v>29</v>
      </c>
      <c r="C107">
        <v>20.260000000000002</v>
      </c>
      <c r="D107">
        <v>3</v>
      </c>
      <c r="E107">
        <v>13.2</v>
      </c>
      <c r="F107">
        <v>5</v>
      </c>
      <c r="G107">
        <v>575.22</v>
      </c>
      <c r="H107">
        <v>0</v>
      </c>
    </row>
    <row r="108" spans="1:8" x14ac:dyDescent="0.2">
      <c r="A108">
        <v>18</v>
      </c>
      <c r="B108">
        <v>36</v>
      </c>
      <c r="C108">
        <v>106.83</v>
      </c>
      <c r="D108">
        <v>0</v>
      </c>
      <c r="E108">
        <v>27.5</v>
      </c>
      <c r="F108">
        <v>9</v>
      </c>
      <c r="G108">
        <v>3491.64</v>
      </c>
      <c r="H108">
        <v>0</v>
      </c>
    </row>
    <row r="109" spans="1:8" x14ac:dyDescent="0.2">
      <c r="A109">
        <v>61</v>
      </c>
      <c r="B109">
        <v>21</v>
      </c>
      <c r="C109">
        <v>28.45</v>
      </c>
      <c r="D109">
        <v>1</v>
      </c>
      <c r="E109">
        <v>74.599999999999994</v>
      </c>
      <c r="F109">
        <v>9</v>
      </c>
      <c r="G109">
        <v>594.53</v>
      </c>
      <c r="H109">
        <v>0</v>
      </c>
    </row>
    <row r="110" spans="1:8" x14ac:dyDescent="0.2">
      <c r="A110">
        <v>25</v>
      </c>
      <c r="B110">
        <v>36</v>
      </c>
      <c r="C110">
        <v>79.73</v>
      </c>
      <c r="D110">
        <v>3</v>
      </c>
      <c r="E110">
        <v>57.1</v>
      </c>
      <c r="F110">
        <v>4</v>
      </c>
      <c r="G110">
        <v>2894.98</v>
      </c>
      <c r="H110">
        <v>1</v>
      </c>
    </row>
    <row r="111" spans="1:8" x14ac:dyDescent="0.2">
      <c r="A111">
        <v>41</v>
      </c>
      <c r="B111">
        <v>10</v>
      </c>
      <c r="C111">
        <v>118.63</v>
      </c>
      <c r="D111">
        <v>4</v>
      </c>
      <c r="E111">
        <v>17.2</v>
      </c>
      <c r="F111">
        <v>3</v>
      </c>
      <c r="G111">
        <v>1121.71</v>
      </c>
      <c r="H111">
        <v>0</v>
      </c>
    </row>
    <row r="112" spans="1:8" x14ac:dyDescent="0.2">
      <c r="A112">
        <v>28</v>
      </c>
      <c r="B112">
        <v>24</v>
      </c>
      <c r="C112">
        <v>73.66</v>
      </c>
      <c r="D112">
        <v>1</v>
      </c>
      <c r="E112">
        <v>88.8</v>
      </c>
      <c r="F112">
        <v>1</v>
      </c>
      <c r="G112">
        <v>1931.91</v>
      </c>
      <c r="H112">
        <v>0</v>
      </c>
    </row>
    <row r="113" spans="1:8" x14ac:dyDescent="0.2">
      <c r="A113">
        <v>68</v>
      </c>
      <c r="B113">
        <v>64</v>
      </c>
      <c r="C113">
        <v>112.4</v>
      </c>
      <c r="D113">
        <v>1</v>
      </c>
      <c r="E113">
        <v>42.4</v>
      </c>
      <c r="F113">
        <v>2</v>
      </c>
      <c r="G113">
        <v>7782.69</v>
      </c>
      <c r="H113">
        <v>0</v>
      </c>
    </row>
    <row r="114" spans="1:8" x14ac:dyDescent="0.2">
      <c r="A114">
        <v>34</v>
      </c>
      <c r="B114">
        <v>49</v>
      </c>
      <c r="C114">
        <v>43.61</v>
      </c>
      <c r="D114">
        <v>3</v>
      </c>
      <c r="E114">
        <v>83.6</v>
      </c>
      <c r="F114">
        <v>8</v>
      </c>
      <c r="G114">
        <v>2231.83</v>
      </c>
      <c r="H114">
        <v>0</v>
      </c>
    </row>
    <row r="115" spans="1:8" x14ac:dyDescent="0.2">
      <c r="A115">
        <v>25</v>
      </c>
      <c r="B115">
        <v>36</v>
      </c>
      <c r="C115">
        <v>96</v>
      </c>
      <c r="D115">
        <v>4</v>
      </c>
      <c r="E115">
        <v>79.8</v>
      </c>
      <c r="F115">
        <v>1</v>
      </c>
      <c r="G115">
        <v>3479.08</v>
      </c>
      <c r="H115">
        <v>1</v>
      </c>
    </row>
    <row r="116" spans="1:8" x14ac:dyDescent="0.2">
      <c r="A116">
        <v>52</v>
      </c>
      <c r="B116">
        <v>24</v>
      </c>
      <c r="C116">
        <v>73.13</v>
      </c>
      <c r="D116">
        <v>3</v>
      </c>
      <c r="E116">
        <v>64.3</v>
      </c>
      <c r="F116">
        <v>8</v>
      </c>
      <c r="G116">
        <v>1884.99</v>
      </c>
      <c r="H116">
        <v>0</v>
      </c>
    </row>
    <row r="117" spans="1:8" x14ac:dyDescent="0.2">
      <c r="A117">
        <v>52</v>
      </c>
      <c r="B117">
        <v>23</v>
      </c>
      <c r="C117">
        <v>92.05</v>
      </c>
      <c r="D117">
        <v>1</v>
      </c>
      <c r="E117">
        <v>52</v>
      </c>
      <c r="F117">
        <v>7</v>
      </c>
      <c r="G117">
        <v>1960.76</v>
      </c>
      <c r="H117">
        <v>1</v>
      </c>
    </row>
    <row r="118" spans="1:8" x14ac:dyDescent="0.2">
      <c r="A118">
        <v>50</v>
      </c>
      <c r="B118">
        <v>62</v>
      </c>
      <c r="C118">
        <v>26.23</v>
      </c>
      <c r="D118">
        <v>1</v>
      </c>
      <c r="E118">
        <v>98.1</v>
      </c>
      <c r="F118">
        <v>8</v>
      </c>
      <c r="G118">
        <v>1720.75</v>
      </c>
      <c r="H118">
        <v>1</v>
      </c>
    </row>
    <row r="119" spans="1:8" x14ac:dyDescent="0.2">
      <c r="A119">
        <v>22</v>
      </c>
      <c r="B119">
        <v>37</v>
      </c>
      <c r="C119">
        <v>34.770000000000003</v>
      </c>
      <c r="D119">
        <v>4</v>
      </c>
      <c r="E119">
        <v>18.8</v>
      </c>
      <c r="F119">
        <v>6</v>
      </c>
      <c r="G119">
        <v>1189.96</v>
      </c>
      <c r="H119">
        <v>1</v>
      </c>
    </row>
    <row r="120" spans="1:8" x14ac:dyDescent="0.2">
      <c r="A120">
        <v>59</v>
      </c>
      <c r="B120">
        <v>12</v>
      </c>
      <c r="C120">
        <v>33.31</v>
      </c>
      <c r="D120">
        <v>0</v>
      </c>
      <c r="E120">
        <v>73.900000000000006</v>
      </c>
      <c r="F120">
        <v>9</v>
      </c>
      <c r="G120">
        <v>423.24</v>
      </c>
      <c r="H120">
        <v>0</v>
      </c>
    </row>
    <row r="121" spans="1:8" x14ac:dyDescent="0.2">
      <c r="A121">
        <v>56</v>
      </c>
      <c r="B121">
        <v>55</v>
      </c>
      <c r="C121">
        <v>88.72</v>
      </c>
      <c r="D121">
        <v>4</v>
      </c>
      <c r="E121">
        <v>23.2</v>
      </c>
      <c r="F121">
        <v>3</v>
      </c>
      <c r="G121">
        <v>4660.7700000000004</v>
      </c>
      <c r="H121">
        <v>0</v>
      </c>
    </row>
    <row r="122" spans="1:8" x14ac:dyDescent="0.2">
      <c r="A122">
        <v>58</v>
      </c>
      <c r="B122">
        <v>13</v>
      </c>
      <c r="C122">
        <v>104.44</v>
      </c>
      <c r="D122">
        <v>0</v>
      </c>
      <c r="E122">
        <v>37.1</v>
      </c>
      <c r="F122">
        <v>10</v>
      </c>
      <c r="G122">
        <v>1460.12</v>
      </c>
      <c r="H122">
        <v>0</v>
      </c>
    </row>
    <row r="123" spans="1:8" x14ac:dyDescent="0.2">
      <c r="A123">
        <v>45</v>
      </c>
      <c r="B123">
        <v>23</v>
      </c>
      <c r="C123">
        <v>94.96</v>
      </c>
      <c r="D123">
        <v>2</v>
      </c>
      <c r="E123">
        <v>34.299999999999997</v>
      </c>
      <c r="F123">
        <v>4</v>
      </c>
      <c r="G123">
        <v>2378.04</v>
      </c>
      <c r="H123">
        <v>1</v>
      </c>
    </row>
    <row r="124" spans="1:8" x14ac:dyDescent="0.2">
      <c r="A124">
        <v>24</v>
      </c>
      <c r="B124">
        <v>30</v>
      </c>
      <c r="C124">
        <v>23.05</v>
      </c>
      <c r="D124">
        <v>2</v>
      </c>
      <c r="E124">
        <v>95</v>
      </c>
      <c r="F124">
        <v>6</v>
      </c>
      <c r="G124">
        <v>642.92999999999995</v>
      </c>
      <c r="H124">
        <v>0</v>
      </c>
    </row>
    <row r="125" spans="1:8" x14ac:dyDescent="0.2">
      <c r="A125">
        <v>26</v>
      </c>
      <c r="B125">
        <v>17</v>
      </c>
      <c r="C125">
        <v>106.72</v>
      </c>
      <c r="D125">
        <v>2</v>
      </c>
      <c r="E125">
        <v>96.9</v>
      </c>
      <c r="F125">
        <v>8</v>
      </c>
      <c r="G125">
        <v>1800.7</v>
      </c>
      <c r="H125">
        <v>0</v>
      </c>
    </row>
    <row r="126" spans="1:8" x14ac:dyDescent="0.2">
      <c r="A126">
        <v>25</v>
      </c>
      <c r="B126">
        <v>62</v>
      </c>
      <c r="C126">
        <v>55.41</v>
      </c>
      <c r="D126">
        <v>3</v>
      </c>
      <c r="E126">
        <v>22.4</v>
      </c>
      <c r="F126">
        <v>5</v>
      </c>
      <c r="G126">
        <v>3765.9</v>
      </c>
      <c r="H126">
        <v>0</v>
      </c>
    </row>
    <row r="127" spans="1:8" x14ac:dyDescent="0.2">
      <c r="A127">
        <v>29</v>
      </c>
      <c r="B127">
        <v>13</v>
      </c>
      <c r="C127">
        <v>59.72</v>
      </c>
      <c r="D127">
        <v>0</v>
      </c>
      <c r="E127">
        <v>7.1</v>
      </c>
      <c r="F127">
        <v>3</v>
      </c>
      <c r="G127">
        <v>773.78</v>
      </c>
      <c r="H127">
        <v>0</v>
      </c>
    </row>
    <row r="128" spans="1:8" x14ac:dyDescent="0.2">
      <c r="A128">
        <v>51</v>
      </c>
      <c r="B128">
        <v>59</v>
      </c>
      <c r="C128">
        <v>30.49</v>
      </c>
      <c r="D128">
        <v>4</v>
      </c>
      <c r="E128">
        <v>73.400000000000006</v>
      </c>
      <c r="F128">
        <v>6</v>
      </c>
      <c r="G128">
        <v>1929.71</v>
      </c>
      <c r="H128">
        <v>0</v>
      </c>
    </row>
    <row r="129" spans="1:8" x14ac:dyDescent="0.2">
      <c r="A129">
        <v>50</v>
      </c>
      <c r="B129">
        <v>19</v>
      </c>
      <c r="C129">
        <v>93.74</v>
      </c>
      <c r="D129">
        <v>1</v>
      </c>
      <c r="E129">
        <v>44.7</v>
      </c>
      <c r="F129">
        <v>4</v>
      </c>
      <c r="G129">
        <v>1812.67</v>
      </c>
      <c r="H129">
        <v>0</v>
      </c>
    </row>
    <row r="130" spans="1:8" x14ac:dyDescent="0.2">
      <c r="A130">
        <v>65</v>
      </c>
      <c r="B130">
        <v>49</v>
      </c>
      <c r="C130">
        <v>38.229999999999997</v>
      </c>
      <c r="D130">
        <v>3</v>
      </c>
      <c r="E130">
        <v>13.4</v>
      </c>
      <c r="F130">
        <v>9</v>
      </c>
      <c r="G130">
        <v>1826.56</v>
      </c>
      <c r="H130">
        <v>1</v>
      </c>
    </row>
    <row r="131" spans="1:8" x14ac:dyDescent="0.2">
      <c r="A131">
        <v>40</v>
      </c>
      <c r="B131">
        <v>12</v>
      </c>
      <c r="C131">
        <v>76.400000000000006</v>
      </c>
      <c r="D131">
        <v>3</v>
      </c>
      <c r="E131">
        <v>70</v>
      </c>
      <c r="F131">
        <v>3</v>
      </c>
      <c r="G131">
        <v>877.52</v>
      </c>
      <c r="H131">
        <v>1</v>
      </c>
    </row>
    <row r="132" spans="1:8" x14ac:dyDescent="0.2">
      <c r="A132">
        <v>41</v>
      </c>
      <c r="B132">
        <v>61</v>
      </c>
      <c r="C132">
        <v>104.07</v>
      </c>
      <c r="D132">
        <v>2</v>
      </c>
      <c r="E132">
        <v>56.8</v>
      </c>
      <c r="F132">
        <v>4</v>
      </c>
      <c r="G132">
        <v>5971.47</v>
      </c>
      <c r="H132">
        <v>1</v>
      </c>
    </row>
    <row r="133" spans="1:8" x14ac:dyDescent="0.2">
      <c r="A133">
        <v>54</v>
      </c>
      <c r="B133">
        <v>19</v>
      </c>
      <c r="C133">
        <v>28.92</v>
      </c>
      <c r="D133">
        <v>1</v>
      </c>
      <c r="E133">
        <v>98.1</v>
      </c>
      <c r="F133">
        <v>7</v>
      </c>
      <c r="G133">
        <v>578.25</v>
      </c>
      <c r="H133">
        <v>1</v>
      </c>
    </row>
    <row r="134" spans="1:8" x14ac:dyDescent="0.2">
      <c r="A134">
        <v>52</v>
      </c>
      <c r="B134">
        <v>9</v>
      </c>
      <c r="C134">
        <v>73.53</v>
      </c>
      <c r="D134">
        <v>2</v>
      </c>
      <c r="E134">
        <v>26.6</v>
      </c>
      <c r="F134">
        <v>7</v>
      </c>
      <c r="G134">
        <v>646.75</v>
      </c>
      <c r="H134">
        <v>1</v>
      </c>
    </row>
    <row r="135" spans="1:8" x14ac:dyDescent="0.2">
      <c r="A135">
        <v>61</v>
      </c>
      <c r="B135">
        <v>71</v>
      </c>
      <c r="C135">
        <v>43.32</v>
      </c>
      <c r="D135">
        <v>1</v>
      </c>
      <c r="E135">
        <v>43.4</v>
      </c>
      <c r="F135">
        <v>4</v>
      </c>
      <c r="G135">
        <v>3082.66</v>
      </c>
      <c r="H135">
        <v>1</v>
      </c>
    </row>
    <row r="136" spans="1:8" x14ac:dyDescent="0.2">
      <c r="A136">
        <v>57</v>
      </c>
      <c r="B136">
        <v>28</v>
      </c>
      <c r="C136">
        <v>54.29</v>
      </c>
      <c r="D136">
        <v>1</v>
      </c>
      <c r="E136">
        <v>56.5</v>
      </c>
      <c r="F136">
        <v>6</v>
      </c>
      <c r="G136">
        <v>1517.79</v>
      </c>
      <c r="H136">
        <v>0</v>
      </c>
    </row>
    <row r="137" spans="1:8" x14ac:dyDescent="0.2">
      <c r="A137">
        <v>39</v>
      </c>
      <c r="B137">
        <v>52</v>
      </c>
      <c r="C137">
        <v>67.400000000000006</v>
      </c>
      <c r="D137">
        <v>1</v>
      </c>
      <c r="E137">
        <v>80.2</v>
      </c>
      <c r="F137">
        <v>3</v>
      </c>
      <c r="G137">
        <v>3558.97</v>
      </c>
      <c r="H137">
        <v>1</v>
      </c>
    </row>
    <row r="138" spans="1:8" x14ac:dyDescent="0.2">
      <c r="A138">
        <v>44</v>
      </c>
      <c r="B138">
        <v>16</v>
      </c>
      <c r="C138">
        <v>55.51</v>
      </c>
      <c r="D138">
        <v>2</v>
      </c>
      <c r="E138">
        <v>57.1</v>
      </c>
      <c r="F138">
        <v>6</v>
      </c>
      <c r="G138">
        <v>953.1</v>
      </c>
      <c r="H138">
        <v>1</v>
      </c>
    </row>
    <row r="139" spans="1:8" x14ac:dyDescent="0.2">
      <c r="A139">
        <v>52</v>
      </c>
      <c r="B139">
        <v>69</v>
      </c>
      <c r="C139">
        <v>84.88</v>
      </c>
      <c r="D139">
        <v>1</v>
      </c>
      <c r="E139">
        <v>63.2</v>
      </c>
      <c r="F139">
        <v>2</v>
      </c>
      <c r="G139">
        <v>6419.83</v>
      </c>
      <c r="H139">
        <v>0</v>
      </c>
    </row>
    <row r="140" spans="1:8" x14ac:dyDescent="0.2">
      <c r="A140">
        <v>18</v>
      </c>
      <c r="B140">
        <v>12</v>
      </c>
      <c r="C140">
        <v>67.959999999999994</v>
      </c>
      <c r="D140">
        <v>3</v>
      </c>
      <c r="E140">
        <v>26.5</v>
      </c>
      <c r="F140">
        <v>8</v>
      </c>
      <c r="G140">
        <v>800.45</v>
      </c>
      <c r="H140">
        <v>0</v>
      </c>
    </row>
    <row r="141" spans="1:8" x14ac:dyDescent="0.2">
      <c r="A141">
        <v>52</v>
      </c>
      <c r="B141">
        <v>25</v>
      </c>
      <c r="C141">
        <v>78.42</v>
      </c>
      <c r="D141">
        <v>1</v>
      </c>
      <c r="E141">
        <v>85.5</v>
      </c>
      <c r="F141">
        <v>2</v>
      </c>
      <c r="G141">
        <v>2088.92</v>
      </c>
      <c r="H141">
        <v>1</v>
      </c>
    </row>
    <row r="142" spans="1:8" x14ac:dyDescent="0.2">
      <c r="A142">
        <v>54</v>
      </c>
      <c r="B142">
        <v>52</v>
      </c>
      <c r="C142">
        <v>93.68</v>
      </c>
      <c r="D142">
        <v>3</v>
      </c>
      <c r="E142">
        <v>45.7</v>
      </c>
      <c r="F142">
        <v>7</v>
      </c>
      <c r="G142">
        <v>5129.08</v>
      </c>
      <c r="H142">
        <v>0</v>
      </c>
    </row>
    <row r="143" spans="1:8" x14ac:dyDescent="0.2">
      <c r="A143">
        <v>64</v>
      </c>
      <c r="B143">
        <v>53</v>
      </c>
      <c r="C143">
        <v>75.77</v>
      </c>
      <c r="D143">
        <v>3</v>
      </c>
      <c r="E143">
        <v>18.399999999999999</v>
      </c>
      <c r="F143">
        <v>9</v>
      </c>
      <c r="G143">
        <v>4074.87</v>
      </c>
      <c r="H143">
        <v>0</v>
      </c>
    </row>
    <row r="144" spans="1:8" x14ac:dyDescent="0.2">
      <c r="A144">
        <v>31</v>
      </c>
      <c r="B144">
        <v>23</v>
      </c>
      <c r="C144">
        <v>78.650000000000006</v>
      </c>
      <c r="D144">
        <v>2</v>
      </c>
      <c r="E144">
        <v>68.099999999999994</v>
      </c>
      <c r="F144">
        <v>1</v>
      </c>
      <c r="G144">
        <v>1973.94</v>
      </c>
      <c r="H144">
        <v>1</v>
      </c>
    </row>
    <row r="145" spans="1:8" x14ac:dyDescent="0.2">
      <c r="A145">
        <v>20</v>
      </c>
      <c r="B145">
        <v>16</v>
      </c>
      <c r="C145">
        <v>76.45</v>
      </c>
      <c r="D145">
        <v>2</v>
      </c>
      <c r="E145">
        <v>25.5</v>
      </c>
      <c r="F145">
        <v>8</v>
      </c>
      <c r="G145">
        <v>1149.92</v>
      </c>
      <c r="H145">
        <v>0</v>
      </c>
    </row>
    <row r="146" spans="1:8" x14ac:dyDescent="0.2">
      <c r="A146">
        <v>18</v>
      </c>
      <c r="B146">
        <v>57</v>
      </c>
      <c r="C146">
        <v>57.88</v>
      </c>
      <c r="D146">
        <v>2</v>
      </c>
      <c r="E146">
        <v>14.3</v>
      </c>
      <c r="F146">
        <v>7</v>
      </c>
      <c r="G146">
        <v>3041.34</v>
      </c>
      <c r="H146">
        <v>0</v>
      </c>
    </row>
    <row r="147" spans="1:8" x14ac:dyDescent="0.2">
      <c r="A147">
        <v>22</v>
      </c>
      <c r="B147">
        <v>39</v>
      </c>
      <c r="C147">
        <v>53.74</v>
      </c>
      <c r="D147">
        <v>2</v>
      </c>
      <c r="E147">
        <v>86.9</v>
      </c>
      <c r="F147">
        <v>6</v>
      </c>
      <c r="G147">
        <v>2244.23</v>
      </c>
      <c r="H147">
        <v>0</v>
      </c>
    </row>
    <row r="148" spans="1:8" x14ac:dyDescent="0.2">
      <c r="A148">
        <v>43</v>
      </c>
      <c r="B148">
        <v>53</v>
      </c>
      <c r="C148">
        <v>109.96</v>
      </c>
      <c r="D148">
        <v>2</v>
      </c>
      <c r="E148">
        <v>48.7</v>
      </c>
      <c r="F148">
        <v>6</v>
      </c>
      <c r="G148">
        <v>5756.95</v>
      </c>
      <c r="H148">
        <v>0</v>
      </c>
    </row>
    <row r="149" spans="1:8" x14ac:dyDescent="0.2">
      <c r="A149">
        <v>31</v>
      </c>
      <c r="B149">
        <v>42</v>
      </c>
      <c r="C149">
        <v>80.760000000000005</v>
      </c>
      <c r="D149">
        <v>1</v>
      </c>
      <c r="E149">
        <v>76.2</v>
      </c>
      <c r="F149">
        <v>6</v>
      </c>
      <c r="G149">
        <v>3627.3</v>
      </c>
      <c r="H149">
        <v>0</v>
      </c>
    </row>
    <row r="150" spans="1:8" x14ac:dyDescent="0.2">
      <c r="A150">
        <v>56</v>
      </c>
      <c r="B150">
        <v>58</v>
      </c>
      <c r="C150">
        <v>44.44</v>
      </c>
      <c r="D150">
        <v>3</v>
      </c>
      <c r="E150">
        <v>32.6</v>
      </c>
      <c r="F150">
        <v>9</v>
      </c>
      <c r="G150">
        <v>2780.16</v>
      </c>
      <c r="H150">
        <v>1</v>
      </c>
    </row>
    <row r="151" spans="1:8" x14ac:dyDescent="0.2">
      <c r="A151">
        <v>44</v>
      </c>
      <c r="B151">
        <v>39</v>
      </c>
      <c r="C151">
        <v>69.819999999999993</v>
      </c>
      <c r="D151">
        <v>2</v>
      </c>
      <c r="E151">
        <v>79.8</v>
      </c>
      <c r="F151">
        <v>2</v>
      </c>
      <c r="G151">
        <v>2484.6999999999998</v>
      </c>
      <c r="H151">
        <v>1</v>
      </c>
    </row>
    <row r="152" spans="1:8" x14ac:dyDescent="0.2">
      <c r="A152">
        <v>26</v>
      </c>
      <c r="B152">
        <v>14</v>
      </c>
      <c r="C152">
        <v>53.03</v>
      </c>
      <c r="D152">
        <v>3</v>
      </c>
      <c r="E152">
        <v>15.6</v>
      </c>
      <c r="F152">
        <v>1</v>
      </c>
      <c r="G152">
        <v>799.36</v>
      </c>
      <c r="H152">
        <v>1</v>
      </c>
    </row>
    <row r="153" spans="1:8" x14ac:dyDescent="0.2">
      <c r="A153">
        <v>32</v>
      </c>
      <c r="B153">
        <v>5</v>
      </c>
      <c r="C153">
        <v>113.37</v>
      </c>
      <c r="D153">
        <v>3</v>
      </c>
      <c r="E153">
        <v>38.799999999999997</v>
      </c>
      <c r="F153">
        <v>6</v>
      </c>
      <c r="G153">
        <v>560.99</v>
      </c>
      <c r="H153">
        <v>0</v>
      </c>
    </row>
    <row r="154" spans="1:8" x14ac:dyDescent="0.2">
      <c r="A154">
        <v>32</v>
      </c>
      <c r="B154">
        <v>35</v>
      </c>
      <c r="C154">
        <v>20.75</v>
      </c>
      <c r="D154">
        <v>3</v>
      </c>
      <c r="E154">
        <v>97.9</v>
      </c>
      <c r="F154">
        <v>10</v>
      </c>
      <c r="G154">
        <v>727.77</v>
      </c>
      <c r="H154">
        <v>0</v>
      </c>
    </row>
    <row r="155" spans="1:8" x14ac:dyDescent="0.2">
      <c r="A155">
        <v>43</v>
      </c>
      <c r="B155">
        <v>18</v>
      </c>
      <c r="C155">
        <v>42.53</v>
      </c>
      <c r="D155">
        <v>0</v>
      </c>
      <c r="E155">
        <v>80.400000000000006</v>
      </c>
      <c r="F155">
        <v>8</v>
      </c>
      <c r="G155">
        <v>784.92</v>
      </c>
      <c r="H155">
        <v>1</v>
      </c>
    </row>
    <row r="156" spans="1:8" x14ac:dyDescent="0.2">
      <c r="A156">
        <v>59</v>
      </c>
      <c r="B156">
        <v>9</v>
      </c>
      <c r="C156">
        <v>56.54</v>
      </c>
      <c r="D156">
        <v>1</v>
      </c>
      <c r="E156">
        <v>52.2</v>
      </c>
      <c r="F156">
        <v>3</v>
      </c>
      <c r="G156">
        <v>552.25</v>
      </c>
      <c r="H156">
        <v>0</v>
      </c>
    </row>
    <row r="157" spans="1:8" x14ac:dyDescent="0.2">
      <c r="A157">
        <v>30</v>
      </c>
      <c r="B157">
        <v>58</v>
      </c>
      <c r="C157">
        <v>68.78</v>
      </c>
      <c r="D157">
        <v>3</v>
      </c>
      <c r="E157">
        <v>37.299999999999997</v>
      </c>
      <c r="F157">
        <v>10</v>
      </c>
      <c r="G157">
        <v>3605.57</v>
      </c>
      <c r="H157">
        <v>0</v>
      </c>
    </row>
    <row r="158" spans="1:8" x14ac:dyDescent="0.2">
      <c r="A158">
        <v>68</v>
      </c>
      <c r="B158">
        <v>17</v>
      </c>
      <c r="C158">
        <v>105.08</v>
      </c>
      <c r="D158">
        <v>0</v>
      </c>
      <c r="E158">
        <v>87.9</v>
      </c>
      <c r="F158">
        <v>1</v>
      </c>
      <c r="G158">
        <v>1778.09</v>
      </c>
      <c r="H158">
        <v>1</v>
      </c>
    </row>
    <row r="159" spans="1:8" x14ac:dyDescent="0.2">
      <c r="A159">
        <v>49</v>
      </c>
      <c r="B159">
        <v>7</v>
      </c>
      <c r="C159">
        <v>28.79</v>
      </c>
      <c r="D159">
        <v>3</v>
      </c>
      <c r="E159">
        <v>56.8</v>
      </c>
      <c r="F159">
        <v>9</v>
      </c>
      <c r="G159">
        <v>209.1</v>
      </c>
      <c r="H159">
        <v>0</v>
      </c>
    </row>
    <row r="160" spans="1:8" x14ac:dyDescent="0.2">
      <c r="A160">
        <v>56</v>
      </c>
      <c r="B160">
        <v>46</v>
      </c>
      <c r="C160">
        <v>100.59</v>
      </c>
      <c r="D160">
        <v>1</v>
      </c>
      <c r="E160">
        <v>77.099999999999994</v>
      </c>
      <c r="F160">
        <v>1</v>
      </c>
      <c r="G160">
        <v>4833.24</v>
      </c>
      <c r="H160">
        <v>0</v>
      </c>
    </row>
    <row r="161" spans="1:8" x14ac:dyDescent="0.2">
      <c r="A161">
        <v>66</v>
      </c>
      <c r="B161">
        <v>13</v>
      </c>
      <c r="C161">
        <v>25.57</v>
      </c>
      <c r="D161">
        <v>0</v>
      </c>
      <c r="E161">
        <v>76.599999999999994</v>
      </c>
      <c r="F161">
        <v>3</v>
      </c>
      <c r="G161">
        <v>345.21</v>
      </c>
      <c r="H161">
        <v>1</v>
      </c>
    </row>
    <row r="162" spans="1:8" x14ac:dyDescent="0.2">
      <c r="A162">
        <v>69</v>
      </c>
      <c r="B162">
        <v>40</v>
      </c>
      <c r="C162">
        <v>104.23</v>
      </c>
      <c r="D162">
        <v>0</v>
      </c>
      <c r="E162">
        <v>6.7</v>
      </c>
      <c r="F162">
        <v>8</v>
      </c>
      <c r="G162">
        <v>3864.38</v>
      </c>
      <c r="H162">
        <v>0</v>
      </c>
    </row>
    <row r="163" spans="1:8" x14ac:dyDescent="0.2">
      <c r="A163">
        <v>49</v>
      </c>
      <c r="B163">
        <v>42</v>
      </c>
      <c r="C163">
        <v>25.16</v>
      </c>
      <c r="D163">
        <v>1</v>
      </c>
      <c r="E163">
        <v>17</v>
      </c>
      <c r="F163">
        <v>3</v>
      </c>
      <c r="G163">
        <v>1014.32</v>
      </c>
      <c r="H163">
        <v>0</v>
      </c>
    </row>
    <row r="164" spans="1:8" x14ac:dyDescent="0.2">
      <c r="A164">
        <v>21</v>
      </c>
      <c r="B164">
        <v>9</v>
      </c>
      <c r="C164">
        <v>21.82</v>
      </c>
      <c r="D164">
        <v>1</v>
      </c>
      <c r="E164">
        <v>67.7</v>
      </c>
      <c r="F164">
        <v>4</v>
      </c>
      <c r="G164">
        <v>190.83</v>
      </c>
      <c r="H164">
        <v>1</v>
      </c>
    </row>
    <row r="165" spans="1:8" x14ac:dyDescent="0.2">
      <c r="A165">
        <v>47</v>
      </c>
      <c r="B165">
        <v>50</v>
      </c>
      <c r="C165">
        <v>89.7</v>
      </c>
      <c r="D165">
        <v>1</v>
      </c>
      <c r="E165">
        <v>20.399999999999999</v>
      </c>
      <c r="F165">
        <v>8</v>
      </c>
      <c r="G165">
        <v>4758.08</v>
      </c>
      <c r="H165">
        <v>0</v>
      </c>
    </row>
    <row r="166" spans="1:8" x14ac:dyDescent="0.2">
      <c r="A166">
        <v>54</v>
      </c>
      <c r="B166">
        <v>27</v>
      </c>
      <c r="C166">
        <v>119.73</v>
      </c>
      <c r="D166">
        <v>4</v>
      </c>
      <c r="E166">
        <v>29.3</v>
      </c>
      <c r="F166">
        <v>1</v>
      </c>
      <c r="G166">
        <v>3089.67</v>
      </c>
      <c r="H166">
        <v>1</v>
      </c>
    </row>
    <row r="167" spans="1:8" x14ac:dyDescent="0.2">
      <c r="A167">
        <v>40</v>
      </c>
      <c r="B167">
        <v>66</v>
      </c>
      <c r="C167">
        <v>109.66</v>
      </c>
      <c r="D167">
        <v>3</v>
      </c>
      <c r="E167">
        <v>94.9</v>
      </c>
      <c r="F167">
        <v>6</v>
      </c>
      <c r="G167">
        <v>6818.8</v>
      </c>
      <c r="H167">
        <v>1</v>
      </c>
    </row>
    <row r="168" spans="1:8" x14ac:dyDescent="0.2">
      <c r="A168">
        <v>56</v>
      </c>
      <c r="B168">
        <v>5</v>
      </c>
      <c r="C168">
        <v>77.599999999999994</v>
      </c>
      <c r="D168">
        <v>2</v>
      </c>
      <c r="E168">
        <v>58.2</v>
      </c>
      <c r="F168">
        <v>1</v>
      </c>
      <c r="G168">
        <v>423.5</v>
      </c>
      <c r="H168">
        <v>1</v>
      </c>
    </row>
    <row r="169" spans="1:8" x14ac:dyDescent="0.2">
      <c r="A169">
        <v>62</v>
      </c>
      <c r="B169">
        <v>29</v>
      </c>
      <c r="C169">
        <v>111.74</v>
      </c>
      <c r="D169">
        <v>4</v>
      </c>
      <c r="E169">
        <v>76.3</v>
      </c>
      <c r="F169">
        <v>1</v>
      </c>
      <c r="G169">
        <v>2922.16</v>
      </c>
      <c r="H169">
        <v>1</v>
      </c>
    </row>
    <row r="170" spans="1:8" x14ac:dyDescent="0.2">
      <c r="A170">
        <v>32</v>
      </c>
      <c r="B170">
        <v>37</v>
      </c>
      <c r="C170">
        <v>20.53</v>
      </c>
      <c r="D170">
        <v>2</v>
      </c>
      <c r="E170">
        <v>58</v>
      </c>
      <c r="F170">
        <v>8</v>
      </c>
      <c r="G170">
        <v>835.24</v>
      </c>
      <c r="H170">
        <v>1</v>
      </c>
    </row>
    <row r="171" spans="1:8" x14ac:dyDescent="0.2">
      <c r="A171">
        <v>60</v>
      </c>
      <c r="B171">
        <v>38</v>
      </c>
      <c r="C171">
        <v>117.51</v>
      </c>
      <c r="D171">
        <v>0</v>
      </c>
      <c r="E171">
        <v>57.5</v>
      </c>
      <c r="F171">
        <v>4</v>
      </c>
      <c r="G171">
        <v>4623.29</v>
      </c>
      <c r="H171">
        <v>1</v>
      </c>
    </row>
    <row r="172" spans="1:8" x14ac:dyDescent="0.2">
      <c r="A172">
        <v>46</v>
      </c>
      <c r="B172">
        <v>8</v>
      </c>
      <c r="C172">
        <v>69.069999999999993</v>
      </c>
      <c r="D172">
        <v>1</v>
      </c>
      <c r="E172">
        <v>13.9</v>
      </c>
      <c r="F172">
        <v>1</v>
      </c>
      <c r="G172">
        <v>588.86</v>
      </c>
      <c r="H172">
        <v>0</v>
      </c>
    </row>
    <row r="173" spans="1:8" x14ac:dyDescent="0.2">
      <c r="A173">
        <v>53</v>
      </c>
      <c r="B173">
        <v>65</v>
      </c>
      <c r="C173">
        <v>92.29</v>
      </c>
      <c r="D173">
        <v>5</v>
      </c>
      <c r="E173">
        <v>37.6</v>
      </c>
      <c r="F173">
        <v>10</v>
      </c>
      <c r="G173">
        <v>5752.44</v>
      </c>
      <c r="H173">
        <v>0</v>
      </c>
    </row>
    <row r="174" spans="1:8" x14ac:dyDescent="0.2">
      <c r="A174">
        <v>30</v>
      </c>
      <c r="B174">
        <v>17</v>
      </c>
      <c r="C174">
        <v>102.09</v>
      </c>
      <c r="D174">
        <v>1</v>
      </c>
      <c r="E174">
        <v>31.8</v>
      </c>
      <c r="F174">
        <v>7</v>
      </c>
      <c r="G174">
        <v>1566.95</v>
      </c>
      <c r="H174">
        <v>0</v>
      </c>
    </row>
    <row r="175" spans="1:8" x14ac:dyDescent="0.2">
      <c r="A175">
        <v>49</v>
      </c>
      <c r="B175">
        <v>71</v>
      </c>
      <c r="C175">
        <v>91.85</v>
      </c>
      <c r="D175">
        <v>5</v>
      </c>
      <c r="E175">
        <v>42.1</v>
      </c>
      <c r="F175">
        <v>5</v>
      </c>
      <c r="G175">
        <v>6831.6</v>
      </c>
      <c r="H175">
        <v>0</v>
      </c>
    </row>
    <row r="176" spans="1:8" x14ac:dyDescent="0.2">
      <c r="A176">
        <v>24</v>
      </c>
      <c r="B176">
        <v>45</v>
      </c>
      <c r="C176">
        <v>73.5</v>
      </c>
      <c r="D176">
        <v>0</v>
      </c>
      <c r="E176">
        <v>80.8</v>
      </c>
      <c r="F176">
        <v>5</v>
      </c>
      <c r="G176">
        <v>3528.54</v>
      </c>
      <c r="H176">
        <v>0</v>
      </c>
    </row>
    <row r="177" spans="1:8" x14ac:dyDescent="0.2">
      <c r="A177">
        <v>68</v>
      </c>
      <c r="B177">
        <v>4</v>
      </c>
      <c r="C177">
        <v>67.66</v>
      </c>
      <c r="D177">
        <v>2</v>
      </c>
      <c r="E177">
        <v>40.299999999999997</v>
      </c>
      <c r="F177">
        <v>1</v>
      </c>
      <c r="G177">
        <v>283.66000000000003</v>
      </c>
      <c r="H177">
        <v>0</v>
      </c>
    </row>
    <row r="178" spans="1:8" x14ac:dyDescent="0.2">
      <c r="A178">
        <v>39</v>
      </c>
      <c r="B178">
        <v>36</v>
      </c>
      <c r="C178">
        <v>103.86</v>
      </c>
      <c r="D178">
        <v>0</v>
      </c>
      <c r="E178">
        <v>47.9</v>
      </c>
      <c r="F178">
        <v>10</v>
      </c>
      <c r="G178">
        <v>3471.89</v>
      </c>
      <c r="H178">
        <v>1</v>
      </c>
    </row>
    <row r="179" spans="1:8" x14ac:dyDescent="0.2">
      <c r="A179">
        <v>45</v>
      </c>
      <c r="B179">
        <v>70</v>
      </c>
      <c r="C179">
        <v>40.51</v>
      </c>
      <c r="D179">
        <v>1</v>
      </c>
      <c r="E179">
        <v>42.8</v>
      </c>
      <c r="F179">
        <v>6</v>
      </c>
      <c r="G179">
        <v>2979.43</v>
      </c>
      <c r="H179">
        <v>0</v>
      </c>
    </row>
    <row r="180" spans="1:8" x14ac:dyDescent="0.2">
      <c r="A180">
        <v>19</v>
      </c>
      <c r="B180">
        <v>31</v>
      </c>
      <c r="C180">
        <v>116.8</v>
      </c>
      <c r="D180">
        <v>4</v>
      </c>
      <c r="E180">
        <v>13.9</v>
      </c>
      <c r="F180">
        <v>9</v>
      </c>
      <c r="G180">
        <v>3815.54</v>
      </c>
      <c r="H180">
        <v>0</v>
      </c>
    </row>
    <row r="181" spans="1:8" x14ac:dyDescent="0.2">
      <c r="A181">
        <v>59</v>
      </c>
      <c r="B181">
        <v>19</v>
      </c>
      <c r="C181">
        <v>91.1</v>
      </c>
      <c r="D181">
        <v>0</v>
      </c>
      <c r="E181">
        <v>46.9</v>
      </c>
      <c r="F181">
        <v>9</v>
      </c>
      <c r="G181">
        <v>1785.78</v>
      </c>
      <c r="H181">
        <v>0</v>
      </c>
    </row>
    <row r="182" spans="1:8" x14ac:dyDescent="0.2">
      <c r="A182">
        <v>62</v>
      </c>
      <c r="B182">
        <v>61</v>
      </c>
      <c r="C182">
        <v>39.950000000000003</v>
      </c>
      <c r="D182">
        <v>0</v>
      </c>
      <c r="E182">
        <v>23.6</v>
      </c>
      <c r="F182">
        <v>8</v>
      </c>
      <c r="G182">
        <v>2566.65</v>
      </c>
      <c r="H182">
        <v>0</v>
      </c>
    </row>
    <row r="183" spans="1:8" x14ac:dyDescent="0.2">
      <c r="A183">
        <v>23</v>
      </c>
      <c r="B183">
        <v>54</v>
      </c>
      <c r="C183">
        <v>93.62</v>
      </c>
      <c r="D183">
        <v>2</v>
      </c>
      <c r="E183">
        <v>22.7</v>
      </c>
      <c r="F183">
        <v>5</v>
      </c>
      <c r="G183">
        <v>5405.24</v>
      </c>
      <c r="H183">
        <v>0</v>
      </c>
    </row>
    <row r="184" spans="1:8" x14ac:dyDescent="0.2">
      <c r="A184">
        <v>45</v>
      </c>
      <c r="B184">
        <v>39</v>
      </c>
      <c r="C184">
        <v>72.98</v>
      </c>
      <c r="D184">
        <v>1</v>
      </c>
      <c r="E184">
        <v>13.9</v>
      </c>
      <c r="F184">
        <v>1</v>
      </c>
      <c r="G184">
        <v>2910.89</v>
      </c>
      <c r="H184">
        <v>1</v>
      </c>
    </row>
    <row r="185" spans="1:8" x14ac:dyDescent="0.2">
      <c r="A185">
        <v>45</v>
      </c>
      <c r="B185">
        <v>19</v>
      </c>
      <c r="C185">
        <v>90.72</v>
      </c>
      <c r="D185">
        <v>1</v>
      </c>
      <c r="E185">
        <v>38.9</v>
      </c>
      <c r="F185">
        <v>9</v>
      </c>
      <c r="G185">
        <v>1581.86</v>
      </c>
      <c r="H185">
        <v>1</v>
      </c>
    </row>
    <row r="186" spans="1:8" x14ac:dyDescent="0.2">
      <c r="A186">
        <v>61</v>
      </c>
      <c r="B186">
        <v>39</v>
      </c>
      <c r="C186">
        <v>96.78</v>
      </c>
      <c r="D186">
        <v>3</v>
      </c>
      <c r="E186">
        <v>77</v>
      </c>
      <c r="F186">
        <v>1</v>
      </c>
      <c r="G186">
        <v>3765.08</v>
      </c>
      <c r="H186">
        <v>1</v>
      </c>
    </row>
    <row r="187" spans="1:8" x14ac:dyDescent="0.2">
      <c r="A187">
        <v>61</v>
      </c>
      <c r="B187">
        <v>67</v>
      </c>
      <c r="C187">
        <v>28.73</v>
      </c>
      <c r="D187">
        <v>1</v>
      </c>
      <c r="E187">
        <v>31.3</v>
      </c>
      <c r="F187">
        <v>8</v>
      </c>
      <c r="G187">
        <v>1762.31</v>
      </c>
      <c r="H187">
        <v>1</v>
      </c>
    </row>
    <row r="188" spans="1:8" x14ac:dyDescent="0.2">
      <c r="A188">
        <v>37</v>
      </c>
      <c r="B188">
        <v>45</v>
      </c>
      <c r="C188">
        <v>70.61</v>
      </c>
      <c r="D188">
        <v>2</v>
      </c>
      <c r="E188">
        <v>34.700000000000003</v>
      </c>
      <c r="F188">
        <v>5</v>
      </c>
      <c r="G188">
        <v>3118.69</v>
      </c>
      <c r="H188">
        <v>0</v>
      </c>
    </row>
    <row r="189" spans="1:8" x14ac:dyDescent="0.2">
      <c r="A189">
        <v>47</v>
      </c>
      <c r="B189">
        <v>13</v>
      </c>
      <c r="C189">
        <v>113.2</v>
      </c>
      <c r="D189">
        <v>3</v>
      </c>
      <c r="E189">
        <v>66.099999999999994</v>
      </c>
      <c r="F189">
        <v>3</v>
      </c>
      <c r="G189">
        <v>1444.26</v>
      </c>
      <c r="H189">
        <v>0</v>
      </c>
    </row>
    <row r="190" spans="1:8" x14ac:dyDescent="0.2">
      <c r="A190">
        <v>28</v>
      </c>
      <c r="B190">
        <v>58</v>
      </c>
      <c r="C190">
        <v>52.06</v>
      </c>
      <c r="D190">
        <v>1</v>
      </c>
      <c r="E190">
        <v>23.6</v>
      </c>
      <c r="F190">
        <v>7</v>
      </c>
      <c r="G190">
        <v>2757.4</v>
      </c>
      <c r="H190">
        <v>1</v>
      </c>
    </row>
    <row r="191" spans="1:8" x14ac:dyDescent="0.2">
      <c r="A191">
        <v>45</v>
      </c>
      <c r="B191">
        <v>20</v>
      </c>
      <c r="C191">
        <v>79.39</v>
      </c>
      <c r="D191">
        <v>1</v>
      </c>
      <c r="E191">
        <v>90.2</v>
      </c>
      <c r="F191">
        <v>7</v>
      </c>
      <c r="G191">
        <v>1539.79</v>
      </c>
      <c r="H191">
        <v>0</v>
      </c>
    </row>
    <row r="192" spans="1:8" x14ac:dyDescent="0.2">
      <c r="A192">
        <v>42</v>
      </c>
      <c r="B192">
        <v>61</v>
      </c>
      <c r="C192">
        <v>56.92</v>
      </c>
      <c r="D192">
        <v>4</v>
      </c>
      <c r="E192">
        <v>54.4</v>
      </c>
      <c r="F192">
        <v>9</v>
      </c>
      <c r="G192">
        <v>3201.99</v>
      </c>
      <c r="H192">
        <v>0</v>
      </c>
    </row>
    <row r="193" spans="1:8" x14ac:dyDescent="0.2">
      <c r="A193">
        <v>56</v>
      </c>
      <c r="B193">
        <v>39</v>
      </c>
      <c r="C193">
        <v>65.430000000000007</v>
      </c>
      <c r="D193">
        <v>2</v>
      </c>
      <c r="E193">
        <v>47.5</v>
      </c>
      <c r="F193">
        <v>7</v>
      </c>
      <c r="G193">
        <v>2709.08</v>
      </c>
      <c r="H193">
        <v>0</v>
      </c>
    </row>
    <row r="194" spans="1:8" x14ac:dyDescent="0.2">
      <c r="A194">
        <v>50</v>
      </c>
      <c r="B194">
        <v>1</v>
      </c>
      <c r="C194">
        <v>74.86</v>
      </c>
      <c r="D194">
        <v>1</v>
      </c>
      <c r="E194">
        <v>58</v>
      </c>
      <c r="F194">
        <v>3</v>
      </c>
      <c r="G194">
        <v>81.56</v>
      </c>
      <c r="H194">
        <v>0</v>
      </c>
    </row>
    <row r="195" spans="1:8" x14ac:dyDescent="0.2">
      <c r="A195">
        <v>18</v>
      </c>
      <c r="B195">
        <v>3</v>
      </c>
      <c r="C195">
        <v>74.89</v>
      </c>
      <c r="D195">
        <v>2</v>
      </c>
      <c r="E195">
        <v>20.8</v>
      </c>
      <c r="F195">
        <v>1</v>
      </c>
      <c r="G195">
        <v>205.45</v>
      </c>
      <c r="H195">
        <v>1</v>
      </c>
    </row>
    <row r="196" spans="1:8" x14ac:dyDescent="0.2">
      <c r="A196">
        <v>44</v>
      </c>
      <c r="B196">
        <v>62</v>
      </c>
      <c r="C196">
        <v>40.17</v>
      </c>
      <c r="D196">
        <v>3</v>
      </c>
      <c r="E196">
        <v>63.3</v>
      </c>
      <c r="F196">
        <v>8</v>
      </c>
      <c r="G196">
        <v>2717.24</v>
      </c>
      <c r="H196">
        <v>0</v>
      </c>
    </row>
    <row r="197" spans="1:8" x14ac:dyDescent="0.2">
      <c r="A197">
        <v>69</v>
      </c>
      <c r="B197">
        <v>63</v>
      </c>
      <c r="C197">
        <v>88.46</v>
      </c>
      <c r="D197">
        <v>1</v>
      </c>
      <c r="E197">
        <v>39.5</v>
      </c>
      <c r="F197">
        <v>3</v>
      </c>
      <c r="G197">
        <v>5598.14</v>
      </c>
      <c r="H197">
        <v>0</v>
      </c>
    </row>
    <row r="198" spans="1:8" x14ac:dyDescent="0.2">
      <c r="A198">
        <v>30</v>
      </c>
      <c r="B198">
        <v>25</v>
      </c>
      <c r="C198">
        <v>28.79</v>
      </c>
      <c r="D198">
        <v>3</v>
      </c>
      <c r="E198">
        <v>90.2</v>
      </c>
      <c r="F198">
        <v>8</v>
      </c>
      <c r="G198">
        <v>690.9</v>
      </c>
      <c r="H198">
        <v>1</v>
      </c>
    </row>
    <row r="199" spans="1:8" x14ac:dyDescent="0.2">
      <c r="A199">
        <v>58</v>
      </c>
      <c r="B199">
        <v>56</v>
      </c>
      <c r="C199">
        <v>33.880000000000003</v>
      </c>
      <c r="D199">
        <v>0</v>
      </c>
      <c r="E199">
        <v>21</v>
      </c>
      <c r="F199">
        <v>8</v>
      </c>
      <c r="G199">
        <v>1736.72</v>
      </c>
      <c r="H199">
        <v>0</v>
      </c>
    </row>
    <row r="200" spans="1:8" x14ac:dyDescent="0.2">
      <c r="A200">
        <v>20</v>
      </c>
      <c r="B200">
        <v>33</v>
      </c>
      <c r="C200">
        <v>20.27</v>
      </c>
      <c r="D200">
        <v>0</v>
      </c>
      <c r="E200">
        <v>53.2</v>
      </c>
      <c r="F200">
        <v>5</v>
      </c>
      <c r="G200">
        <v>668.99</v>
      </c>
      <c r="H200">
        <v>0</v>
      </c>
    </row>
    <row r="201" spans="1:8" x14ac:dyDescent="0.2">
      <c r="A201">
        <v>56</v>
      </c>
      <c r="B201">
        <v>38</v>
      </c>
      <c r="C201">
        <v>31.67</v>
      </c>
      <c r="D201">
        <v>1</v>
      </c>
      <c r="E201">
        <v>61.8</v>
      </c>
      <c r="F201">
        <v>1</v>
      </c>
      <c r="G201">
        <v>1274.3499999999999</v>
      </c>
      <c r="H201">
        <v>1</v>
      </c>
    </row>
    <row r="202" spans="1:8" x14ac:dyDescent="0.2">
      <c r="A202">
        <v>23</v>
      </c>
      <c r="B202">
        <v>6</v>
      </c>
      <c r="C202">
        <v>67.319999999999993</v>
      </c>
      <c r="D202">
        <v>2</v>
      </c>
      <c r="E202">
        <v>8.1999999999999993</v>
      </c>
      <c r="F202">
        <v>10</v>
      </c>
      <c r="G202">
        <v>420.65</v>
      </c>
      <c r="H202">
        <v>0</v>
      </c>
    </row>
    <row r="203" spans="1:8" x14ac:dyDescent="0.2">
      <c r="A203">
        <v>25</v>
      </c>
      <c r="B203">
        <v>58</v>
      </c>
      <c r="C203">
        <v>80.61</v>
      </c>
      <c r="D203">
        <v>1</v>
      </c>
      <c r="E203">
        <v>39.6</v>
      </c>
      <c r="F203">
        <v>7</v>
      </c>
      <c r="G203">
        <v>4254.8100000000004</v>
      </c>
      <c r="H203">
        <v>0</v>
      </c>
    </row>
    <row r="204" spans="1:8" x14ac:dyDescent="0.2">
      <c r="A204">
        <v>44</v>
      </c>
      <c r="B204">
        <v>44</v>
      </c>
      <c r="C204">
        <v>99.43</v>
      </c>
      <c r="D204">
        <v>3</v>
      </c>
      <c r="E204">
        <v>74.599999999999994</v>
      </c>
      <c r="F204">
        <v>10</v>
      </c>
      <c r="G204">
        <v>4001.22</v>
      </c>
      <c r="H204">
        <v>1</v>
      </c>
    </row>
    <row r="205" spans="1:8" x14ac:dyDescent="0.2">
      <c r="A205">
        <v>26</v>
      </c>
      <c r="B205">
        <v>45</v>
      </c>
      <c r="C205">
        <v>30.67</v>
      </c>
      <c r="D205">
        <v>4</v>
      </c>
      <c r="E205">
        <v>82.9</v>
      </c>
      <c r="F205">
        <v>5</v>
      </c>
      <c r="G205">
        <v>1353.34</v>
      </c>
      <c r="H205">
        <v>0</v>
      </c>
    </row>
    <row r="206" spans="1:8" x14ac:dyDescent="0.2">
      <c r="A206">
        <v>54</v>
      </c>
      <c r="B206">
        <v>32</v>
      </c>
      <c r="C206">
        <v>105.07</v>
      </c>
      <c r="D206">
        <v>0</v>
      </c>
      <c r="E206">
        <v>34.799999999999997</v>
      </c>
      <c r="F206">
        <v>8</v>
      </c>
      <c r="G206">
        <v>3224.58</v>
      </c>
      <c r="H206">
        <v>0</v>
      </c>
    </row>
    <row r="207" spans="1:8" x14ac:dyDescent="0.2">
      <c r="A207">
        <v>50</v>
      </c>
      <c r="B207">
        <v>45</v>
      </c>
      <c r="C207">
        <v>94.6</v>
      </c>
      <c r="D207">
        <v>3</v>
      </c>
      <c r="E207">
        <v>80.900000000000006</v>
      </c>
      <c r="F207">
        <v>9</v>
      </c>
      <c r="G207">
        <v>4029.15</v>
      </c>
      <c r="H207">
        <v>0</v>
      </c>
    </row>
    <row r="208" spans="1:8" x14ac:dyDescent="0.2">
      <c r="A208">
        <v>68</v>
      </c>
      <c r="B208">
        <v>61</v>
      </c>
      <c r="C208">
        <v>60.85</v>
      </c>
      <c r="D208">
        <v>2</v>
      </c>
      <c r="E208">
        <v>96.9</v>
      </c>
      <c r="F208">
        <v>7</v>
      </c>
      <c r="G208">
        <v>3549.27</v>
      </c>
      <c r="H208">
        <v>1</v>
      </c>
    </row>
    <row r="209" spans="1:8" x14ac:dyDescent="0.2">
      <c r="A209">
        <v>59</v>
      </c>
      <c r="B209">
        <v>47</v>
      </c>
      <c r="C209">
        <v>113.29</v>
      </c>
      <c r="D209">
        <v>3</v>
      </c>
      <c r="E209">
        <v>86.4</v>
      </c>
      <c r="F209">
        <v>7</v>
      </c>
      <c r="G209">
        <v>5647.82</v>
      </c>
      <c r="H209">
        <v>1</v>
      </c>
    </row>
    <row r="210" spans="1:8" x14ac:dyDescent="0.2">
      <c r="A210">
        <v>61</v>
      </c>
      <c r="B210">
        <v>21</v>
      </c>
      <c r="C210">
        <v>119.09</v>
      </c>
      <c r="D210">
        <v>1</v>
      </c>
      <c r="E210">
        <v>16.2</v>
      </c>
      <c r="F210">
        <v>1</v>
      </c>
      <c r="G210">
        <v>2715.58</v>
      </c>
      <c r="H210">
        <v>1</v>
      </c>
    </row>
    <row r="211" spans="1:8" x14ac:dyDescent="0.2">
      <c r="A211">
        <v>41</v>
      </c>
      <c r="B211">
        <v>36</v>
      </c>
      <c r="C211">
        <v>40.5</v>
      </c>
      <c r="D211">
        <v>3</v>
      </c>
      <c r="E211">
        <v>75.3</v>
      </c>
      <c r="F211">
        <v>4</v>
      </c>
      <c r="G211">
        <v>1430.33</v>
      </c>
      <c r="H211">
        <v>0</v>
      </c>
    </row>
    <row r="212" spans="1:8" x14ac:dyDescent="0.2">
      <c r="A212">
        <v>32</v>
      </c>
      <c r="B212">
        <v>19</v>
      </c>
      <c r="C212">
        <v>57.92</v>
      </c>
      <c r="D212">
        <v>2</v>
      </c>
      <c r="E212">
        <v>35.4</v>
      </c>
      <c r="F212">
        <v>2</v>
      </c>
      <c r="G212">
        <v>1189.8599999999999</v>
      </c>
      <c r="H212">
        <v>1</v>
      </c>
    </row>
    <row r="213" spans="1:8" x14ac:dyDescent="0.2">
      <c r="A213">
        <v>49</v>
      </c>
      <c r="B213">
        <v>20</v>
      </c>
      <c r="C213">
        <v>112.64</v>
      </c>
      <c r="D213">
        <v>0</v>
      </c>
      <c r="E213">
        <v>98.9</v>
      </c>
      <c r="F213">
        <v>2</v>
      </c>
      <c r="G213">
        <v>2172.37</v>
      </c>
      <c r="H213">
        <v>1</v>
      </c>
    </row>
    <row r="214" spans="1:8" x14ac:dyDescent="0.2">
      <c r="A214">
        <v>49</v>
      </c>
      <c r="B214">
        <v>57</v>
      </c>
      <c r="C214">
        <v>92.16</v>
      </c>
      <c r="D214">
        <v>3</v>
      </c>
      <c r="E214">
        <v>51.1</v>
      </c>
      <c r="F214">
        <v>2</v>
      </c>
      <c r="G214">
        <v>5228.3599999999997</v>
      </c>
      <c r="H214">
        <v>1</v>
      </c>
    </row>
    <row r="215" spans="1:8" x14ac:dyDescent="0.2">
      <c r="A215">
        <v>41</v>
      </c>
      <c r="B215">
        <v>18</v>
      </c>
      <c r="C215">
        <v>24.81</v>
      </c>
      <c r="D215">
        <v>0</v>
      </c>
      <c r="E215">
        <v>16.600000000000001</v>
      </c>
      <c r="F215">
        <v>4</v>
      </c>
      <c r="G215">
        <v>422.11</v>
      </c>
      <c r="H215">
        <v>1</v>
      </c>
    </row>
    <row r="216" spans="1:8" x14ac:dyDescent="0.2">
      <c r="A216">
        <v>58</v>
      </c>
      <c r="B216">
        <v>47</v>
      </c>
      <c r="C216">
        <v>98.15</v>
      </c>
      <c r="D216">
        <v>2</v>
      </c>
      <c r="E216">
        <v>73.900000000000006</v>
      </c>
      <c r="F216">
        <v>1</v>
      </c>
      <c r="G216">
        <v>4742.6499999999996</v>
      </c>
      <c r="H216">
        <v>0</v>
      </c>
    </row>
    <row r="217" spans="1:8" x14ac:dyDescent="0.2">
      <c r="A217">
        <v>69</v>
      </c>
      <c r="B217">
        <v>49</v>
      </c>
      <c r="C217">
        <v>102.79</v>
      </c>
      <c r="D217">
        <v>5</v>
      </c>
      <c r="E217">
        <v>35.700000000000003</v>
      </c>
      <c r="F217">
        <v>4</v>
      </c>
      <c r="G217">
        <v>5519.21</v>
      </c>
      <c r="H217">
        <v>0</v>
      </c>
    </row>
    <row r="218" spans="1:8" x14ac:dyDescent="0.2">
      <c r="A218">
        <v>66</v>
      </c>
      <c r="B218">
        <v>14</v>
      </c>
      <c r="C218">
        <v>95.05</v>
      </c>
      <c r="D218">
        <v>2</v>
      </c>
      <c r="E218">
        <v>99.7</v>
      </c>
      <c r="F218">
        <v>2</v>
      </c>
      <c r="G218">
        <v>1358.24</v>
      </c>
      <c r="H218">
        <v>1</v>
      </c>
    </row>
    <row r="219" spans="1:8" x14ac:dyDescent="0.2">
      <c r="A219">
        <v>66</v>
      </c>
      <c r="B219">
        <v>15</v>
      </c>
      <c r="C219">
        <v>99.95</v>
      </c>
      <c r="D219">
        <v>1</v>
      </c>
      <c r="E219">
        <v>98.1</v>
      </c>
      <c r="F219">
        <v>5</v>
      </c>
      <c r="G219">
        <v>1456.62</v>
      </c>
      <c r="H219">
        <v>0</v>
      </c>
    </row>
    <row r="220" spans="1:8" x14ac:dyDescent="0.2">
      <c r="A220">
        <v>69</v>
      </c>
      <c r="B220">
        <v>31</v>
      </c>
      <c r="C220">
        <v>102.51</v>
      </c>
      <c r="D220">
        <v>3</v>
      </c>
      <c r="E220">
        <v>67.3</v>
      </c>
      <c r="F220">
        <v>3</v>
      </c>
      <c r="G220">
        <v>3271.76</v>
      </c>
      <c r="H220">
        <v>1</v>
      </c>
    </row>
    <row r="221" spans="1:8" x14ac:dyDescent="0.2">
      <c r="A221">
        <v>29</v>
      </c>
      <c r="B221">
        <v>1</v>
      </c>
      <c r="C221">
        <v>38.64</v>
      </c>
      <c r="D221">
        <v>2</v>
      </c>
      <c r="E221">
        <v>17.3</v>
      </c>
      <c r="F221">
        <v>8</v>
      </c>
      <c r="G221">
        <v>35.729999999999997</v>
      </c>
      <c r="H221">
        <v>0</v>
      </c>
    </row>
    <row r="222" spans="1:8" x14ac:dyDescent="0.2">
      <c r="A222">
        <v>56</v>
      </c>
      <c r="B222">
        <v>54</v>
      </c>
      <c r="C222">
        <v>43.57</v>
      </c>
      <c r="D222">
        <v>1</v>
      </c>
      <c r="E222">
        <v>70.3</v>
      </c>
      <c r="F222">
        <v>4</v>
      </c>
      <c r="G222">
        <v>2535.67</v>
      </c>
      <c r="H222">
        <v>0</v>
      </c>
    </row>
    <row r="223" spans="1:8" x14ac:dyDescent="0.2">
      <c r="A223">
        <v>19</v>
      </c>
      <c r="B223">
        <v>3</v>
      </c>
      <c r="C223">
        <v>83.38</v>
      </c>
      <c r="D223">
        <v>0</v>
      </c>
      <c r="E223">
        <v>13.8</v>
      </c>
      <c r="F223">
        <v>1</v>
      </c>
      <c r="G223">
        <v>250.29</v>
      </c>
      <c r="H223">
        <v>1</v>
      </c>
    </row>
    <row r="224" spans="1:8" x14ac:dyDescent="0.2">
      <c r="A224">
        <v>20</v>
      </c>
      <c r="B224">
        <v>16</v>
      </c>
      <c r="C224">
        <v>110.79</v>
      </c>
      <c r="D224">
        <v>3</v>
      </c>
      <c r="E224">
        <v>7.8</v>
      </c>
      <c r="F224">
        <v>1</v>
      </c>
      <c r="G224">
        <v>1754.68</v>
      </c>
      <c r="H224">
        <v>1</v>
      </c>
    </row>
    <row r="225" spans="1:8" x14ac:dyDescent="0.2">
      <c r="A225">
        <v>66</v>
      </c>
      <c r="B225">
        <v>57</v>
      </c>
      <c r="C225">
        <v>51.62</v>
      </c>
      <c r="D225">
        <v>0</v>
      </c>
      <c r="E225">
        <v>83.2</v>
      </c>
      <c r="F225">
        <v>10</v>
      </c>
      <c r="G225">
        <v>2992.87</v>
      </c>
      <c r="H225">
        <v>1</v>
      </c>
    </row>
    <row r="226" spans="1:8" x14ac:dyDescent="0.2">
      <c r="A226">
        <v>54</v>
      </c>
      <c r="B226">
        <v>12</v>
      </c>
      <c r="C226">
        <v>78.83</v>
      </c>
      <c r="D226">
        <v>1</v>
      </c>
      <c r="E226">
        <v>24.9</v>
      </c>
      <c r="F226">
        <v>3</v>
      </c>
      <c r="G226">
        <v>969.57</v>
      </c>
      <c r="H226">
        <v>0</v>
      </c>
    </row>
    <row r="227" spans="1:8" x14ac:dyDescent="0.2">
      <c r="A227">
        <v>66</v>
      </c>
      <c r="B227">
        <v>16</v>
      </c>
      <c r="C227">
        <v>88.3</v>
      </c>
      <c r="D227">
        <v>4</v>
      </c>
      <c r="E227">
        <v>41</v>
      </c>
      <c r="F227">
        <v>9</v>
      </c>
      <c r="G227">
        <v>1291.8</v>
      </c>
      <c r="H227">
        <v>0</v>
      </c>
    </row>
    <row r="228" spans="1:8" x14ac:dyDescent="0.2">
      <c r="A228">
        <v>34</v>
      </c>
      <c r="B228">
        <v>24</v>
      </c>
      <c r="C228">
        <v>65.19</v>
      </c>
      <c r="D228">
        <v>0</v>
      </c>
      <c r="E228">
        <v>97.5</v>
      </c>
      <c r="F228">
        <v>7</v>
      </c>
      <c r="G228">
        <v>1621.7</v>
      </c>
      <c r="H228">
        <v>1</v>
      </c>
    </row>
    <row r="229" spans="1:8" x14ac:dyDescent="0.2">
      <c r="A229">
        <v>66</v>
      </c>
      <c r="B229">
        <v>28</v>
      </c>
      <c r="C229">
        <v>91.38</v>
      </c>
      <c r="D229">
        <v>0</v>
      </c>
      <c r="E229">
        <v>37</v>
      </c>
      <c r="F229">
        <v>2</v>
      </c>
      <c r="G229">
        <v>2426.58</v>
      </c>
      <c r="H229">
        <v>0</v>
      </c>
    </row>
    <row r="230" spans="1:8" x14ac:dyDescent="0.2">
      <c r="A230">
        <v>19</v>
      </c>
      <c r="B230">
        <v>8</v>
      </c>
      <c r="C230">
        <v>109.97</v>
      </c>
      <c r="D230">
        <v>1</v>
      </c>
      <c r="E230">
        <v>33.200000000000003</v>
      </c>
      <c r="F230">
        <v>9</v>
      </c>
      <c r="G230">
        <v>917.41</v>
      </c>
      <c r="H230">
        <v>1</v>
      </c>
    </row>
    <row r="231" spans="1:8" x14ac:dyDescent="0.2">
      <c r="A231">
        <v>19</v>
      </c>
      <c r="B231">
        <v>36</v>
      </c>
      <c r="C231">
        <v>82.41</v>
      </c>
      <c r="D231">
        <v>2</v>
      </c>
      <c r="E231">
        <v>92.2</v>
      </c>
      <c r="F231">
        <v>10</v>
      </c>
      <c r="G231">
        <v>3158.14</v>
      </c>
      <c r="H231">
        <v>1</v>
      </c>
    </row>
    <row r="232" spans="1:8" x14ac:dyDescent="0.2">
      <c r="A232">
        <v>45</v>
      </c>
      <c r="B232">
        <v>8</v>
      </c>
      <c r="C232">
        <v>73.98</v>
      </c>
      <c r="D232">
        <v>1</v>
      </c>
      <c r="E232">
        <v>15.5</v>
      </c>
      <c r="F232">
        <v>2</v>
      </c>
      <c r="G232">
        <v>627.82000000000005</v>
      </c>
      <c r="H232">
        <v>0</v>
      </c>
    </row>
    <row r="233" spans="1:8" x14ac:dyDescent="0.2">
      <c r="A233">
        <v>40</v>
      </c>
      <c r="B233">
        <v>58</v>
      </c>
      <c r="C233">
        <v>63.87</v>
      </c>
      <c r="D233">
        <v>3</v>
      </c>
      <c r="E233">
        <v>77.2</v>
      </c>
      <c r="F233">
        <v>3</v>
      </c>
      <c r="G233">
        <v>3743.36</v>
      </c>
      <c r="H233">
        <v>0</v>
      </c>
    </row>
    <row r="234" spans="1:8" x14ac:dyDescent="0.2">
      <c r="A234">
        <v>54</v>
      </c>
      <c r="B234">
        <v>60</v>
      </c>
      <c r="C234">
        <v>77.75</v>
      </c>
      <c r="D234">
        <v>4</v>
      </c>
      <c r="E234">
        <v>98.9</v>
      </c>
      <c r="F234">
        <v>10</v>
      </c>
      <c r="G234">
        <v>4683.82</v>
      </c>
      <c r="H234">
        <v>0</v>
      </c>
    </row>
    <row r="235" spans="1:8" x14ac:dyDescent="0.2">
      <c r="A235">
        <v>49</v>
      </c>
      <c r="B235">
        <v>50</v>
      </c>
      <c r="C235">
        <v>55.54</v>
      </c>
      <c r="D235">
        <v>2</v>
      </c>
      <c r="E235">
        <v>90.6</v>
      </c>
      <c r="F235">
        <v>2</v>
      </c>
      <c r="G235">
        <v>2578.65</v>
      </c>
      <c r="H235">
        <v>1</v>
      </c>
    </row>
    <row r="236" spans="1:8" x14ac:dyDescent="0.2">
      <c r="A236">
        <v>50</v>
      </c>
      <c r="B236">
        <v>28</v>
      </c>
      <c r="C236">
        <v>59.15</v>
      </c>
      <c r="D236">
        <v>3</v>
      </c>
      <c r="E236">
        <v>66.900000000000006</v>
      </c>
      <c r="F236">
        <v>3</v>
      </c>
      <c r="G236">
        <v>1747.41</v>
      </c>
      <c r="H236">
        <v>1</v>
      </c>
    </row>
    <row r="237" spans="1:8" x14ac:dyDescent="0.2">
      <c r="A237">
        <v>18</v>
      </c>
      <c r="B237">
        <v>41</v>
      </c>
      <c r="C237">
        <v>73.19</v>
      </c>
      <c r="D237">
        <v>0</v>
      </c>
      <c r="E237">
        <v>34.799999999999997</v>
      </c>
      <c r="F237">
        <v>6</v>
      </c>
      <c r="G237">
        <v>2863.6</v>
      </c>
      <c r="H237">
        <v>0</v>
      </c>
    </row>
    <row r="238" spans="1:8" x14ac:dyDescent="0.2">
      <c r="A238">
        <v>36</v>
      </c>
      <c r="B238">
        <v>64</v>
      </c>
      <c r="C238">
        <v>26.66</v>
      </c>
      <c r="D238">
        <v>2</v>
      </c>
      <c r="E238">
        <v>29.2</v>
      </c>
      <c r="F238">
        <v>9</v>
      </c>
      <c r="G238">
        <v>1705.11</v>
      </c>
      <c r="H238">
        <v>0</v>
      </c>
    </row>
    <row r="239" spans="1:8" x14ac:dyDescent="0.2">
      <c r="A239">
        <v>19</v>
      </c>
      <c r="B239">
        <v>27</v>
      </c>
      <c r="C239">
        <v>42.9</v>
      </c>
      <c r="D239">
        <v>2</v>
      </c>
      <c r="E239">
        <v>82.8</v>
      </c>
      <c r="F239">
        <v>9</v>
      </c>
      <c r="G239">
        <v>1108.32</v>
      </c>
      <c r="H239">
        <v>0</v>
      </c>
    </row>
    <row r="240" spans="1:8" x14ac:dyDescent="0.2">
      <c r="A240">
        <v>61</v>
      </c>
      <c r="B240">
        <v>63</v>
      </c>
      <c r="C240">
        <v>74.28</v>
      </c>
      <c r="D240">
        <v>1</v>
      </c>
      <c r="E240">
        <v>88.6</v>
      </c>
      <c r="F240">
        <v>7</v>
      </c>
      <c r="G240">
        <v>4336.93</v>
      </c>
      <c r="H240">
        <v>1</v>
      </c>
    </row>
    <row r="241" spans="1:8" x14ac:dyDescent="0.2">
      <c r="A241">
        <v>43</v>
      </c>
      <c r="B241">
        <v>17</v>
      </c>
      <c r="C241">
        <v>63.15</v>
      </c>
      <c r="D241">
        <v>2</v>
      </c>
      <c r="E241">
        <v>54.9</v>
      </c>
      <c r="F241">
        <v>3</v>
      </c>
      <c r="G241">
        <v>1101.3699999999999</v>
      </c>
      <c r="H241">
        <v>0</v>
      </c>
    </row>
    <row r="242" spans="1:8" x14ac:dyDescent="0.2">
      <c r="A242">
        <v>49</v>
      </c>
      <c r="B242">
        <v>33</v>
      </c>
      <c r="C242">
        <v>53.28</v>
      </c>
      <c r="D242">
        <v>2</v>
      </c>
      <c r="E242">
        <v>28.2</v>
      </c>
      <c r="F242">
        <v>4</v>
      </c>
      <c r="G242">
        <v>1601.52</v>
      </c>
      <c r="H242">
        <v>1</v>
      </c>
    </row>
    <row r="243" spans="1:8" x14ac:dyDescent="0.2">
      <c r="A243">
        <v>23</v>
      </c>
      <c r="B243">
        <v>29</v>
      </c>
      <c r="C243">
        <v>93.05</v>
      </c>
      <c r="D243">
        <v>2</v>
      </c>
      <c r="E243">
        <v>15.7</v>
      </c>
      <c r="F243">
        <v>6</v>
      </c>
      <c r="G243">
        <v>2832.64</v>
      </c>
      <c r="H243">
        <v>1</v>
      </c>
    </row>
    <row r="244" spans="1:8" x14ac:dyDescent="0.2">
      <c r="A244">
        <v>49</v>
      </c>
      <c r="B244">
        <v>13</v>
      </c>
      <c r="C244">
        <v>89.37</v>
      </c>
      <c r="D244">
        <v>1</v>
      </c>
      <c r="E244">
        <v>13.3</v>
      </c>
      <c r="F244">
        <v>5</v>
      </c>
      <c r="G244">
        <v>1119.42</v>
      </c>
      <c r="H244">
        <v>0</v>
      </c>
    </row>
    <row r="245" spans="1:8" x14ac:dyDescent="0.2">
      <c r="A245">
        <v>21</v>
      </c>
      <c r="B245">
        <v>46</v>
      </c>
      <c r="C245">
        <v>36.67</v>
      </c>
      <c r="D245">
        <v>3</v>
      </c>
      <c r="E245">
        <v>73.3</v>
      </c>
      <c r="F245">
        <v>2</v>
      </c>
      <c r="G245">
        <v>1518.18</v>
      </c>
      <c r="H245">
        <v>1</v>
      </c>
    </row>
    <row r="246" spans="1:8" x14ac:dyDescent="0.2">
      <c r="A246">
        <v>28</v>
      </c>
      <c r="B246">
        <v>35</v>
      </c>
      <c r="C246">
        <v>107.86</v>
      </c>
      <c r="D246">
        <v>4</v>
      </c>
      <c r="E246">
        <v>44.9</v>
      </c>
      <c r="F246">
        <v>6</v>
      </c>
      <c r="G246">
        <v>3783.5</v>
      </c>
      <c r="H246">
        <v>0</v>
      </c>
    </row>
    <row r="247" spans="1:8" x14ac:dyDescent="0.2">
      <c r="A247">
        <v>34</v>
      </c>
      <c r="B247">
        <v>6</v>
      </c>
      <c r="C247">
        <v>69.540000000000006</v>
      </c>
      <c r="D247">
        <v>2</v>
      </c>
      <c r="E247">
        <v>91</v>
      </c>
      <c r="F247">
        <v>3</v>
      </c>
      <c r="G247">
        <v>379.43</v>
      </c>
      <c r="H247">
        <v>1</v>
      </c>
    </row>
    <row r="248" spans="1:8" x14ac:dyDescent="0.2">
      <c r="A248">
        <v>55</v>
      </c>
      <c r="B248">
        <v>69</v>
      </c>
      <c r="C248">
        <v>94.15</v>
      </c>
      <c r="D248">
        <v>3</v>
      </c>
      <c r="E248">
        <v>75.3</v>
      </c>
      <c r="F248">
        <v>8</v>
      </c>
      <c r="G248">
        <v>6205.53</v>
      </c>
      <c r="H248">
        <v>1</v>
      </c>
    </row>
    <row r="249" spans="1:8" x14ac:dyDescent="0.2">
      <c r="A249">
        <v>41</v>
      </c>
      <c r="B249">
        <v>47</v>
      </c>
      <c r="C249">
        <v>77.319999999999993</v>
      </c>
      <c r="D249">
        <v>3</v>
      </c>
      <c r="E249">
        <v>23.2</v>
      </c>
      <c r="F249">
        <v>2</v>
      </c>
      <c r="G249">
        <v>3784.47</v>
      </c>
      <c r="H249">
        <v>1</v>
      </c>
    </row>
    <row r="250" spans="1:8" x14ac:dyDescent="0.2">
      <c r="A250">
        <v>22</v>
      </c>
      <c r="B250">
        <v>25</v>
      </c>
      <c r="C250">
        <v>119.77</v>
      </c>
      <c r="D250">
        <v>3</v>
      </c>
      <c r="E250">
        <v>63.3</v>
      </c>
      <c r="F250">
        <v>1</v>
      </c>
      <c r="G250">
        <v>2732.37</v>
      </c>
      <c r="H250">
        <v>1</v>
      </c>
    </row>
    <row r="251" spans="1:8" x14ac:dyDescent="0.2">
      <c r="A251">
        <v>69</v>
      </c>
      <c r="B251">
        <v>66</v>
      </c>
      <c r="C251">
        <v>95.24</v>
      </c>
      <c r="D251">
        <v>5</v>
      </c>
      <c r="E251">
        <v>46.4</v>
      </c>
      <c r="F251">
        <v>9</v>
      </c>
      <c r="G251">
        <v>6712.45</v>
      </c>
      <c r="H251">
        <v>0</v>
      </c>
    </row>
  </sheetData>
  <conditionalFormatting sqref="J30:R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71A31-8CBC-1741-B373-60B60C89C772}">
  <dimension ref="A3:K7"/>
  <sheetViews>
    <sheetView workbookViewId="0">
      <selection activeCell="I29" sqref="I29"/>
    </sheetView>
  </sheetViews>
  <sheetFormatPr baseColWidth="10" defaultRowHeight="15" x14ac:dyDescent="0.2"/>
  <cols>
    <col min="1" max="1" width="12.1640625" bestFit="1" customWidth="1"/>
    <col min="2" max="2" width="11.33203125" bestFit="1" customWidth="1"/>
    <col min="6" max="6" width="13.83203125" customWidth="1"/>
  </cols>
  <sheetData>
    <row r="3" spans="1:11" x14ac:dyDescent="0.2">
      <c r="A3" s="22" t="s">
        <v>82</v>
      </c>
      <c r="B3" t="s">
        <v>77</v>
      </c>
      <c r="C3" t="s">
        <v>84</v>
      </c>
      <c r="F3" t="s">
        <v>18</v>
      </c>
      <c r="G3" s="25">
        <v>0.25</v>
      </c>
      <c r="J3" t="s">
        <v>22</v>
      </c>
      <c r="K3" s="25">
        <v>0.32</v>
      </c>
    </row>
    <row r="4" spans="1:11" x14ac:dyDescent="0.2">
      <c r="A4" s="23" t="s">
        <v>22</v>
      </c>
      <c r="B4">
        <v>38</v>
      </c>
      <c r="C4" s="7">
        <f>38/GETPIVOTDATA("Churn",$A$3)</f>
        <v>0.32203389830508472</v>
      </c>
      <c r="F4" t="s">
        <v>19</v>
      </c>
      <c r="G4" s="25">
        <v>0.12</v>
      </c>
      <c r="J4" t="s">
        <v>23</v>
      </c>
      <c r="K4" s="25">
        <v>0.36</v>
      </c>
    </row>
    <row r="5" spans="1:11" x14ac:dyDescent="0.2">
      <c r="A5" s="23" t="s">
        <v>23</v>
      </c>
      <c r="B5">
        <v>43</v>
      </c>
      <c r="C5" s="7">
        <f>GETPIVOTDATA("Churn",$A$3,"PaymentMethod","Credit Card")/GETPIVOTDATA("Churn",$A$3)</f>
        <v>0.36440677966101692</v>
      </c>
      <c r="F5" t="s">
        <v>81</v>
      </c>
      <c r="G5" s="25">
        <v>0.63</v>
      </c>
      <c r="J5" t="s">
        <v>85</v>
      </c>
      <c r="K5" s="25">
        <v>0.31</v>
      </c>
    </row>
    <row r="6" spans="1:11" x14ac:dyDescent="0.2">
      <c r="A6" s="23" t="s">
        <v>24</v>
      </c>
      <c r="B6">
        <v>37</v>
      </c>
      <c r="C6" s="7">
        <f>GETPIVOTDATA("Churn",$A$3,"PaymentMethod","PayPal")/GETPIVOTDATA("Churn",$A$3)</f>
        <v>0.3135593220338983</v>
      </c>
    </row>
    <row r="7" spans="1:11" x14ac:dyDescent="0.2">
      <c r="A7" s="23" t="s">
        <v>83</v>
      </c>
      <c r="B7">
        <v>118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77EDA-F84F-DB41-AC25-EFF31BD0A6FE}">
  <dimension ref="A1:AN184"/>
  <sheetViews>
    <sheetView workbookViewId="0">
      <selection sqref="A1:B133"/>
    </sheetView>
  </sheetViews>
  <sheetFormatPr baseColWidth="10" defaultRowHeight="15" x14ac:dyDescent="0.2"/>
  <cols>
    <col min="1" max="1" width="12.1640625" bestFit="1" customWidth="1"/>
    <col min="2" max="2" width="22.1640625" bestFit="1" customWidth="1"/>
    <col min="5" max="5" width="12.1640625" bestFit="1" customWidth="1"/>
    <col min="6" max="6" width="22.1640625" bestFit="1" customWidth="1"/>
    <col min="35" max="35" width="17.6640625" customWidth="1"/>
    <col min="39" max="39" width="16.1640625" bestFit="1" customWidth="1"/>
    <col min="40" max="40" width="17.33203125" bestFit="1" customWidth="1"/>
  </cols>
  <sheetData>
    <row r="1" spans="1:40" x14ac:dyDescent="0.2">
      <c r="A1" t="s">
        <v>5</v>
      </c>
      <c r="B1" t="s">
        <v>6</v>
      </c>
      <c r="C1" t="s">
        <v>14</v>
      </c>
      <c r="D1" t="s">
        <v>7</v>
      </c>
      <c r="E1" t="s">
        <v>8</v>
      </c>
      <c r="F1" t="s">
        <v>17</v>
      </c>
      <c r="G1" t="s">
        <v>21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128</v>
      </c>
      <c r="N1" t="s">
        <v>129</v>
      </c>
      <c r="O1" t="s">
        <v>130</v>
      </c>
      <c r="P1" t="s">
        <v>131</v>
      </c>
      <c r="Q1" t="s">
        <v>132</v>
      </c>
      <c r="R1" t="s">
        <v>150</v>
      </c>
      <c r="S1" t="s">
        <v>151</v>
      </c>
      <c r="T1" t="s">
        <v>152</v>
      </c>
      <c r="U1" t="s">
        <v>153</v>
      </c>
      <c r="V1" t="s">
        <v>154</v>
      </c>
      <c r="W1" t="s">
        <v>155</v>
      </c>
      <c r="X1" t="s">
        <v>161</v>
      </c>
      <c r="Y1" t="s">
        <v>162</v>
      </c>
      <c r="Z1" t="s">
        <v>163</v>
      </c>
      <c r="AA1" t="s">
        <v>164</v>
      </c>
      <c r="AB1" t="s">
        <v>165</v>
      </c>
      <c r="AC1" t="s">
        <v>166</v>
      </c>
      <c r="AD1" t="s">
        <v>167</v>
      </c>
      <c r="AE1" t="s">
        <v>168</v>
      </c>
      <c r="AF1" t="s">
        <v>190</v>
      </c>
      <c r="AG1" t="s">
        <v>167</v>
      </c>
      <c r="AH1" t="s">
        <v>201</v>
      </c>
    </row>
    <row r="2" spans="1:40" x14ac:dyDescent="0.2">
      <c r="A2">
        <v>2</v>
      </c>
      <c r="B2">
        <v>69</v>
      </c>
      <c r="C2" t="s">
        <v>15</v>
      </c>
      <c r="D2">
        <v>63</v>
      </c>
      <c r="E2">
        <v>107.67</v>
      </c>
      <c r="F2" t="s">
        <v>18</v>
      </c>
      <c r="G2" t="s">
        <v>23</v>
      </c>
      <c r="H2">
        <v>1</v>
      </c>
      <c r="I2">
        <v>16.8</v>
      </c>
      <c r="J2">
        <v>1</v>
      </c>
      <c r="K2">
        <v>6505.15</v>
      </c>
      <c r="L2">
        <v>1</v>
      </c>
      <c r="M2" t="s">
        <v>134</v>
      </c>
      <c r="N2" t="s">
        <v>136</v>
      </c>
      <c r="O2" t="s">
        <v>140</v>
      </c>
      <c r="P2" t="s">
        <v>147</v>
      </c>
      <c r="Q2" t="s">
        <v>143</v>
      </c>
      <c r="R2" t="s">
        <v>159</v>
      </c>
      <c r="S2" t="s">
        <v>174</v>
      </c>
      <c r="T2" t="s">
        <v>175</v>
      </c>
      <c r="U2" t="s">
        <v>176</v>
      </c>
      <c r="V2" t="s">
        <v>177</v>
      </c>
      <c r="W2">
        <v>1</v>
      </c>
      <c r="X2">
        <v>0</v>
      </c>
      <c r="Y2">
        <v>4</v>
      </c>
      <c r="Z2">
        <v>2</v>
      </c>
      <c r="AA2">
        <v>2</v>
      </c>
      <c r="AB2" s="51">
        <v>9</v>
      </c>
      <c r="AC2" t="s">
        <v>98</v>
      </c>
      <c r="AD2" t="s">
        <v>67</v>
      </c>
      <c r="AE2">
        <v>0</v>
      </c>
      <c r="AF2">
        <v>0.54545454545454541</v>
      </c>
      <c r="AG2" t="s">
        <v>66</v>
      </c>
      <c r="AH2" t="s">
        <v>182</v>
      </c>
    </row>
    <row r="3" spans="1:40" x14ac:dyDescent="0.2">
      <c r="A3">
        <v>4</v>
      </c>
      <c r="B3">
        <v>32</v>
      </c>
      <c r="C3" t="s">
        <v>16</v>
      </c>
      <c r="D3">
        <v>22</v>
      </c>
      <c r="E3">
        <v>36.479999999999997</v>
      </c>
      <c r="F3" t="s">
        <v>20</v>
      </c>
      <c r="G3" t="s">
        <v>24</v>
      </c>
      <c r="H3">
        <v>1</v>
      </c>
      <c r="I3">
        <v>66.099999999999994</v>
      </c>
      <c r="J3">
        <v>3</v>
      </c>
      <c r="K3">
        <v>814.95</v>
      </c>
      <c r="L3">
        <v>1</v>
      </c>
      <c r="M3" t="s">
        <v>134</v>
      </c>
      <c r="N3" t="s">
        <v>137</v>
      </c>
      <c r="O3" t="s">
        <v>141</v>
      </c>
      <c r="P3" t="s">
        <v>147</v>
      </c>
      <c r="Q3" t="s">
        <v>146</v>
      </c>
      <c r="R3" t="s">
        <v>158</v>
      </c>
      <c r="S3" t="s">
        <v>178</v>
      </c>
      <c r="T3" t="s">
        <v>175</v>
      </c>
      <c r="U3" t="s">
        <v>179</v>
      </c>
      <c r="V3" t="s">
        <v>180</v>
      </c>
      <c r="W3">
        <v>3</v>
      </c>
      <c r="X3">
        <v>1</v>
      </c>
      <c r="Y3">
        <v>4</v>
      </c>
      <c r="Z3">
        <v>0</v>
      </c>
      <c r="AA3">
        <v>0</v>
      </c>
      <c r="AB3" s="51">
        <v>8</v>
      </c>
      <c r="AC3" t="s">
        <v>98</v>
      </c>
      <c r="AD3" t="s">
        <v>67</v>
      </c>
      <c r="AE3">
        <v>0</v>
      </c>
      <c r="AF3">
        <v>0.73684210526315785</v>
      </c>
      <c r="AG3" t="s">
        <v>66</v>
      </c>
      <c r="AH3" t="s">
        <v>98</v>
      </c>
    </row>
    <row r="4" spans="1:40" x14ac:dyDescent="0.2">
      <c r="A4">
        <v>5</v>
      </c>
      <c r="B4">
        <v>60</v>
      </c>
      <c r="C4" t="s">
        <v>16</v>
      </c>
      <c r="D4">
        <v>58</v>
      </c>
      <c r="E4">
        <v>61.13</v>
      </c>
      <c r="F4" t="s">
        <v>18</v>
      </c>
      <c r="G4" t="s">
        <v>22</v>
      </c>
      <c r="H4">
        <v>3</v>
      </c>
      <c r="I4">
        <v>79.099999999999994</v>
      </c>
      <c r="J4">
        <v>1</v>
      </c>
      <c r="K4">
        <v>3222</v>
      </c>
      <c r="L4">
        <v>1</v>
      </c>
      <c r="M4" t="s">
        <v>134</v>
      </c>
      <c r="N4" t="s">
        <v>136</v>
      </c>
      <c r="O4" t="s">
        <v>142</v>
      </c>
      <c r="P4" t="s">
        <v>147</v>
      </c>
      <c r="Q4" t="s">
        <v>146</v>
      </c>
      <c r="R4" t="s">
        <v>159</v>
      </c>
      <c r="S4" t="s">
        <v>174</v>
      </c>
      <c r="T4" t="s">
        <v>175</v>
      </c>
      <c r="U4" t="s">
        <v>181</v>
      </c>
      <c r="V4" t="s">
        <v>180</v>
      </c>
      <c r="W4">
        <v>1</v>
      </c>
      <c r="X4">
        <v>0</v>
      </c>
      <c r="Y4">
        <v>4</v>
      </c>
      <c r="Z4">
        <v>1</v>
      </c>
      <c r="AA4">
        <v>0</v>
      </c>
      <c r="AB4" s="51">
        <v>6</v>
      </c>
      <c r="AC4" t="s">
        <v>182</v>
      </c>
      <c r="AD4" t="s">
        <v>67</v>
      </c>
      <c r="AE4">
        <v>0</v>
      </c>
      <c r="AF4">
        <v>0.33333333333333331</v>
      </c>
      <c r="AG4" t="s">
        <v>67</v>
      </c>
      <c r="AH4" t="s">
        <v>99</v>
      </c>
    </row>
    <row r="5" spans="1:40" x14ac:dyDescent="0.2">
      <c r="A5">
        <v>6</v>
      </c>
      <c r="B5">
        <v>25</v>
      </c>
      <c r="C5" t="s">
        <v>15</v>
      </c>
      <c r="D5">
        <v>58</v>
      </c>
      <c r="E5">
        <v>97.76</v>
      </c>
      <c r="F5" t="s">
        <v>20</v>
      </c>
      <c r="G5" t="s">
        <v>24</v>
      </c>
      <c r="H5">
        <v>2</v>
      </c>
      <c r="I5">
        <v>25.6</v>
      </c>
      <c r="J5">
        <v>4</v>
      </c>
      <c r="K5">
        <v>5242.5600000000004</v>
      </c>
      <c r="L5">
        <v>1</v>
      </c>
      <c r="M5" t="s">
        <v>134</v>
      </c>
      <c r="N5" t="s">
        <v>136</v>
      </c>
      <c r="O5" t="s">
        <v>140</v>
      </c>
      <c r="P5" t="s">
        <v>148</v>
      </c>
      <c r="Q5" t="s">
        <v>145</v>
      </c>
      <c r="R5" t="s">
        <v>158</v>
      </c>
      <c r="S5" t="s">
        <v>174</v>
      </c>
      <c r="T5" t="s">
        <v>183</v>
      </c>
      <c r="U5" t="s">
        <v>176</v>
      </c>
      <c r="V5" t="s">
        <v>184</v>
      </c>
      <c r="W5">
        <v>3</v>
      </c>
      <c r="X5">
        <v>0</v>
      </c>
      <c r="Y5">
        <v>2</v>
      </c>
      <c r="Z5">
        <v>2</v>
      </c>
      <c r="AA5">
        <v>1</v>
      </c>
      <c r="AB5" s="51">
        <v>8</v>
      </c>
      <c r="AC5" t="s">
        <v>98</v>
      </c>
      <c r="AD5" t="s">
        <v>67</v>
      </c>
      <c r="AE5">
        <v>0</v>
      </c>
      <c r="AF5">
        <v>0.73684210526315785</v>
      </c>
      <c r="AG5" t="s">
        <v>66</v>
      </c>
      <c r="AH5" t="s">
        <v>98</v>
      </c>
      <c r="AM5" s="22" t="s">
        <v>82</v>
      </c>
      <c r="AN5" t="s">
        <v>102</v>
      </c>
    </row>
    <row r="6" spans="1:40" x14ac:dyDescent="0.2">
      <c r="A6">
        <v>10</v>
      </c>
      <c r="B6">
        <v>40</v>
      </c>
      <c r="C6" t="s">
        <v>15</v>
      </c>
      <c r="D6">
        <v>70</v>
      </c>
      <c r="E6">
        <v>94.96</v>
      </c>
      <c r="F6" t="s">
        <v>20</v>
      </c>
      <c r="G6" t="s">
        <v>23</v>
      </c>
      <c r="H6">
        <v>5</v>
      </c>
      <c r="I6">
        <v>21.9</v>
      </c>
      <c r="J6">
        <v>8</v>
      </c>
      <c r="K6">
        <v>6849.66</v>
      </c>
      <c r="L6">
        <v>0</v>
      </c>
      <c r="M6" t="s">
        <v>134</v>
      </c>
      <c r="N6" t="s">
        <v>136</v>
      </c>
      <c r="O6" t="s">
        <v>140</v>
      </c>
      <c r="P6" t="s">
        <v>149</v>
      </c>
      <c r="Q6" t="s">
        <v>145</v>
      </c>
      <c r="R6" t="s">
        <v>158</v>
      </c>
      <c r="S6" t="s">
        <v>174</v>
      </c>
      <c r="T6" t="s">
        <v>185</v>
      </c>
      <c r="U6" t="s">
        <v>176</v>
      </c>
      <c r="V6" t="s">
        <v>184</v>
      </c>
      <c r="W6">
        <v>3</v>
      </c>
      <c r="X6">
        <v>0</v>
      </c>
      <c r="Y6">
        <v>0</v>
      </c>
      <c r="Z6">
        <v>2</v>
      </c>
      <c r="AA6">
        <v>1</v>
      </c>
      <c r="AB6" s="51">
        <v>6</v>
      </c>
      <c r="AC6" t="s">
        <v>182</v>
      </c>
      <c r="AD6" t="s">
        <v>67</v>
      </c>
      <c r="AE6">
        <v>0</v>
      </c>
      <c r="AF6">
        <v>0.33333333333333331</v>
      </c>
      <c r="AG6" t="s">
        <v>67</v>
      </c>
      <c r="AH6" t="s">
        <v>99</v>
      </c>
      <c r="AM6" s="23" t="s">
        <v>18</v>
      </c>
      <c r="AN6">
        <v>51</v>
      </c>
    </row>
    <row r="7" spans="1:40" x14ac:dyDescent="0.2">
      <c r="A7">
        <v>11</v>
      </c>
      <c r="B7">
        <v>28</v>
      </c>
      <c r="C7" t="s">
        <v>16</v>
      </c>
      <c r="D7">
        <v>15</v>
      </c>
      <c r="E7">
        <v>59.3</v>
      </c>
      <c r="F7" t="s">
        <v>20</v>
      </c>
      <c r="G7" t="s">
        <v>22</v>
      </c>
      <c r="H7">
        <v>1</v>
      </c>
      <c r="I7">
        <v>7.8</v>
      </c>
      <c r="J7">
        <v>8</v>
      </c>
      <c r="K7">
        <v>950.98</v>
      </c>
      <c r="L7">
        <v>0</v>
      </c>
      <c r="M7" t="s">
        <v>134</v>
      </c>
      <c r="N7" t="s">
        <v>137</v>
      </c>
      <c r="O7" t="s">
        <v>141</v>
      </c>
      <c r="P7" t="s">
        <v>149</v>
      </c>
      <c r="Q7" t="s">
        <v>143</v>
      </c>
      <c r="R7" t="s">
        <v>158</v>
      </c>
      <c r="S7" t="s">
        <v>178</v>
      </c>
      <c r="T7" t="s">
        <v>185</v>
      </c>
      <c r="U7" t="s">
        <v>179</v>
      </c>
      <c r="V7" t="s">
        <v>177</v>
      </c>
      <c r="W7">
        <v>3</v>
      </c>
      <c r="X7">
        <v>1</v>
      </c>
      <c r="Y7">
        <v>0</v>
      </c>
      <c r="Z7">
        <v>0</v>
      </c>
      <c r="AA7">
        <v>2</v>
      </c>
      <c r="AB7" s="51">
        <v>6</v>
      </c>
      <c r="AC7" t="s">
        <v>182</v>
      </c>
      <c r="AD7" t="s">
        <v>67</v>
      </c>
      <c r="AE7">
        <v>0</v>
      </c>
      <c r="AF7">
        <v>0.33333333333333331</v>
      </c>
      <c r="AG7" t="s">
        <v>67</v>
      </c>
      <c r="AH7" t="s">
        <v>99</v>
      </c>
      <c r="AM7" s="24" t="s">
        <v>98</v>
      </c>
      <c r="AN7">
        <v>9</v>
      </c>
    </row>
    <row r="8" spans="1:40" x14ac:dyDescent="0.2">
      <c r="A8">
        <v>13</v>
      </c>
      <c r="B8">
        <v>41</v>
      </c>
      <c r="C8" t="s">
        <v>15</v>
      </c>
      <c r="D8">
        <v>60</v>
      </c>
      <c r="E8">
        <v>76.91</v>
      </c>
      <c r="F8" t="s">
        <v>20</v>
      </c>
      <c r="G8" t="s">
        <v>24</v>
      </c>
      <c r="H8">
        <v>0</v>
      </c>
      <c r="I8">
        <v>22.2</v>
      </c>
      <c r="J8">
        <v>6</v>
      </c>
      <c r="K8">
        <v>4549.93</v>
      </c>
      <c r="L8">
        <v>0</v>
      </c>
      <c r="M8" t="s">
        <v>134</v>
      </c>
      <c r="N8" t="s">
        <v>136</v>
      </c>
      <c r="O8" t="s">
        <v>142</v>
      </c>
      <c r="P8" t="s">
        <v>148</v>
      </c>
      <c r="Q8" t="s">
        <v>145</v>
      </c>
      <c r="R8" t="s">
        <v>158</v>
      </c>
      <c r="S8" t="s">
        <v>174</v>
      </c>
      <c r="T8" t="s">
        <v>183</v>
      </c>
      <c r="U8" t="s">
        <v>181</v>
      </c>
      <c r="V8" t="s">
        <v>184</v>
      </c>
      <c r="W8">
        <v>3</v>
      </c>
      <c r="X8">
        <v>0</v>
      </c>
      <c r="Y8">
        <v>2</v>
      </c>
      <c r="Z8">
        <v>1</v>
      </c>
      <c r="AA8">
        <v>1</v>
      </c>
      <c r="AB8" s="51">
        <v>7</v>
      </c>
      <c r="AC8" t="s">
        <v>98</v>
      </c>
      <c r="AD8" t="s">
        <v>67</v>
      </c>
      <c r="AE8">
        <v>0</v>
      </c>
      <c r="AF8">
        <v>0.54166666666666663</v>
      </c>
      <c r="AG8" t="s">
        <v>66</v>
      </c>
      <c r="AH8" t="s">
        <v>182</v>
      </c>
      <c r="AM8" s="24" t="s">
        <v>99</v>
      </c>
      <c r="AN8">
        <v>21</v>
      </c>
    </row>
    <row r="9" spans="1:40" x14ac:dyDescent="0.2">
      <c r="A9">
        <v>14</v>
      </c>
      <c r="B9">
        <v>53</v>
      </c>
      <c r="C9" t="s">
        <v>16</v>
      </c>
      <c r="D9">
        <v>8</v>
      </c>
      <c r="E9">
        <v>26.35</v>
      </c>
      <c r="F9" t="s">
        <v>20</v>
      </c>
      <c r="G9" t="s">
        <v>22</v>
      </c>
      <c r="H9">
        <v>1</v>
      </c>
      <c r="I9">
        <v>41.8</v>
      </c>
      <c r="J9">
        <v>9</v>
      </c>
      <c r="K9">
        <v>218.09</v>
      </c>
      <c r="L9">
        <v>1</v>
      </c>
      <c r="M9" t="s">
        <v>134</v>
      </c>
      <c r="N9" t="s">
        <v>138</v>
      </c>
      <c r="O9" t="s">
        <v>139</v>
      </c>
      <c r="P9" t="s">
        <v>149</v>
      </c>
      <c r="Q9" t="s">
        <v>146</v>
      </c>
      <c r="R9" t="s">
        <v>158</v>
      </c>
      <c r="S9" t="s">
        <v>186</v>
      </c>
      <c r="T9" t="s">
        <v>185</v>
      </c>
      <c r="U9" t="s">
        <v>187</v>
      </c>
      <c r="V9" t="s">
        <v>180</v>
      </c>
      <c r="W9">
        <v>3</v>
      </c>
      <c r="X9">
        <v>2</v>
      </c>
      <c r="Y9">
        <v>0</v>
      </c>
      <c r="Z9">
        <v>0</v>
      </c>
      <c r="AA9">
        <v>0</v>
      </c>
      <c r="AB9" s="51">
        <v>5</v>
      </c>
      <c r="AC9" t="s">
        <v>182</v>
      </c>
      <c r="AD9" t="s">
        <v>67</v>
      </c>
      <c r="AE9">
        <v>0</v>
      </c>
      <c r="AF9">
        <v>0.33333333333333331</v>
      </c>
      <c r="AG9" t="s">
        <v>67</v>
      </c>
      <c r="AH9" t="s">
        <v>99</v>
      </c>
      <c r="AM9" s="24" t="s">
        <v>182</v>
      </c>
      <c r="AN9">
        <v>21</v>
      </c>
    </row>
    <row r="10" spans="1:40" x14ac:dyDescent="0.2">
      <c r="A10">
        <v>15</v>
      </c>
      <c r="B10">
        <v>57</v>
      </c>
      <c r="C10" t="s">
        <v>16</v>
      </c>
      <c r="D10">
        <v>53</v>
      </c>
      <c r="E10">
        <v>23.68</v>
      </c>
      <c r="F10" t="s">
        <v>20</v>
      </c>
      <c r="G10" t="s">
        <v>24</v>
      </c>
      <c r="H10">
        <v>1</v>
      </c>
      <c r="I10">
        <v>43.2</v>
      </c>
      <c r="J10">
        <v>4</v>
      </c>
      <c r="K10">
        <v>1198.6600000000001</v>
      </c>
      <c r="L10">
        <v>0</v>
      </c>
      <c r="M10" t="s">
        <v>134</v>
      </c>
      <c r="N10" t="s">
        <v>136</v>
      </c>
      <c r="O10" t="s">
        <v>139</v>
      </c>
      <c r="P10" t="s">
        <v>148</v>
      </c>
      <c r="Q10" t="s">
        <v>146</v>
      </c>
      <c r="R10" t="s">
        <v>158</v>
      </c>
      <c r="S10" t="s">
        <v>174</v>
      </c>
      <c r="T10" t="s">
        <v>183</v>
      </c>
      <c r="U10" t="s">
        <v>187</v>
      </c>
      <c r="V10" t="s">
        <v>180</v>
      </c>
      <c r="W10">
        <v>3</v>
      </c>
      <c r="X10">
        <v>0</v>
      </c>
      <c r="Y10">
        <v>2</v>
      </c>
      <c r="Z10">
        <v>0</v>
      </c>
      <c r="AA10">
        <v>0</v>
      </c>
      <c r="AB10" s="51">
        <v>5</v>
      </c>
      <c r="AC10" t="s">
        <v>182</v>
      </c>
      <c r="AD10" t="s">
        <v>67</v>
      </c>
      <c r="AE10">
        <v>0</v>
      </c>
      <c r="AF10">
        <v>0.33333333333333331</v>
      </c>
      <c r="AG10" t="s">
        <v>67</v>
      </c>
      <c r="AH10" t="s">
        <v>99</v>
      </c>
      <c r="AM10" s="23" t="s">
        <v>19</v>
      </c>
      <c r="AN10">
        <v>25</v>
      </c>
    </row>
    <row r="11" spans="1:40" x14ac:dyDescent="0.2">
      <c r="A11">
        <v>16</v>
      </c>
      <c r="B11">
        <v>41</v>
      </c>
      <c r="C11" t="s">
        <v>15</v>
      </c>
      <c r="D11">
        <v>60</v>
      </c>
      <c r="E11">
        <v>33.39</v>
      </c>
      <c r="F11" t="s">
        <v>20</v>
      </c>
      <c r="G11" t="s">
        <v>23</v>
      </c>
      <c r="H11">
        <v>3</v>
      </c>
      <c r="I11">
        <v>88.1</v>
      </c>
      <c r="J11">
        <v>1</v>
      </c>
      <c r="K11">
        <v>1925.79</v>
      </c>
      <c r="L11">
        <v>1</v>
      </c>
      <c r="M11" t="s">
        <v>134</v>
      </c>
      <c r="N11" t="s">
        <v>136</v>
      </c>
      <c r="O11" t="s">
        <v>141</v>
      </c>
      <c r="P11" t="s">
        <v>147</v>
      </c>
      <c r="Q11" t="s">
        <v>144</v>
      </c>
      <c r="R11" t="s">
        <v>158</v>
      </c>
      <c r="S11" t="s">
        <v>174</v>
      </c>
      <c r="T11" t="s">
        <v>175</v>
      </c>
      <c r="U11" t="s">
        <v>179</v>
      </c>
      <c r="V11" t="s">
        <v>188</v>
      </c>
      <c r="W11">
        <v>3</v>
      </c>
      <c r="X11">
        <v>0</v>
      </c>
      <c r="Y11">
        <v>4</v>
      </c>
      <c r="Z11">
        <v>0</v>
      </c>
      <c r="AA11">
        <v>0</v>
      </c>
      <c r="AB11" s="51">
        <v>7</v>
      </c>
      <c r="AC11" t="s">
        <v>98</v>
      </c>
      <c r="AD11" t="s">
        <v>67</v>
      </c>
      <c r="AE11">
        <v>0</v>
      </c>
      <c r="AF11">
        <v>0.54166666666666663</v>
      </c>
      <c r="AG11" t="s">
        <v>66</v>
      </c>
      <c r="AH11" t="s">
        <v>182</v>
      </c>
      <c r="AM11" s="24" t="s">
        <v>98</v>
      </c>
      <c r="AN11">
        <v>3</v>
      </c>
    </row>
    <row r="12" spans="1:40" x14ac:dyDescent="0.2">
      <c r="A12">
        <v>17</v>
      </c>
      <c r="B12">
        <v>20</v>
      </c>
      <c r="C12" t="s">
        <v>15</v>
      </c>
      <c r="D12">
        <v>5</v>
      </c>
      <c r="E12">
        <v>21.37</v>
      </c>
      <c r="F12" t="s">
        <v>18</v>
      </c>
      <c r="G12" t="s">
        <v>24</v>
      </c>
      <c r="H12">
        <v>3</v>
      </c>
      <c r="I12">
        <v>53.5</v>
      </c>
      <c r="J12">
        <v>8</v>
      </c>
      <c r="K12">
        <v>113.03</v>
      </c>
      <c r="L12">
        <v>0</v>
      </c>
      <c r="M12" t="s">
        <v>134</v>
      </c>
      <c r="N12" t="s">
        <v>135</v>
      </c>
      <c r="O12" t="s">
        <v>139</v>
      </c>
      <c r="P12" t="s">
        <v>149</v>
      </c>
      <c r="Q12" t="s">
        <v>146</v>
      </c>
      <c r="R12" t="s">
        <v>159</v>
      </c>
      <c r="S12" t="s">
        <v>189</v>
      </c>
      <c r="T12" t="s">
        <v>185</v>
      </c>
      <c r="U12" t="s">
        <v>187</v>
      </c>
      <c r="V12" t="s">
        <v>180</v>
      </c>
      <c r="W12">
        <v>1</v>
      </c>
      <c r="X12">
        <v>3</v>
      </c>
      <c r="Y12">
        <v>0</v>
      </c>
      <c r="Z12">
        <v>0</v>
      </c>
      <c r="AA12">
        <v>0</v>
      </c>
      <c r="AB12" s="51">
        <v>4</v>
      </c>
      <c r="AC12" t="s">
        <v>182</v>
      </c>
      <c r="AD12" t="s">
        <v>67</v>
      </c>
      <c r="AE12">
        <v>0</v>
      </c>
      <c r="AF12">
        <v>0.40740740740740738</v>
      </c>
      <c r="AG12" t="s">
        <v>67</v>
      </c>
      <c r="AH12" t="s">
        <v>182</v>
      </c>
      <c r="AM12" s="24" t="s">
        <v>99</v>
      </c>
      <c r="AN12">
        <v>10</v>
      </c>
    </row>
    <row r="13" spans="1:40" x14ac:dyDescent="0.2">
      <c r="A13">
        <v>18</v>
      </c>
      <c r="B13">
        <v>39</v>
      </c>
      <c r="C13" t="s">
        <v>16</v>
      </c>
      <c r="D13">
        <v>68</v>
      </c>
      <c r="E13">
        <v>27.54</v>
      </c>
      <c r="F13" t="s">
        <v>20</v>
      </c>
      <c r="G13" t="s">
        <v>23</v>
      </c>
      <c r="H13">
        <v>2</v>
      </c>
      <c r="I13">
        <v>73.7</v>
      </c>
      <c r="J13">
        <v>7</v>
      </c>
      <c r="K13">
        <v>1852.65</v>
      </c>
      <c r="L13">
        <v>0</v>
      </c>
      <c r="M13" t="s">
        <v>134</v>
      </c>
      <c r="N13" t="s">
        <v>136</v>
      </c>
      <c r="O13" t="s">
        <v>139</v>
      </c>
      <c r="P13" t="s">
        <v>149</v>
      </c>
      <c r="Q13" t="s">
        <v>146</v>
      </c>
      <c r="R13" t="s">
        <v>158</v>
      </c>
      <c r="S13" t="s">
        <v>174</v>
      </c>
      <c r="T13" t="s">
        <v>185</v>
      </c>
      <c r="U13" t="s">
        <v>187</v>
      </c>
      <c r="V13" t="s">
        <v>180</v>
      </c>
      <c r="W13">
        <v>3</v>
      </c>
      <c r="X13">
        <v>0</v>
      </c>
      <c r="Y13">
        <v>0</v>
      </c>
      <c r="Z13">
        <v>0</v>
      </c>
      <c r="AA13">
        <v>0</v>
      </c>
      <c r="AB13" s="51">
        <v>3</v>
      </c>
      <c r="AC13" t="s">
        <v>99</v>
      </c>
      <c r="AD13" t="s">
        <v>67</v>
      </c>
      <c r="AE13">
        <v>0</v>
      </c>
      <c r="AF13">
        <v>0.42105263157894735</v>
      </c>
      <c r="AG13" t="s">
        <v>67</v>
      </c>
      <c r="AH13" t="s">
        <v>182</v>
      </c>
      <c r="AM13" s="24" t="s">
        <v>182</v>
      </c>
      <c r="AN13">
        <v>12</v>
      </c>
    </row>
    <row r="14" spans="1:40" x14ac:dyDescent="0.2">
      <c r="A14">
        <v>19</v>
      </c>
      <c r="B14">
        <v>19</v>
      </c>
      <c r="C14" t="s">
        <v>15</v>
      </c>
      <c r="D14">
        <v>6</v>
      </c>
      <c r="E14">
        <v>89.17</v>
      </c>
      <c r="F14" t="s">
        <v>20</v>
      </c>
      <c r="G14" t="s">
        <v>24</v>
      </c>
      <c r="H14">
        <v>6</v>
      </c>
      <c r="I14">
        <v>14.9</v>
      </c>
      <c r="J14">
        <v>7</v>
      </c>
      <c r="K14">
        <v>566.95000000000005</v>
      </c>
      <c r="L14">
        <v>1</v>
      </c>
      <c r="M14" t="s">
        <v>134</v>
      </c>
      <c r="N14" t="s">
        <v>138</v>
      </c>
      <c r="O14" t="s">
        <v>142</v>
      </c>
      <c r="P14" t="s">
        <v>149</v>
      </c>
      <c r="Q14" t="s">
        <v>143</v>
      </c>
      <c r="R14" t="s">
        <v>158</v>
      </c>
      <c r="S14" t="s">
        <v>186</v>
      </c>
      <c r="T14" t="s">
        <v>185</v>
      </c>
      <c r="U14" t="s">
        <v>181</v>
      </c>
      <c r="V14" t="s">
        <v>177</v>
      </c>
      <c r="W14">
        <v>3</v>
      </c>
      <c r="X14">
        <v>2</v>
      </c>
      <c r="Y14">
        <v>0</v>
      </c>
      <c r="Z14">
        <v>1</v>
      </c>
      <c r="AA14">
        <v>2</v>
      </c>
      <c r="AB14" s="51">
        <v>8</v>
      </c>
      <c r="AC14" t="s">
        <v>98</v>
      </c>
      <c r="AD14" t="s">
        <v>67</v>
      </c>
      <c r="AE14">
        <v>0</v>
      </c>
      <c r="AF14">
        <v>0.73684210526315785</v>
      </c>
      <c r="AG14" t="s">
        <v>66</v>
      </c>
      <c r="AH14" t="s">
        <v>98</v>
      </c>
      <c r="AM14" s="23" t="s">
        <v>20</v>
      </c>
      <c r="AN14">
        <v>107</v>
      </c>
    </row>
    <row r="15" spans="1:40" x14ac:dyDescent="0.2">
      <c r="A15">
        <v>20</v>
      </c>
      <c r="B15">
        <v>41</v>
      </c>
      <c r="C15" t="s">
        <v>16</v>
      </c>
      <c r="D15">
        <v>47</v>
      </c>
      <c r="E15">
        <v>73.430000000000007</v>
      </c>
      <c r="F15" t="s">
        <v>20</v>
      </c>
      <c r="G15" t="s">
        <v>22</v>
      </c>
      <c r="H15">
        <v>3</v>
      </c>
      <c r="I15">
        <v>26.4</v>
      </c>
      <c r="J15">
        <v>3</v>
      </c>
      <c r="K15">
        <v>3673.76</v>
      </c>
      <c r="L15">
        <v>1</v>
      </c>
      <c r="M15" t="s">
        <v>134</v>
      </c>
      <c r="N15" t="s">
        <v>136</v>
      </c>
      <c r="O15" t="s">
        <v>142</v>
      </c>
      <c r="P15" t="s">
        <v>147</v>
      </c>
      <c r="Q15" t="s">
        <v>145</v>
      </c>
      <c r="R15" t="s">
        <v>158</v>
      </c>
      <c r="S15" t="s">
        <v>174</v>
      </c>
      <c r="T15" t="s">
        <v>175</v>
      </c>
      <c r="U15" t="s">
        <v>181</v>
      </c>
      <c r="V15" t="s">
        <v>184</v>
      </c>
      <c r="W15">
        <v>3</v>
      </c>
      <c r="X15">
        <v>0</v>
      </c>
      <c r="Y15">
        <v>4</v>
      </c>
      <c r="Z15">
        <v>1</v>
      </c>
      <c r="AA15">
        <v>1</v>
      </c>
      <c r="AB15" s="51">
        <v>9</v>
      </c>
      <c r="AC15" t="s">
        <v>98</v>
      </c>
      <c r="AD15" t="s">
        <v>67</v>
      </c>
      <c r="AE15">
        <v>0</v>
      </c>
      <c r="AF15">
        <v>0.54545454545454541</v>
      </c>
      <c r="AG15" t="s">
        <v>66</v>
      </c>
      <c r="AH15" t="s">
        <v>182</v>
      </c>
      <c r="AM15" s="24" t="s">
        <v>98</v>
      </c>
      <c r="AN15">
        <v>21</v>
      </c>
    </row>
    <row r="16" spans="1:40" x14ac:dyDescent="0.2">
      <c r="A16">
        <v>21</v>
      </c>
      <c r="B16">
        <v>61</v>
      </c>
      <c r="C16" t="s">
        <v>15</v>
      </c>
      <c r="D16">
        <v>55</v>
      </c>
      <c r="E16">
        <v>94.99</v>
      </c>
      <c r="F16" t="s">
        <v>18</v>
      </c>
      <c r="G16" t="s">
        <v>24</v>
      </c>
      <c r="H16">
        <v>4</v>
      </c>
      <c r="I16">
        <v>71.8</v>
      </c>
      <c r="J16">
        <v>4</v>
      </c>
      <c r="K16">
        <v>5598.06</v>
      </c>
      <c r="L16">
        <v>0</v>
      </c>
      <c r="M16" t="s">
        <v>134</v>
      </c>
      <c r="N16" t="s">
        <v>136</v>
      </c>
      <c r="O16" t="s">
        <v>140</v>
      </c>
      <c r="P16" t="s">
        <v>148</v>
      </c>
      <c r="Q16" t="s">
        <v>146</v>
      </c>
      <c r="R16" t="s">
        <v>159</v>
      </c>
      <c r="S16" t="s">
        <v>174</v>
      </c>
      <c r="T16" t="s">
        <v>183</v>
      </c>
      <c r="U16" t="s">
        <v>176</v>
      </c>
      <c r="V16" t="s">
        <v>180</v>
      </c>
      <c r="W16">
        <v>1</v>
      </c>
      <c r="X16">
        <v>0</v>
      </c>
      <c r="Y16">
        <v>2</v>
      </c>
      <c r="Z16">
        <v>2</v>
      </c>
      <c r="AA16">
        <v>0</v>
      </c>
      <c r="AB16" s="51">
        <v>5</v>
      </c>
      <c r="AC16" t="s">
        <v>182</v>
      </c>
      <c r="AD16" t="s">
        <v>67</v>
      </c>
      <c r="AE16">
        <v>0</v>
      </c>
      <c r="AF16">
        <v>0.33333333333333331</v>
      </c>
      <c r="AG16" t="s">
        <v>67</v>
      </c>
      <c r="AH16" t="s">
        <v>99</v>
      </c>
      <c r="AM16" s="24" t="s">
        <v>99</v>
      </c>
      <c r="AN16">
        <v>26</v>
      </c>
    </row>
    <row r="17" spans="1:40" x14ac:dyDescent="0.2">
      <c r="A17">
        <v>23</v>
      </c>
      <c r="B17">
        <v>55</v>
      </c>
      <c r="C17" t="s">
        <v>16</v>
      </c>
      <c r="D17">
        <v>52</v>
      </c>
      <c r="E17">
        <v>78.510000000000005</v>
      </c>
      <c r="F17" t="s">
        <v>18</v>
      </c>
      <c r="G17" t="s">
        <v>23</v>
      </c>
      <c r="H17">
        <v>0</v>
      </c>
      <c r="I17">
        <v>51.2</v>
      </c>
      <c r="J17">
        <v>9</v>
      </c>
      <c r="K17">
        <v>4026.17</v>
      </c>
      <c r="L17">
        <v>1</v>
      </c>
      <c r="M17" t="s">
        <v>134</v>
      </c>
      <c r="N17" t="s">
        <v>136</v>
      </c>
      <c r="O17" t="s">
        <v>142</v>
      </c>
      <c r="P17" t="s">
        <v>149</v>
      </c>
      <c r="Q17" t="s">
        <v>146</v>
      </c>
      <c r="R17" t="s">
        <v>159</v>
      </c>
      <c r="S17" t="s">
        <v>174</v>
      </c>
      <c r="T17" t="s">
        <v>185</v>
      </c>
      <c r="U17" t="s">
        <v>181</v>
      </c>
      <c r="V17" t="s">
        <v>180</v>
      </c>
      <c r="W17">
        <v>1</v>
      </c>
      <c r="X17">
        <v>0</v>
      </c>
      <c r="Y17">
        <v>0</v>
      </c>
      <c r="Z17">
        <v>1</v>
      </c>
      <c r="AA17">
        <v>0</v>
      </c>
      <c r="AB17" s="51">
        <v>2</v>
      </c>
      <c r="AC17" t="s">
        <v>99</v>
      </c>
      <c r="AD17" t="s">
        <v>67</v>
      </c>
      <c r="AE17">
        <v>0</v>
      </c>
      <c r="AF17">
        <v>0.6</v>
      </c>
      <c r="AG17" t="s">
        <v>66</v>
      </c>
      <c r="AH17" t="s">
        <v>98</v>
      </c>
      <c r="AM17" s="24" t="s">
        <v>182</v>
      </c>
      <c r="AN17">
        <v>60</v>
      </c>
    </row>
    <row r="18" spans="1:40" x14ac:dyDescent="0.2">
      <c r="A18">
        <v>24</v>
      </c>
      <c r="B18">
        <v>19</v>
      </c>
      <c r="C18" t="s">
        <v>16</v>
      </c>
      <c r="D18">
        <v>16</v>
      </c>
      <c r="E18">
        <v>92.61</v>
      </c>
      <c r="F18" t="s">
        <v>19</v>
      </c>
      <c r="G18" t="s">
        <v>22</v>
      </c>
      <c r="H18">
        <v>1</v>
      </c>
      <c r="I18">
        <v>61.9</v>
      </c>
      <c r="J18">
        <v>6</v>
      </c>
      <c r="K18">
        <v>1428.08</v>
      </c>
      <c r="L18">
        <v>0</v>
      </c>
      <c r="M18" t="s">
        <v>134</v>
      </c>
      <c r="N18" t="s">
        <v>137</v>
      </c>
      <c r="O18" t="s">
        <v>140</v>
      </c>
      <c r="P18" t="s">
        <v>148</v>
      </c>
      <c r="Q18" t="s">
        <v>146</v>
      </c>
      <c r="R18" t="s">
        <v>160</v>
      </c>
      <c r="S18" t="s">
        <v>178</v>
      </c>
      <c r="T18" t="s">
        <v>183</v>
      </c>
      <c r="U18" t="s">
        <v>176</v>
      </c>
      <c r="V18" t="s">
        <v>180</v>
      </c>
      <c r="W18">
        <v>0</v>
      </c>
      <c r="X18">
        <v>1</v>
      </c>
      <c r="Y18">
        <v>2</v>
      </c>
      <c r="Z18">
        <v>2</v>
      </c>
      <c r="AA18">
        <v>0</v>
      </c>
      <c r="AB18" s="51">
        <v>5</v>
      </c>
      <c r="AC18" t="s">
        <v>182</v>
      </c>
      <c r="AD18" t="s">
        <v>67</v>
      </c>
      <c r="AE18">
        <v>0</v>
      </c>
      <c r="AF18">
        <v>0.33333333333333331</v>
      </c>
      <c r="AG18" t="s">
        <v>67</v>
      </c>
      <c r="AH18" t="s">
        <v>99</v>
      </c>
      <c r="AM18" s="23" t="s">
        <v>212</v>
      </c>
    </row>
    <row r="19" spans="1:40" x14ac:dyDescent="0.2">
      <c r="A19">
        <v>27</v>
      </c>
      <c r="B19">
        <v>29</v>
      </c>
      <c r="C19" t="s">
        <v>16</v>
      </c>
      <c r="D19">
        <v>19</v>
      </c>
      <c r="E19">
        <v>44.11</v>
      </c>
      <c r="F19" t="s">
        <v>20</v>
      </c>
      <c r="G19" t="s">
        <v>24</v>
      </c>
      <c r="H19">
        <v>1</v>
      </c>
      <c r="I19">
        <v>35.6</v>
      </c>
      <c r="J19">
        <v>9</v>
      </c>
      <c r="K19">
        <v>855.03</v>
      </c>
      <c r="L19">
        <v>0</v>
      </c>
      <c r="M19" t="s">
        <v>134</v>
      </c>
      <c r="N19" t="s">
        <v>137</v>
      </c>
      <c r="O19" t="s">
        <v>141</v>
      </c>
      <c r="P19" t="s">
        <v>149</v>
      </c>
      <c r="Q19" t="s">
        <v>145</v>
      </c>
      <c r="R19" t="s">
        <v>158</v>
      </c>
      <c r="S19" t="s">
        <v>178</v>
      </c>
      <c r="T19" t="s">
        <v>185</v>
      </c>
      <c r="U19" t="s">
        <v>179</v>
      </c>
      <c r="V19" t="s">
        <v>184</v>
      </c>
      <c r="W19">
        <v>3</v>
      </c>
      <c r="X19">
        <v>1</v>
      </c>
      <c r="Y19">
        <v>0</v>
      </c>
      <c r="Z19">
        <v>0</v>
      </c>
      <c r="AA19">
        <v>1</v>
      </c>
      <c r="AB19" s="51">
        <v>5</v>
      </c>
      <c r="AC19" t="s">
        <v>182</v>
      </c>
      <c r="AD19" t="s">
        <v>67</v>
      </c>
      <c r="AE19">
        <v>0</v>
      </c>
      <c r="AF19">
        <v>0.33333333333333331</v>
      </c>
      <c r="AG19" t="s">
        <v>67</v>
      </c>
      <c r="AH19" t="s">
        <v>99</v>
      </c>
      <c r="AM19" s="24" t="s">
        <v>99</v>
      </c>
    </row>
    <row r="20" spans="1:40" x14ac:dyDescent="0.2">
      <c r="A20">
        <v>28</v>
      </c>
      <c r="B20">
        <v>39</v>
      </c>
      <c r="C20" t="s">
        <v>15</v>
      </c>
      <c r="D20">
        <v>17</v>
      </c>
      <c r="E20">
        <v>40.5</v>
      </c>
      <c r="F20" t="s">
        <v>20</v>
      </c>
      <c r="G20" t="s">
        <v>24</v>
      </c>
      <c r="H20">
        <v>2</v>
      </c>
      <c r="I20">
        <v>65.5</v>
      </c>
      <c r="J20">
        <v>5</v>
      </c>
      <c r="K20">
        <v>716.81</v>
      </c>
      <c r="L20">
        <v>0</v>
      </c>
      <c r="M20" t="s">
        <v>134</v>
      </c>
      <c r="N20" t="s">
        <v>137</v>
      </c>
      <c r="O20" t="s">
        <v>141</v>
      </c>
      <c r="P20" t="s">
        <v>148</v>
      </c>
      <c r="Q20" t="s">
        <v>146</v>
      </c>
      <c r="R20" t="s">
        <v>158</v>
      </c>
      <c r="S20" t="s">
        <v>178</v>
      </c>
      <c r="T20" t="s">
        <v>183</v>
      </c>
      <c r="U20" t="s">
        <v>179</v>
      </c>
      <c r="V20" t="s">
        <v>180</v>
      </c>
      <c r="W20">
        <v>3</v>
      </c>
      <c r="X20">
        <v>1</v>
      </c>
      <c r="Y20">
        <v>2</v>
      </c>
      <c r="Z20">
        <v>0</v>
      </c>
      <c r="AA20">
        <v>0</v>
      </c>
      <c r="AB20" s="51">
        <v>6</v>
      </c>
      <c r="AC20" t="s">
        <v>182</v>
      </c>
      <c r="AD20" t="s">
        <v>67</v>
      </c>
      <c r="AE20">
        <v>0</v>
      </c>
      <c r="AF20">
        <v>0.33333333333333331</v>
      </c>
      <c r="AG20" t="s">
        <v>67</v>
      </c>
      <c r="AH20" t="s">
        <v>99</v>
      </c>
      <c r="AM20" s="23" t="s">
        <v>83</v>
      </c>
      <c r="AN20">
        <v>183</v>
      </c>
    </row>
    <row r="21" spans="1:40" x14ac:dyDescent="0.2">
      <c r="A21">
        <v>29</v>
      </c>
      <c r="B21">
        <v>61</v>
      </c>
      <c r="C21" t="s">
        <v>16</v>
      </c>
      <c r="D21">
        <v>63</v>
      </c>
      <c r="E21">
        <v>45.14</v>
      </c>
      <c r="F21" t="s">
        <v>18</v>
      </c>
      <c r="G21" t="s">
        <v>22</v>
      </c>
      <c r="H21">
        <v>1</v>
      </c>
      <c r="I21">
        <v>19.2</v>
      </c>
      <c r="J21">
        <v>5</v>
      </c>
      <c r="K21">
        <v>2950.98</v>
      </c>
      <c r="L21">
        <v>0</v>
      </c>
      <c r="M21" t="s">
        <v>134</v>
      </c>
      <c r="N21" t="s">
        <v>136</v>
      </c>
      <c r="O21" t="s">
        <v>141</v>
      </c>
      <c r="P21" t="s">
        <v>148</v>
      </c>
      <c r="Q21" t="s">
        <v>143</v>
      </c>
      <c r="R21" t="s">
        <v>159</v>
      </c>
      <c r="S21" t="s">
        <v>174</v>
      </c>
      <c r="T21" t="s">
        <v>183</v>
      </c>
      <c r="U21" t="s">
        <v>179</v>
      </c>
      <c r="V21" t="s">
        <v>177</v>
      </c>
      <c r="W21">
        <v>1</v>
      </c>
      <c r="X21">
        <v>0</v>
      </c>
      <c r="Y21">
        <v>2</v>
      </c>
      <c r="Z21">
        <v>0</v>
      </c>
      <c r="AA21">
        <v>2</v>
      </c>
      <c r="AB21" s="51">
        <v>5</v>
      </c>
      <c r="AC21" t="s">
        <v>182</v>
      </c>
      <c r="AD21" t="s">
        <v>67</v>
      </c>
      <c r="AE21">
        <v>0</v>
      </c>
      <c r="AF21">
        <v>0.33333333333333331</v>
      </c>
      <c r="AG21" t="s">
        <v>67</v>
      </c>
      <c r="AH21" t="s">
        <v>99</v>
      </c>
    </row>
    <row r="22" spans="1:40" x14ac:dyDescent="0.2">
      <c r="A22">
        <v>30</v>
      </c>
      <c r="B22">
        <v>42</v>
      </c>
      <c r="C22" t="s">
        <v>16</v>
      </c>
      <c r="D22">
        <v>19</v>
      </c>
      <c r="E22">
        <v>47.47</v>
      </c>
      <c r="F22" t="s">
        <v>19</v>
      </c>
      <c r="G22" t="s">
        <v>24</v>
      </c>
      <c r="H22">
        <v>1</v>
      </c>
      <c r="I22">
        <v>71.099999999999994</v>
      </c>
      <c r="J22">
        <v>4</v>
      </c>
      <c r="K22">
        <v>879.3</v>
      </c>
      <c r="L22">
        <v>1</v>
      </c>
      <c r="M22" t="s">
        <v>134</v>
      </c>
      <c r="N22" t="s">
        <v>137</v>
      </c>
      <c r="O22" t="s">
        <v>141</v>
      </c>
      <c r="P22" t="s">
        <v>148</v>
      </c>
      <c r="Q22" t="s">
        <v>146</v>
      </c>
      <c r="R22" t="s">
        <v>160</v>
      </c>
      <c r="S22" t="s">
        <v>178</v>
      </c>
      <c r="T22" t="s">
        <v>183</v>
      </c>
      <c r="U22" t="s">
        <v>179</v>
      </c>
      <c r="V22" t="s">
        <v>180</v>
      </c>
      <c r="W22">
        <v>0</v>
      </c>
      <c r="X22">
        <v>1</v>
      </c>
      <c r="Y22">
        <v>2</v>
      </c>
      <c r="Z22">
        <v>0</v>
      </c>
      <c r="AA22">
        <v>0</v>
      </c>
      <c r="AB22" s="51">
        <v>3</v>
      </c>
      <c r="AC22" t="s">
        <v>99</v>
      </c>
      <c r="AD22" t="s">
        <v>67</v>
      </c>
      <c r="AE22">
        <v>0</v>
      </c>
      <c r="AF22">
        <v>0.42105263157894735</v>
      </c>
      <c r="AG22" t="s">
        <v>67</v>
      </c>
      <c r="AH22" t="s">
        <v>182</v>
      </c>
    </row>
    <row r="23" spans="1:40" x14ac:dyDescent="0.2">
      <c r="A23">
        <v>31</v>
      </c>
      <c r="B23">
        <v>66</v>
      </c>
      <c r="C23" t="s">
        <v>15</v>
      </c>
      <c r="D23">
        <v>58</v>
      </c>
      <c r="E23">
        <v>40.72</v>
      </c>
      <c r="F23" t="s">
        <v>20</v>
      </c>
      <c r="G23" t="s">
        <v>22</v>
      </c>
      <c r="H23">
        <v>2</v>
      </c>
      <c r="I23">
        <v>75.900000000000006</v>
      </c>
      <c r="J23">
        <v>4</v>
      </c>
      <c r="K23">
        <v>2204.4</v>
      </c>
      <c r="L23">
        <v>1</v>
      </c>
      <c r="M23" t="s">
        <v>134</v>
      </c>
      <c r="N23" t="s">
        <v>136</v>
      </c>
      <c r="O23" t="s">
        <v>141</v>
      </c>
      <c r="P23" t="s">
        <v>148</v>
      </c>
      <c r="Q23" t="s">
        <v>146</v>
      </c>
      <c r="R23" t="s">
        <v>158</v>
      </c>
      <c r="S23" t="s">
        <v>174</v>
      </c>
      <c r="T23" t="s">
        <v>183</v>
      </c>
      <c r="U23" t="s">
        <v>179</v>
      </c>
      <c r="V23" t="s">
        <v>180</v>
      </c>
      <c r="W23">
        <v>3</v>
      </c>
      <c r="X23">
        <v>0</v>
      </c>
      <c r="Y23">
        <v>2</v>
      </c>
      <c r="Z23">
        <v>0</v>
      </c>
      <c r="AA23">
        <v>0</v>
      </c>
      <c r="AB23" s="51">
        <v>5</v>
      </c>
      <c r="AC23" t="s">
        <v>182</v>
      </c>
      <c r="AD23" t="s">
        <v>67</v>
      </c>
      <c r="AE23">
        <v>0</v>
      </c>
      <c r="AF23">
        <v>0.33333333333333331</v>
      </c>
      <c r="AG23" t="s">
        <v>67</v>
      </c>
      <c r="AH23" t="s">
        <v>99</v>
      </c>
    </row>
    <row r="24" spans="1:40" x14ac:dyDescent="0.2">
      <c r="A24">
        <v>32</v>
      </c>
      <c r="B24">
        <v>44</v>
      </c>
      <c r="C24" t="s">
        <v>15</v>
      </c>
      <c r="D24">
        <v>55</v>
      </c>
      <c r="E24">
        <v>107.82</v>
      </c>
      <c r="F24" t="s">
        <v>20</v>
      </c>
      <c r="G24" t="s">
        <v>24</v>
      </c>
      <c r="H24">
        <v>2</v>
      </c>
      <c r="I24">
        <v>98.3</v>
      </c>
      <c r="J24">
        <v>1</v>
      </c>
      <c r="K24">
        <v>5847.71</v>
      </c>
      <c r="L24">
        <v>0</v>
      </c>
      <c r="M24" t="s">
        <v>134</v>
      </c>
      <c r="N24" t="s">
        <v>136</v>
      </c>
      <c r="O24" t="s">
        <v>140</v>
      </c>
      <c r="P24" t="s">
        <v>147</v>
      </c>
      <c r="Q24" t="s">
        <v>144</v>
      </c>
      <c r="R24" t="s">
        <v>158</v>
      </c>
      <c r="S24" t="s">
        <v>174</v>
      </c>
      <c r="T24" t="s">
        <v>175</v>
      </c>
      <c r="U24" t="s">
        <v>176</v>
      </c>
      <c r="V24" t="s">
        <v>188</v>
      </c>
      <c r="W24">
        <v>3</v>
      </c>
      <c r="X24">
        <v>0</v>
      </c>
      <c r="Y24">
        <v>4</v>
      </c>
      <c r="Z24">
        <v>2</v>
      </c>
      <c r="AA24">
        <v>0</v>
      </c>
      <c r="AB24" s="51">
        <v>9</v>
      </c>
      <c r="AC24" t="s">
        <v>98</v>
      </c>
      <c r="AD24" t="s">
        <v>67</v>
      </c>
      <c r="AE24">
        <v>0</v>
      </c>
      <c r="AF24">
        <v>0.54545454545454541</v>
      </c>
      <c r="AG24" t="s">
        <v>66</v>
      </c>
      <c r="AH24" t="s">
        <v>182</v>
      </c>
    </row>
    <row r="25" spans="1:40" x14ac:dyDescent="0.2">
      <c r="A25">
        <v>34</v>
      </c>
      <c r="B25">
        <v>45</v>
      </c>
      <c r="C25" t="s">
        <v>15</v>
      </c>
      <c r="D25">
        <v>23</v>
      </c>
      <c r="E25">
        <v>24.69</v>
      </c>
      <c r="F25" t="s">
        <v>18</v>
      </c>
      <c r="G25" t="s">
        <v>22</v>
      </c>
      <c r="H25">
        <v>5</v>
      </c>
      <c r="I25">
        <v>83.4</v>
      </c>
      <c r="J25">
        <v>9</v>
      </c>
      <c r="K25">
        <v>612.16999999999996</v>
      </c>
      <c r="L25">
        <v>1</v>
      </c>
      <c r="M25" t="s">
        <v>134</v>
      </c>
      <c r="N25" t="s">
        <v>137</v>
      </c>
      <c r="O25" t="s">
        <v>139</v>
      </c>
      <c r="P25" t="s">
        <v>149</v>
      </c>
      <c r="Q25" t="s">
        <v>144</v>
      </c>
      <c r="R25" t="s">
        <v>159</v>
      </c>
      <c r="S25" t="s">
        <v>178</v>
      </c>
      <c r="T25" t="s">
        <v>185</v>
      </c>
      <c r="U25" t="s">
        <v>187</v>
      </c>
      <c r="V25" t="s">
        <v>188</v>
      </c>
      <c r="W25">
        <v>1</v>
      </c>
      <c r="X25">
        <v>1</v>
      </c>
      <c r="Y25">
        <v>0</v>
      </c>
      <c r="Z25">
        <v>0</v>
      </c>
      <c r="AA25">
        <v>0</v>
      </c>
      <c r="AB25" s="51">
        <v>2</v>
      </c>
      <c r="AC25" t="s">
        <v>99</v>
      </c>
      <c r="AD25" t="s">
        <v>67</v>
      </c>
      <c r="AE25">
        <v>0</v>
      </c>
      <c r="AF25">
        <v>0.6</v>
      </c>
      <c r="AG25" t="s">
        <v>66</v>
      </c>
      <c r="AH25" t="s">
        <v>98</v>
      </c>
    </row>
    <row r="26" spans="1:40" x14ac:dyDescent="0.2">
      <c r="A26">
        <v>35</v>
      </c>
      <c r="B26">
        <v>33</v>
      </c>
      <c r="C26" t="s">
        <v>15</v>
      </c>
      <c r="D26">
        <v>9</v>
      </c>
      <c r="E26">
        <v>46.87</v>
      </c>
      <c r="F26" t="s">
        <v>20</v>
      </c>
      <c r="G26" t="s">
        <v>24</v>
      </c>
      <c r="H26">
        <v>0</v>
      </c>
      <c r="I26">
        <v>54.4</v>
      </c>
      <c r="J26">
        <v>3</v>
      </c>
      <c r="K26">
        <v>408.83</v>
      </c>
      <c r="L26">
        <v>1</v>
      </c>
      <c r="M26" t="s">
        <v>134</v>
      </c>
      <c r="N26" t="s">
        <v>138</v>
      </c>
      <c r="O26" t="s">
        <v>141</v>
      </c>
      <c r="P26" t="s">
        <v>147</v>
      </c>
      <c r="Q26" t="s">
        <v>146</v>
      </c>
      <c r="R26" t="s">
        <v>158</v>
      </c>
      <c r="S26" t="s">
        <v>186</v>
      </c>
      <c r="T26" t="s">
        <v>175</v>
      </c>
      <c r="U26" t="s">
        <v>179</v>
      </c>
      <c r="V26" t="s">
        <v>180</v>
      </c>
      <c r="W26">
        <v>3</v>
      </c>
      <c r="X26">
        <v>2</v>
      </c>
      <c r="Y26">
        <v>4</v>
      </c>
      <c r="Z26">
        <v>0</v>
      </c>
      <c r="AA26">
        <v>0</v>
      </c>
      <c r="AB26" s="51">
        <v>9</v>
      </c>
      <c r="AC26" t="s">
        <v>98</v>
      </c>
      <c r="AD26" t="s">
        <v>67</v>
      </c>
      <c r="AE26">
        <v>0</v>
      </c>
      <c r="AF26">
        <v>0.54545454545454541</v>
      </c>
      <c r="AG26" t="s">
        <v>66</v>
      </c>
      <c r="AH26" t="s">
        <v>182</v>
      </c>
    </row>
    <row r="27" spans="1:40" x14ac:dyDescent="0.2">
      <c r="A27">
        <v>36</v>
      </c>
      <c r="B27">
        <v>32</v>
      </c>
      <c r="C27" t="s">
        <v>16</v>
      </c>
      <c r="D27">
        <v>12</v>
      </c>
      <c r="E27">
        <v>22.22</v>
      </c>
      <c r="F27" t="s">
        <v>20</v>
      </c>
      <c r="G27" t="s">
        <v>24</v>
      </c>
      <c r="H27">
        <v>1</v>
      </c>
      <c r="I27">
        <v>40.5</v>
      </c>
      <c r="J27">
        <v>2</v>
      </c>
      <c r="K27">
        <v>248.21</v>
      </c>
      <c r="L27">
        <v>0</v>
      </c>
      <c r="M27" t="s">
        <v>134</v>
      </c>
      <c r="N27" t="s">
        <v>137</v>
      </c>
      <c r="O27" t="s">
        <v>139</v>
      </c>
      <c r="P27" t="s">
        <v>147</v>
      </c>
      <c r="Q27" t="s">
        <v>146</v>
      </c>
      <c r="R27" t="s">
        <v>158</v>
      </c>
      <c r="S27" t="s">
        <v>178</v>
      </c>
      <c r="T27" t="s">
        <v>175</v>
      </c>
      <c r="U27" t="s">
        <v>187</v>
      </c>
      <c r="V27" t="s">
        <v>180</v>
      </c>
      <c r="W27">
        <v>3</v>
      </c>
      <c r="X27">
        <v>1</v>
      </c>
      <c r="Y27">
        <v>4</v>
      </c>
      <c r="Z27">
        <v>0</v>
      </c>
      <c r="AA27">
        <v>0</v>
      </c>
      <c r="AB27" s="51">
        <v>8</v>
      </c>
      <c r="AC27" t="s">
        <v>98</v>
      </c>
      <c r="AD27" t="s">
        <v>67</v>
      </c>
      <c r="AE27">
        <v>0</v>
      </c>
      <c r="AF27">
        <v>0.73684210526315785</v>
      </c>
      <c r="AG27" t="s">
        <v>66</v>
      </c>
      <c r="AH27" t="s">
        <v>98</v>
      </c>
    </row>
    <row r="28" spans="1:40" x14ac:dyDescent="0.2">
      <c r="A28">
        <v>37</v>
      </c>
      <c r="B28">
        <v>64</v>
      </c>
      <c r="C28" t="s">
        <v>16</v>
      </c>
      <c r="D28">
        <v>1</v>
      </c>
      <c r="E28">
        <v>69.819999999999993</v>
      </c>
      <c r="F28" t="s">
        <v>19</v>
      </c>
      <c r="G28" t="s">
        <v>23</v>
      </c>
      <c r="H28">
        <v>1</v>
      </c>
      <c r="I28">
        <v>16.600000000000001</v>
      </c>
      <c r="J28">
        <v>3</v>
      </c>
      <c r="K28">
        <v>63.19</v>
      </c>
      <c r="L28">
        <v>0</v>
      </c>
      <c r="M28" t="s">
        <v>134</v>
      </c>
      <c r="N28" t="s">
        <v>135</v>
      </c>
      <c r="O28" t="s">
        <v>142</v>
      </c>
      <c r="P28" t="s">
        <v>147</v>
      </c>
      <c r="Q28" t="s">
        <v>143</v>
      </c>
      <c r="R28" t="s">
        <v>160</v>
      </c>
      <c r="S28" t="s">
        <v>189</v>
      </c>
      <c r="T28" t="s">
        <v>175</v>
      </c>
      <c r="U28" t="s">
        <v>181</v>
      </c>
      <c r="V28" t="s">
        <v>177</v>
      </c>
      <c r="W28">
        <v>0</v>
      </c>
      <c r="X28">
        <v>3</v>
      </c>
      <c r="Y28">
        <v>4</v>
      </c>
      <c r="Z28">
        <v>1</v>
      </c>
      <c r="AA28">
        <v>2</v>
      </c>
      <c r="AB28" s="51">
        <v>10</v>
      </c>
      <c r="AC28" t="s">
        <v>98</v>
      </c>
      <c r="AD28" t="s">
        <v>67</v>
      </c>
      <c r="AE28">
        <v>0</v>
      </c>
      <c r="AF28">
        <v>0.5</v>
      </c>
      <c r="AG28" t="s">
        <v>66</v>
      </c>
      <c r="AH28" t="s">
        <v>182</v>
      </c>
    </row>
    <row r="29" spans="1:40" x14ac:dyDescent="0.2">
      <c r="A29">
        <v>38</v>
      </c>
      <c r="B29">
        <v>68</v>
      </c>
      <c r="C29" t="s">
        <v>15</v>
      </c>
      <c r="D29">
        <v>58</v>
      </c>
      <c r="E29">
        <v>67.62</v>
      </c>
      <c r="F29" t="s">
        <v>18</v>
      </c>
      <c r="G29" t="s">
        <v>22</v>
      </c>
      <c r="H29">
        <v>3</v>
      </c>
      <c r="I29">
        <v>74.900000000000006</v>
      </c>
      <c r="J29">
        <v>1</v>
      </c>
      <c r="K29">
        <v>4036.34</v>
      </c>
      <c r="L29">
        <v>0</v>
      </c>
      <c r="M29" t="s">
        <v>134</v>
      </c>
      <c r="N29" t="s">
        <v>136</v>
      </c>
      <c r="O29" t="s">
        <v>142</v>
      </c>
      <c r="P29" t="s">
        <v>147</v>
      </c>
      <c r="Q29" t="s">
        <v>146</v>
      </c>
      <c r="R29" t="s">
        <v>159</v>
      </c>
      <c r="S29" t="s">
        <v>174</v>
      </c>
      <c r="T29" t="s">
        <v>175</v>
      </c>
      <c r="U29" t="s">
        <v>181</v>
      </c>
      <c r="V29" t="s">
        <v>180</v>
      </c>
      <c r="W29">
        <v>1</v>
      </c>
      <c r="X29">
        <v>0</v>
      </c>
      <c r="Y29">
        <v>4</v>
      </c>
      <c r="Z29">
        <v>1</v>
      </c>
      <c r="AA29">
        <v>0</v>
      </c>
      <c r="AB29" s="51">
        <v>6</v>
      </c>
      <c r="AC29" t="s">
        <v>182</v>
      </c>
      <c r="AD29" t="s">
        <v>67</v>
      </c>
      <c r="AE29">
        <v>0</v>
      </c>
      <c r="AF29">
        <v>0.33333333333333331</v>
      </c>
      <c r="AG29" t="s">
        <v>67</v>
      </c>
      <c r="AH29" t="s">
        <v>99</v>
      </c>
    </row>
    <row r="30" spans="1:40" x14ac:dyDescent="0.2">
      <c r="A30">
        <v>39</v>
      </c>
      <c r="B30">
        <v>61</v>
      </c>
      <c r="C30" t="s">
        <v>16</v>
      </c>
      <c r="D30">
        <v>1</v>
      </c>
      <c r="E30">
        <v>103.14</v>
      </c>
      <c r="F30" t="s">
        <v>20</v>
      </c>
      <c r="G30" t="s">
        <v>24</v>
      </c>
      <c r="H30">
        <v>2</v>
      </c>
      <c r="I30">
        <v>27.4</v>
      </c>
      <c r="J30">
        <v>6</v>
      </c>
      <c r="K30">
        <v>105.96</v>
      </c>
      <c r="L30">
        <v>1</v>
      </c>
      <c r="M30" t="s">
        <v>134</v>
      </c>
      <c r="N30" t="s">
        <v>135</v>
      </c>
      <c r="O30" t="s">
        <v>140</v>
      </c>
      <c r="P30" t="s">
        <v>148</v>
      </c>
      <c r="Q30" t="s">
        <v>145</v>
      </c>
      <c r="R30" t="s">
        <v>158</v>
      </c>
      <c r="S30" t="s">
        <v>189</v>
      </c>
      <c r="T30" t="s">
        <v>183</v>
      </c>
      <c r="U30" t="s">
        <v>176</v>
      </c>
      <c r="V30" t="s">
        <v>184</v>
      </c>
      <c r="W30">
        <v>3</v>
      </c>
      <c r="X30">
        <v>3</v>
      </c>
      <c r="Y30">
        <v>2</v>
      </c>
      <c r="Z30">
        <v>2</v>
      </c>
      <c r="AA30">
        <v>1</v>
      </c>
      <c r="AB30" s="51">
        <v>11</v>
      </c>
      <c r="AC30" t="s">
        <v>98</v>
      </c>
      <c r="AD30" t="s">
        <v>67</v>
      </c>
      <c r="AE30">
        <v>0</v>
      </c>
      <c r="AF30">
        <v>0.6</v>
      </c>
      <c r="AG30" t="s">
        <v>66</v>
      </c>
      <c r="AH30" t="s">
        <v>98</v>
      </c>
    </row>
    <row r="31" spans="1:40" x14ac:dyDescent="0.2">
      <c r="A31">
        <v>40</v>
      </c>
      <c r="B31">
        <v>69</v>
      </c>
      <c r="C31" t="s">
        <v>16</v>
      </c>
      <c r="D31">
        <v>34</v>
      </c>
      <c r="E31">
        <v>50.78</v>
      </c>
      <c r="F31" t="s">
        <v>18</v>
      </c>
      <c r="G31" t="s">
        <v>23</v>
      </c>
      <c r="H31">
        <v>2</v>
      </c>
      <c r="I31">
        <v>40.299999999999997</v>
      </c>
      <c r="J31">
        <v>7</v>
      </c>
      <c r="K31">
        <v>1671.48</v>
      </c>
      <c r="L31">
        <v>0</v>
      </c>
      <c r="M31" t="s">
        <v>134</v>
      </c>
      <c r="N31" t="s">
        <v>136</v>
      </c>
      <c r="O31" t="s">
        <v>141</v>
      </c>
      <c r="P31" t="s">
        <v>149</v>
      </c>
      <c r="Q31" t="s">
        <v>146</v>
      </c>
      <c r="R31" t="s">
        <v>159</v>
      </c>
      <c r="S31" t="s">
        <v>174</v>
      </c>
      <c r="T31" t="s">
        <v>185</v>
      </c>
      <c r="U31" t="s">
        <v>179</v>
      </c>
      <c r="V31" t="s">
        <v>180</v>
      </c>
      <c r="W31">
        <v>1</v>
      </c>
      <c r="X31">
        <v>0</v>
      </c>
      <c r="Y31">
        <v>0</v>
      </c>
      <c r="Z31">
        <v>0</v>
      </c>
      <c r="AA31">
        <v>0</v>
      </c>
      <c r="AB31" s="51">
        <v>1</v>
      </c>
      <c r="AC31" t="s">
        <v>99</v>
      </c>
      <c r="AD31" t="s">
        <v>67</v>
      </c>
      <c r="AE31">
        <v>0</v>
      </c>
      <c r="AF31">
        <v>0.25</v>
      </c>
      <c r="AG31" t="s">
        <v>67</v>
      </c>
      <c r="AH31" t="s">
        <v>99</v>
      </c>
    </row>
    <row r="32" spans="1:40" x14ac:dyDescent="0.2">
      <c r="A32">
        <v>41</v>
      </c>
      <c r="B32">
        <v>20</v>
      </c>
      <c r="C32" t="s">
        <v>15</v>
      </c>
      <c r="D32">
        <v>48</v>
      </c>
      <c r="E32">
        <v>101.64</v>
      </c>
      <c r="F32" t="s">
        <v>18</v>
      </c>
      <c r="G32" t="s">
        <v>24</v>
      </c>
      <c r="H32">
        <v>3</v>
      </c>
      <c r="I32">
        <v>10.9</v>
      </c>
      <c r="J32">
        <v>2</v>
      </c>
      <c r="K32">
        <v>4460.82</v>
      </c>
      <c r="L32">
        <v>1</v>
      </c>
      <c r="M32" t="s">
        <v>134</v>
      </c>
      <c r="N32" t="s">
        <v>136</v>
      </c>
      <c r="O32" t="s">
        <v>140</v>
      </c>
      <c r="P32" t="s">
        <v>147</v>
      </c>
      <c r="Q32" t="s">
        <v>143</v>
      </c>
      <c r="R32" t="s">
        <v>159</v>
      </c>
      <c r="S32" t="s">
        <v>174</v>
      </c>
      <c r="T32" t="s">
        <v>175</v>
      </c>
      <c r="U32" t="s">
        <v>176</v>
      </c>
      <c r="V32" t="s">
        <v>177</v>
      </c>
      <c r="W32">
        <v>1</v>
      </c>
      <c r="X32">
        <v>0</v>
      </c>
      <c r="Y32">
        <v>4</v>
      </c>
      <c r="Z32">
        <v>2</v>
      </c>
      <c r="AA32">
        <v>2</v>
      </c>
      <c r="AB32" s="51">
        <v>9</v>
      </c>
      <c r="AC32" t="s">
        <v>98</v>
      </c>
      <c r="AD32" t="s">
        <v>67</v>
      </c>
      <c r="AE32">
        <v>0</v>
      </c>
      <c r="AF32">
        <v>0.54545454545454541</v>
      </c>
      <c r="AG32" t="s">
        <v>66</v>
      </c>
      <c r="AH32" t="s">
        <v>182</v>
      </c>
    </row>
    <row r="33" spans="1:34" x14ac:dyDescent="0.2">
      <c r="A33">
        <v>42</v>
      </c>
      <c r="B33">
        <v>54</v>
      </c>
      <c r="C33" t="s">
        <v>16</v>
      </c>
      <c r="D33">
        <v>1</v>
      </c>
      <c r="E33">
        <v>116.8</v>
      </c>
      <c r="F33" t="s">
        <v>20</v>
      </c>
      <c r="G33" t="s">
        <v>22</v>
      </c>
      <c r="H33">
        <v>0</v>
      </c>
      <c r="I33">
        <v>81.099999999999994</v>
      </c>
      <c r="J33">
        <v>8</v>
      </c>
      <c r="K33">
        <v>114.69</v>
      </c>
      <c r="L33">
        <v>1</v>
      </c>
      <c r="M33" t="s">
        <v>134</v>
      </c>
      <c r="N33" t="s">
        <v>135</v>
      </c>
      <c r="O33" t="s">
        <v>140</v>
      </c>
      <c r="P33" t="s">
        <v>149</v>
      </c>
      <c r="Q33" t="s">
        <v>144</v>
      </c>
      <c r="R33" t="s">
        <v>158</v>
      </c>
      <c r="S33" t="s">
        <v>189</v>
      </c>
      <c r="T33" t="s">
        <v>185</v>
      </c>
      <c r="U33" t="s">
        <v>176</v>
      </c>
      <c r="V33" t="s">
        <v>188</v>
      </c>
      <c r="W33">
        <v>3</v>
      </c>
      <c r="X33">
        <v>3</v>
      </c>
      <c r="Y33">
        <v>0</v>
      </c>
      <c r="Z33">
        <v>2</v>
      </c>
      <c r="AA33">
        <v>0</v>
      </c>
      <c r="AB33" s="51">
        <v>8</v>
      </c>
      <c r="AC33" t="s">
        <v>98</v>
      </c>
      <c r="AD33" t="s">
        <v>67</v>
      </c>
      <c r="AE33">
        <v>0</v>
      </c>
      <c r="AF33">
        <v>0.73684210526315785</v>
      </c>
      <c r="AG33" t="s">
        <v>66</v>
      </c>
      <c r="AH33" t="s">
        <v>98</v>
      </c>
    </row>
    <row r="34" spans="1:34" x14ac:dyDescent="0.2">
      <c r="A34">
        <v>43</v>
      </c>
      <c r="B34">
        <v>68</v>
      </c>
      <c r="C34" t="s">
        <v>16</v>
      </c>
      <c r="D34">
        <v>16</v>
      </c>
      <c r="E34">
        <v>28.84</v>
      </c>
      <c r="F34" t="s">
        <v>20</v>
      </c>
      <c r="G34" t="s">
        <v>24</v>
      </c>
      <c r="H34">
        <v>2</v>
      </c>
      <c r="I34">
        <v>77.8</v>
      </c>
      <c r="J34">
        <v>6</v>
      </c>
      <c r="K34">
        <v>444.02</v>
      </c>
      <c r="L34">
        <v>1</v>
      </c>
      <c r="M34" t="s">
        <v>134</v>
      </c>
      <c r="N34" t="s">
        <v>137</v>
      </c>
      <c r="O34" t="s">
        <v>139</v>
      </c>
      <c r="P34" t="s">
        <v>148</v>
      </c>
      <c r="Q34" t="s">
        <v>146</v>
      </c>
      <c r="R34" t="s">
        <v>158</v>
      </c>
      <c r="S34" t="s">
        <v>178</v>
      </c>
      <c r="T34" t="s">
        <v>183</v>
      </c>
      <c r="U34" t="s">
        <v>187</v>
      </c>
      <c r="V34" t="s">
        <v>180</v>
      </c>
      <c r="W34">
        <v>3</v>
      </c>
      <c r="X34">
        <v>1</v>
      </c>
      <c r="Y34">
        <v>2</v>
      </c>
      <c r="Z34">
        <v>0</v>
      </c>
      <c r="AA34">
        <v>0</v>
      </c>
      <c r="AB34" s="51">
        <v>6</v>
      </c>
      <c r="AC34" t="s">
        <v>182</v>
      </c>
      <c r="AD34" t="s">
        <v>67</v>
      </c>
      <c r="AE34">
        <v>0</v>
      </c>
      <c r="AF34">
        <v>0.33333333333333331</v>
      </c>
      <c r="AG34" t="s">
        <v>67</v>
      </c>
      <c r="AH34" t="s">
        <v>99</v>
      </c>
    </row>
    <row r="35" spans="1:34" x14ac:dyDescent="0.2">
      <c r="A35">
        <v>44</v>
      </c>
      <c r="B35">
        <v>24</v>
      </c>
      <c r="C35" t="s">
        <v>15</v>
      </c>
      <c r="D35">
        <v>61</v>
      </c>
      <c r="E35">
        <v>99.18</v>
      </c>
      <c r="F35" t="s">
        <v>20</v>
      </c>
      <c r="G35" t="s">
        <v>24</v>
      </c>
      <c r="H35">
        <v>4</v>
      </c>
      <c r="I35">
        <v>74.7</v>
      </c>
      <c r="J35">
        <v>4</v>
      </c>
      <c r="K35">
        <v>6264.3</v>
      </c>
      <c r="L35">
        <v>0</v>
      </c>
      <c r="M35" t="s">
        <v>134</v>
      </c>
      <c r="N35" t="s">
        <v>136</v>
      </c>
      <c r="O35" t="s">
        <v>140</v>
      </c>
      <c r="P35" t="s">
        <v>148</v>
      </c>
      <c r="Q35" t="s">
        <v>146</v>
      </c>
      <c r="R35" t="s">
        <v>158</v>
      </c>
      <c r="S35" t="s">
        <v>174</v>
      </c>
      <c r="T35" t="s">
        <v>183</v>
      </c>
      <c r="U35" t="s">
        <v>176</v>
      </c>
      <c r="V35" t="s">
        <v>180</v>
      </c>
      <c r="W35">
        <v>3</v>
      </c>
      <c r="X35">
        <v>0</v>
      </c>
      <c r="Y35">
        <v>2</v>
      </c>
      <c r="Z35">
        <v>2</v>
      </c>
      <c r="AA35">
        <v>0</v>
      </c>
      <c r="AB35" s="51">
        <v>7</v>
      </c>
      <c r="AC35" t="s">
        <v>98</v>
      </c>
      <c r="AD35" t="s">
        <v>67</v>
      </c>
      <c r="AE35">
        <v>0</v>
      </c>
      <c r="AF35">
        <v>0.54166666666666663</v>
      </c>
      <c r="AG35" t="s">
        <v>66</v>
      </c>
      <c r="AH35" t="s">
        <v>182</v>
      </c>
    </row>
    <row r="36" spans="1:34" x14ac:dyDescent="0.2">
      <c r="A36">
        <v>45</v>
      </c>
      <c r="B36">
        <v>38</v>
      </c>
      <c r="C36" t="s">
        <v>15</v>
      </c>
      <c r="D36">
        <v>64</v>
      </c>
      <c r="E36">
        <v>79</v>
      </c>
      <c r="F36" t="s">
        <v>20</v>
      </c>
      <c r="G36" t="s">
        <v>24</v>
      </c>
      <c r="H36">
        <v>5</v>
      </c>
      <c r="I36">
        <v>33.4</v>
      </c>
      <c r="J36">
        <v>5</v>
      </c>
      <c r="K36">
        <v>5162.96</v>
      </c>
      <c r="L36">
        <v>1</v>
      </c>
      <c r="M36" t="s">
        <v>134</v>
      </c>
      <c r="N36" t="s">
        <v>136</v>
      </c>
      <c r="O36" t="s">
        <v>142</v>
      </c>
      <c r="P36" t="s">
        <v>148</v>
      </c>
      <c r="Q36" t="s">
        <v>145</v>
      </c>
      <c r="R36" t="s">
        <v>158</v>
      </c>
      <c r="S36" t="s">
        <v>174</v>
      </c>
      <c r="T36" t="s">
        <v>183</v>
      </c>
      <c r="U36" t="s">
        <v>181</v>
      </c>
      <c r="V36" t="s">
        <v>184</v>
      </c>
      <c r="W36">
        <v>3</v>
      </c>
      <c r="X36">
        <v>0</v>
      </c>
      <c r="Y36">
        <v>2</v>
      </c>
      <c r="Z36">
        <v>1</v>
      </c>
      <c r="AA36">
        <v>1</v>
      </c>
      <c r="AB36" s="51">
        <v>7</v>
      </c>
      <c r="AC36" t="s">
        <v>98</v>
      </c>
      <c r="AD36" t="s">
        <v>67</v>
      </c>
      <c r="AE36">
        <v>0</v>
      </c>
      <c r="AF36">
        <v>0.54166666666666663</v>
      </c>
      <c r="AG36" t="s">
        <v>66</v>
      </c>
      <c r="AH36" t="s">
        <v>182</v>
      </c>
    </row>
    <row r="37" spans="1:34" x14ac:dyDescent="0.2">
      <c r="A37">
        <v>46</v>
      </c>
      <c r="B37">
        <v>26</v>
      </c>
      <c r="C37" t="s">
        <v>16</v>
      </c>
      <c r="D37">
        <v>63</v>
      </c>
      <c r="E37">
        <v>68</v>
      </c>
      <c r="F37" t="s">
        <v>18</v>
      </c>
      <c r="G37" t="s">
        <v>24</v>
      </c>
      <c r="H37">
        <v>4</v>
      </c>
      <c r="I37">
        <v>21.5</v>
      </c>
      <c r="J37">
        <v>8</v>
      </c>
      <c r="K37">
        <v>4167.9799999999996</v>
      </c>
      <c r="L37">
        <v>0</v>
      </c>
      <c r="M37" t="s">
        <v>134</v>
      </c>
      <c r="N37" t="s">
        <v>136</v>
      </c>
      <c r="O37" t="s">
        <v>142</v>
      </c>
      <c r="P37" t="s">
        <v>149</v>
      </c>
      <c r="Q37" t="s">
        <v>145</v>
      </c>
      <c r="R37" t="s">
        <v>159</v>
      </c>
      <c r="S37" t="s">
        <v>174</v>
      </c>
      <c r="T37" t="s">
        <v>185</v>
      </c>
      <c r="U37" t="s">
        <v>181</v>
      </c>
      <c r="V37" t="s">
        <v>184</v>
      </c>
      <c r="W37">
        <v>1</v>
      </c>
      <c r="X37">
        <v>0</v>
      </c>
      <c r="Y37">
        <v>0</v>
      </c>
      <c r="Z37">
        <v>1</v>
      </c>
      <c r="AA37">
        <v>1</v>
      </c>
      <c r="AB37" s="51">
        <v>3</v>
      </c>
      <c r="AC37" t="s">
        <v>99</v>
      </c>
      <c r="AD37" t="s">
        <v>67</v>
      </c>
      <c r="AE37">
        <v>0</v>
      </c>
      <c r="AF37">
        <v>0.42105263157894735</v>
      </c>
      <c r="AG37" t="s">
        <v>67</v>
      </c>
      <c r="AH37" t="s">
        <v>182</v>
      </c>
    </row>
    <row r="38" spans="1:34" x14ac:dyDescent="0.2">
      <c r="A38">
        <v>48</v>
      </c>
      <c r="B38">
        <v>35</v>
      </c>
      <c r="C38" t="s">
        <v>15</v>
      </c>
      <c r="D38">
        <v>22</v>
      </c>
      <c r="E38">
        <v>98.47</v>
      </c>
      <c r="F38" t="s">
        <v>20</v>
      </c>
      <c r="G38" t="s">
        <v>23</v>
      </c>
      <c r="H38">
        <v>1</v>
      </c>
      <c r="I38">
        <v>52.1</v>
      </c>
      <c r="J38">
        <v>3</v>
      </c>
      <c r="K38">
        <v>2377.79</v>
      </c>
      <c r="L38">
        <v>1</v>
      </c>
      <c r="M38" t="s">
        <v>134</v>
      </c>
      <c r="N38" t="s">
        <v>137</v>
      </c>
      <c r="O38" t="s">
        <v>140</v>
      </c>
      <c r="P38" t="s">
        <v>147</v>
      </c>
      <c r="Q38" t="s">
        <v>146</v>
      </c>
      <c r="R38" t="s">
        <v>158</v>
      </c>
      <c r="S38" t="s">
        <v>178</v>
      </c>
      <c r="T38" t="s">
        <v>175</v>
      </c>
      <c r="U38" t="s">
        <v>176</v>
      </c>
      <c r="V38" t="s">
        <v>180</v>
      </c>
      <c r="W38">
        <v>3</v>
      </c>
      <c r="X38">
        <v>1</v>
      </c>
      <c r="Y38">
        <v>4</v>
      </c>
      <c r="Z38">
        <v>2</v>
      </c>
      <c r="AA38">
        <v>0</v>
      </c>
      <c r="AB38" s="51">
        <v>10</v>
      </c>
      <c r="AC38" t="s">
        <v>98</v>
      </c>
      <c r="AD38" t="s">
        <v>67</v>
      </c>
      <c r="AE38">
        <v>0</v>
      </c>
      <c r="AF38">
        <v>0.5</v>
      </c>
      <c r="AG38" t="s">
        <v>66</v>
      </c>
      <c r="AH38" t="s">
        <v>182</v>
      </c>
    </row>
    <row r="39" spans="1:34" x14ac:dyDescent="0.2">
      <c r="A39">
        <v>49</v>
      </c>
      <c r="B39">
        <v>21</v>
      </c>
      <c r="C39" t="s">
        <v>15</v>
      </c>
      <c r="D39">
        <v>67</v>
      </c>
      <c r="E39">
        <v>83.94</v>
      </c>
      <c r="F39" t="s">
        <v>20</v>
      </c>
      <c r="G39" t="s">
        <v>22</v>
      </c>
      <c r="H39">
        <v>3</v>
      </c>
      <c r="I39">
        <v>21.9</v>
      </c>
      <c r="J39">
        <v>4</v>
      </c>
      <c r="K39">
        <v>5572.24</v>
      </c>
      <c r="L39">
        <v>0</v>
      </c>
      <c r="M39" t="s">
        <v>134</v>
      </c>
      <c r="N39" t="s">
        <v>136</v>
      </c>
      <c r="O39" t="s">
        <v>142</v>
      </c>
      <c r="P39" t="s">
        <v>148</v>
      </c>
      <c r="Q39" t="s">
        <v>145</v>
      </c>
      <c r="R39" t="s">
        <v>158</v>
      </c>
      <c r="S39" t="s">
        <v>174</v>
      </c>
      <c r="T39" t="s">
        <v>183</v>
      </c>
      <c r="U39" t="s">
        <v>181</v>
      </c>
      <c r="V39" t="s">
        <v>184</v>
      </c>
      <c r="W39">
        <v>3</v>
      </c>
      <c r="X39">
        <v>0</v>
      </c>
      <c r="Y39">
        <v>2</v>
      </c>
      <c r="Z39">
        <v>1</v>
      </c>
      <c r="AA39">
        <v>1</v>
      </c>
      <c r="AB39" s="51">
        <v>7</v>
      </c>
      <c r="AC39" t="s">
        <v>98</v>
      </c>
      <c r="AD39" t="s">
        <v>67</v>
      </c>
      <c r="AE39">
        <v>0</v>
      </c>
      <c r="AF39">
        <v>0.54166666666666663</v>
      </c>
      <c r="AG39" t="s">
        <v>66</v>
      </c>
      <c r="AH39" t="s">
        <v>182</v>
      </c>
    </row>
    <row r="40" spans="1:34" x14ac:dyDescent="0.2">
      <c r="A40">
        <v>50</v>
      </c>
      <c r="B40">
        <v>42</v>
      </c>
      <c r="C40" t="s">
        <v>15</v>
      </c>
      <c r="D40">
        <v>26</v>
      </c>
      <c r="E40">
        <v>100.5</v>
      </c>
      <c r="F40" t="s">
        <v>20</v>
      </c>
      <c r="G40" t="s">
        <v>23</v>
      </c>
      <c r="H40">
        <v>2</v>
      </c>
      <c r="I40">
        <v>70.2</v>
      </c>
      <c r="J40">
        <v>1</v>
      </c>
      <c r="K40">
        <v>2711.39</v>
      </c>
      <c r="L40">
        <v>1</v>
      </c>
      <c r="M40" t="s">
        <v>134</v>
      </c>
      <c r="N40" t="s">
        <v>136</v>
      </c>
      <c r="O40" t="s">
        <v>140</v>
      </c>
      <c r="P40" t="s">
        <v>147</v>
      </c>
      <c r="Q40" t="s">
        <v>146</v>
      </c>
      <c r="R40" t="s">
        <v>158</v>
      </c>
      <c r="S40" t="s">
        <v>174</v>
      </c>
      <c r="T40" t="s">
        <v>175</v>
      </c>
      <c r="U40" t="s">
        <v>176</v>
      </c>
      <c r="V40" t="s">
        <v>180</v>
      </c>
      <c r="W40">
        <v>3</v>
      </c>
      <c r="X40">
        <v>0</v>
      </c>
      <c r="Y40">
        <v>4</v>
      </c>
      <c r="Z40">
        <v>2</v>
      </c>
      <c r="AA40">
        <v>0</v>
      </c>
      <c r="AB40" s="51">
        <v>9</v>
      </c>
      <c r="AC40" t="s">
        <v>98</v>
      </c>
      <c r="AD40" t="s">
        <v>67</v>
      </c>
      <c r="AE40">
        <v>0</v>
      </c>
      <c r="AF40">
        <v>0.54545454545454541</v>
      </c>
      <c r="AG40" t="s">
        <v>66</v>
      </c>
      <c r="AH40" t="s">
        <v>182</v>
      </c>
    </row>
    <row r="41" spans="1:34" x14ac:dyDescent="0.2">
      <c r="A41">
        <v>53</v>
      </c>
      <c r="B41">
        <v>26</v>
      </c>
      <c r="C41" t="s">
        <v>15</v>
      </c>
      <c r="D41">
        <v>57</v>
      </c>
      <c r="E41">
        <v>118.05</v>
      </c>
      <c r="F41" t="s">
        <v>20</v>
      </c>
      <c r="G41" t="s">
        <v>23</v>
      </c>
      <c r="H41">
        <v>2</v>
      </c>
      <c r="I41">
        <v>75.3</v>
      </c>
      <c r="J41">
        <v>8</v>
      </c>
      <c r="K41">
        <v>6093.02</v>
      </c>
      <c r="L41">
        <v>0</v>
      </c>
      <c r="M41" t="s">
        <v>134</v>
      </c>
      <c r="N41" t="s">
        <v>136</v>
      </c>
      <c r="O41" t="s">
        <v>140</v>
      </c>
      <c r="P41" t="s">
        <v>149</v>
      </c>
      <c r="Q41" t="s">
        <v>146</v>
      </c>
      <c r="R41" t="s">
        <v>158</v>
      </c>
      <c r="S41" t="s">
        <v>174</v>
      </c>
      <c r="T41" t="s">
        <v>185</v>
      </c>
      <c r="U41" t="s">
        <v>176</v>
      </c>
      <c r="V41" t="s">
        <v>180</v>
      </c>
      <c r="W41">
        <v>3</v>
      </c>
      <c r="X41">
        <v>0</v>
      </c>
      <c r="Y41">
        <v>0</v>
      </c>
      <c r="Z41">
        <v>2</v>
      </c>
      <c r="AA41">
        <v>0</v>
      </c>
      <c r="AB41" s="51">
        <v>5</v>
      </c>
      <c r="AC41" t="s">
        <v>182</v>
      </c>
      <c r="AD41" t="s">
        <v>67</v>
      </c>
      <c r="AE41">
        <v>0</v>
      </c>
      <c r="AF41">
        <v>0.33333333333333331</v>
      </c>
      <c r="AG41" t="s">
        <v>67</v>
      </c>
      <c r="AH41" t="s">
        <v>99</v>
      </c>
    </row>
    <row r="42" spans="1:34" x14ac:dyDescent="0.2">
      <c r="A42">
        <v>54</v>
      </c>
      <c r="B42">
        <v>43</v>
      </c>
      <c r="C42" t="s">
        <v>15</v>
      </c>
      <c r="D42">
        <v>29</v>
      </c>
      <c r="E42">
        <v>80.81</v>
      </c>
      <c r="F42" t="s">
        <v>20</v>
      </c>
      <c r="G42" t="s">
        <v>23</v>
      </c>
      <c r="H42">
        <v>1</v>
      </c>
      <c r="I42">
        <v>95.3</v>
      </c>
      <c r="J42">
        <v>10</v>
      </c>
      <c r="K42">
        <v>2346.0500000000002</v>
      </c>
      <c r="L42">
        <v>0</v>
      </c>
      <c r="M42" t="s">
        <v>134</v>
      </c>
      <c r="N42" t="s">
        <v>136</v>
      </c>
      <c r="O42" t="s">
        <v>142</v>
      </c>
      <c r="P42" t="s">
        <v>149</v>
      </c>
      <c r="Q42" t="s">
        <v>144</v>
      </c>
      <c r="R42" t="s">
        <v>158</v>
      </c>
      <c r="S42" t="s">
        <v>174</v>
      </c>
      <c r="T42" t="s">
        <v>185</v>
      </c>
      <c r="U42" t="s">
        <v>181</v>
      </c>
      <c r="V42" t="s">
        <v>188</v>
      </c>
      <c r="W42">
        <v>3</v>
      </c>
      <c r="X42">
        <v>0</v>
      </c>
      <c r="Y42">
        <v>0</v>
      </c>
      <c r="Z42">
        <v>1</v>
      </c>
      <c r="AA42">
        <v>0</v>
      </c>
      <c r="AB42" s="51">
        <v>4</v>
      </c>
      <c r="AC42" t="s">
        <v>182</v>
      </c>
      <c r="AD42" t="s">
        <v>67</v>
      </c>
      <c r="AE42">
        <v>0</v>
      </c>
      <c r="AF42">
        <v>0.40740740740740738</v>
      </c>
      <c r="AG42" t="s">
        <v>67</v>
      </c>
      <c r="AH42" t="s">
        <v>182</v>
      </c>
    </row>
    <row r="43" spans="1:34" x14ac:dyDescent="0.2">
      <c r="A43">
        <v>57</v>
      </c>
      <c r="B43">
        <v>45</v>
      </c>
      <c r="C43" t="s">
        <v>16</v>
      </c>
      <c r="D43">
        <v>62</v>
      </c>
      <c r="E43">
        <v>29.1</v>
      </c>
      <c r="F43" t="s">
        <v>20</v>
      </c>
      <c r="G43" t="s">
        <v>22</v>
      </c>
      <c r="H43">
        <v>3</v>
      </c>
      <c r="I43">
        <v>98.1</v>
      </c>
      <c r="J43">
        <v>6</v>
      </c>
      <c r="K43">
        <v>1637.85</v>
      </c>
      <c r="L43">
        <v>0</v>
      </c>
      <c r="M43" t="s">
        <v>134</v>
      </c>
      <c r="N43" t="s">
        <v>136</v>
      </c>
      <c r="O43" t="s">
        <v>139</v>
      </c>
      <c r="P43" t="s">
        <v>148</v>
      </c>
      <c r="Q43" t="s">
        <v>144</v>
      </c>
      <c r="R43" t="s">
        <v>158</v>
      </c>
      <c r="S43" t="s">
        <v>174</v>
      </c>
      <c r="T43" t="s">
        <v>183</v>
      </c>
      <c r="U43" t="s">
        <v>187</v>
      </c>
      <c r="V43" t="s">
        <v>188</v>
      </c>
      <c r="W43">
        <v>3</v>
      </c>
      <c r="X43">
        <v>0</v>
      </c>
      <c r="Y43">
        <v>2</v>
      </c>
      <c r="Z43">
        <v>0</v>
      </c>
      <c r="AA43">
        <v>0</v>
      </c>
      <c r="AB43" s="51">
        <v>5</v>
      </c>
      <c r="AC43" t="s">
        <v>182</v>
      </c>
      <c r="AD43" t="s">
        <v>67</v>
      </c>
      <c r="AE43">
        <v>0</v>
      </c>
      <c r="AF43">
        <v>0.33333333333333331</v>
      </c>
      <c r="AG43" t="s">
        <v>67</v>
      </c>
      <c r="AH43" t="s">
        <v>99</v>
      </c>
    </row>
    <row r="44" spans="1:34" x14ac:dyDescent="0.2">
      <c r="A44">
        <v>59</v>
      </c>
      <c r="B44">
        <v>24</v>
      </c>
      <c r="C44" t="s">
        <v>15</v>
      </c>
      <c r="D44">
        <v>16</v>
      </c>
      <c r="E44">
        <v>74.739999999999995</v>
      </c>
      <c r="F44" t="s">
        <v>20</v>
      </c>
      <c r="G44" t="s">
        <v>24</v>
      </c>
      <c r="H44">
        <v>2</v>
      </c>
      <c r="I44">
        <v>71.5</v>
      </c>
      <c r="J44">
        <v>3</v>
      </c>
      <c r="K44">
        <v>1169.05</v>
      </c>
      <c r="L44">
        <v>1</v>
      </c>
      <c r="M44" t="s">
        <v>134</v>
      </c>
      <c r="N44" t="s">
        <v>137</v>
      </c>
      <c r="O44" t="s">
        <v>142</v>
      </c>
      <c r="P44" t="s">
        <v>147</v>
      </c>
      <c r="Q44" t="s">
        <v>146</v>
      </c>
      <c r="R44" t="s">
        <v>158</v>
      </c>
      <c r="S44" t="s">
        <v>178</v>
      </c>
      <c r="T44" t="s">
        <v>175</v>
      </c>
      <c r="U44" t="s">
        <v>181</v>
      </c>
      <c r="V44" t="s">
        <v>180</v>
      </c>
      <c r="W44">
        <v>3</v>
      </c>
      <c r="X44">
        <v>1</v>
      </c>
      <c r="Y44">
        <v>4</v>
      </c>
      <c r="Z44">
        <v>1</v>
      </c>
      <c r="AA44">
        <v>0</v>
      </c>
      <c r="AB44" s="51">
        <v>9</v>
      </c>
      <c r="AC44" t="s">
        <v>98</v>
      </c>
      <c r="AD44" t="s">
        <v>67</v>
      </c>
      <c r="AE44">
        <v>0</v>
      </c>
      <c r="AF44">
        <v>0.54545454545454541</v>
      </c>
      <c r="AG44" t="s">
        <v>66</v>
      </c>
      <c r="AH44" t="s">
        <v>182</v>
      </c>
    </row>
    <row r="45" spans="1:34" x14ac:dyDescent="0.2">
      <c r="A45">
        <v>60</v>
      </c>
      <c r="B45">
        <v>61</v>
      </c>
      <c r="C45" t="s">
        <v>15</v>
      </c>
      <c r="D45">
        <v>48</v>
      </c>
      <c r="E45">
        <v>65.09</v>
      </c>
      <c r="F45" t="s">
        <v>18</v>
      </c>
      <c r="G45" t="s">
        <v>22</v>
      </c>
      <c r="H45">
        <v>3</v>
      </c>
      <c r="I45">
        <v>60.7</v>
      </c>
      <c r="J45">
        <v>3</v>
      </c>
      <c r="K45">
        <v>2911.88</v>
      </c>
      <c r="L45">
        <v>0</v>
      </c>
      <c r="M45" t="s">
        <v>134</v>
      </c>
      <c r="N45" t="s">
        <v>136</v>
      </c>
      <c r="O45" t="s">
        <v>142</v>
      </c>
      <c r="P45" t="s">
        <v>147</v>
      </c>
      <c r="Q45" t="s">
        <v>146</v>
      </c>
      <c r="R45" t="s">
        <v>159</v>
      </c>
      <c r="S45" t="s">
        <v>174</v>
      </c>
      <c r="T45" t="s">
        <v>175</v>
      </c>
      <c r="U45" t="s">
        <v>181</v>
      </c>
      <c r="V45" t="s">
        <v>180</v>
      </c>
      <c r="W45">
        <v>1</v>
      </c>
      <c r="X45">
        <v>0</v>
      </c>
      <c r="Y45">
        <v>4</v>
      </c>
      <c r="Z45">
        <v>1</v>
      </c>
      <c r="AA45">
        <v>0</v>
      </c>
      <c r="AB45" s="51">
        <v>6</v>
      </c>
      <c r="AC45" t="s">
        <v>182</v>
      </c>
      <c r="AD45" t="s">
        <v>67</v>
      </c>
      <c r="AE45">
        <v>0</v>
      </c>
      <c r="AF45">
        <v>0.33333333333333331</v>
      </c>
      <c r="AG45" t="s">
        <v>67</v>
      </c>
      <c r="AH45" t="s">
        <v>99</v>
      </c>
    </row>
    <row r="46" spans="1:34" x14ac:dyDescent="0.2">
      <c r="A46">
        <v>61</v>
      </c>
      <c r="B46">
        <v>25</v>
      </c>
      <c r="C46" t="s">
        <v>16</v>
      </c>
      <c r="D46">
        <v>39</v>
      </c>
      <c r="E46">
        <v>111.05</v>
      </c>
      <c r="F46" t="s">
        <v>18</v>
      </c>
      <c r="G46" t="s">
        <v>22</v>
      </c>
      <c r="H46">
        <v>3</v>
      </c>
      <c r="I46">
        <v>60.7</v>
      </c>
      <c r="J46">
        <v>3</v>
      </c>
      <c r="K46">
        <v>3918.08</v>
      </c>
      <c r="L46">
        <v>1</v>
      </c>
      <c r="M46" t="s">
        <v>134</v>
      </c>
      <c r="N46" t="s">
        <v>136</v>
      </c>
      <c r="O46" t="s">
        <v>140</v>
      </c>
      <c r="P46" t="s">
        <v>147</v>
      </c>
      <c r="Q46" t="s">
        <v>146</v>
      </c>
      <c r="R46" t="s">
        <v>159</v>
      </c>
      <c r="S46" t="s">
        <v>174</v>
      </c>
      <c r="T46" t="s">
        <v>175</v>
      </c>
      <c r="U46" t="s">
        <v>176</v>
      </c>
      <c r="V46" t="s">
        <v>180</v>
      </c>
      <c r="W46">
        <v>1</v>
      </c>
      <c r="X46">
        <v>0</v>
      </c>
      <c r="Y46">
        <v>4</v>
      </c>
      <c r="Z46">
        <v>2</v>
      </c>
      <c r="AA46">
        <v>0</v>
      </c>
      <c r="AB46" s="51">
        <v>7</v>
      </c>
      <c r="AC46" t="s">
        <v>98</v>
      </c>
      <c r="AD46" t="s">
        <v>67</v>
      </c>
      <c r="AE46">
        <v>0</v>
      </c>
      <c r="AF46">
        <v>0.54166666666666663</v>
      </c>
      <c r="AG46" t="s">
        <v>66</v>
      </c>
      <c r="AH46" t="s">
        <v>182</v>
      </c>
    </row>
    <row r="47" spans="1:34" x14ac:dyDescent="0.2">
      <c r="A47">
        <v>62</v>
      </c>
      <c r="B47">
        <v>64</v>
      </c>
      <c r="C47" t="s">
        <v>16</v>
      </c>
      <c r="D47">
        <v>33</v>
      </c>
      <c r="E47">
        <v>49.8</v>
      </c>
      <c r="F47" t="s">
        <v>20</v>
      </c>
      <c r="G47" t="s">
        <v>22</v>
      </c>
      <c r="H47">
        <v>3</v>
      </c>
      <c r="I47">
        <v>71.3</v>
      </c>
      <c r="J47">
        <v>10</v>
      </c>
      <c r="K47">
        <v>1727.61</v>
      </c>
      <c r="L47">
        <v>0</v>
      </c>
      <c r="M47" t="s">
        <v>134</v>
      </c>
      <c r="N47" t="s">
        <v>136</v>
      </c>
      <c r="O47" t="s">
        <v>141</v>
      </c>
      <c r="P47" t="s">
        <v>149</v>
      </c>
      <c r="Q47" t="s">
        <v>146</v>
      </c>
      <c r="R47" t="s">
        <v>158</v>
      </c>
      <c r="S47" t="s">
        <v>174</v>
      </c>
      <c r="T47" t="s">
        <v>185</v>
      </c>
      <c r="U47" t="s">
        <v>179</v>
      </c>
      <c r="V47" t="s">
        <v>180</v>
      </c>
      <c r="W47">
        <v>3</v>
      </c>
      <c r="X47">
        <v>0</v>
      </c>
      <c r="Y47">
        <v>0</v>
      </c>
      <c r="Z47">
        <v>0</v>
      </c>
      <c r="AA47">
        <v>0</v>
      </c>
      <c r="AB47" s="51">
        <v>3</v>
      </c>
      <c r="AC47" t="s">
        <v>99</v>
      </c>
      <c r="AD47" t="s">
        <v>67</v>
      </c>
      <c r="AE47">
        <v>0</v>
      </c>
      <c r="AF47">
        <v>0.42105263157894735</v>
      </c>
      <c r="AG47" t="s">
        <v>67</v>
      </c>
      <c r="AH47" t="s">
        <v>182</v>
      </c>
    </row>
    <row r="48" spans="1:34" x14ac:dyDescent="0.2">
      <c r="A48">
        <v>64</v>
      </c>
      <c r="B48">
        <v>31</v>
      </c>
      <c r="C48" t="s">
        <v>16</v>
      </c>
      <c r="D48">
        <v>10</v>
      </c>
      <c r="E48">
        <v>89.76</v>
      </c>
      <c r="F48" t="s">
        <v>19</v>
      </c>
      <c r="G48" t="s">
        <v>24</v>
      </c>
      <c r="H48">
        <v>2</v>
      </c>
      <c r="I48">
        <v>79.3</v>
      </c>
      <c r="J48">
        <v>9</v>
      </c>
      <c r="K48">
        <v>859.77</v>
      </c>
      <c r="L48">
        <v>0</v>
      </c>
      <c r="M48" t="s">
        <v>134</v>
      </c>
      <c r="N48" t="s">
        <v>138</v>
      </c>
      <c r="O48" t="s">
        <v>142</v>
      </c>
      <c r="P48" t="s">
        <v>149</v>
      </c>
      <c r="Q48" t="s">
        <v>146</v>
      </c>
      <c r="R48" t="s">
        <v>160</v>
      </c>
      <c r="S48" t="s">
        <v>186</v>
      </c>
      <c r="T48" t="s">
        <v>185</v>
      </c>
      <c r="U48" t="s">
        <v>181</v>
      </c>
      <c r="V48" t="s">
        <v>180</v>
      </c>
      <c r="W48">
        <v>0</v>
      </c>
      <c r="X48">
        <v>2</v>
      </c>
      <c r="Y48">
        <v>0</v>
      </c>
      <c r="Z48">
        <v>1</v>
      </c>
      <c r="AA48">
        <v>0</v>
      </c>
      <c r="AB48" s="51">
        <v>3</v>
      </c>
      <c r="AC48" t="s">
        <v>99</v>
      </c>
      <c r="AD48" t="s">
        <v>67</v>
      </c>
      <c r="AE48">
        <v>0</v>
      </c>
      <c r="AF48">
        <v>0.42105263157894735</v>
      </c>
      <c r="AG48" t="s">
        <v>67</v>
      </c>
      <c r="AH48" t="s">
        <v>182</v>
      </c>
    </row>
    <row r="49" spans="1:34" x14ac:dyDescent="0.2">
      <c r="A49">
        <v>65</v>
      </c>
      <c r="B49">
        <v>34</v>
      </c>
      <c r="C49" t="s">
        <v>16</v>
      </c>
      <c r="D49">
        <v>69</v>
      </c>
      <c r="E49">
        <v>99.65</v>
      </c>
      <c r="F49" t="s">
        <v>19</v>
      </c>
      <c r="G49" t="s">
        <v>23</v>
      </c>
      <c r="H49">
        <v>0</v>
      </c>
      <c r="I49">
        <v>10.3</v>
      </c>
      <c r="J49">
        <v>4</v>
      </c>
      <c r="K49">
        <v>7426.03</v>
      </c>
      <c r="L49">
        <v>1</v>
      </c>
      <c r="M49" t="s">
        <v>134</v>
      </c>
      <c r="N49" t="s">
        <v>136</v>
      </c>
      <c r="O49" t="s">
        <v>140</v>
      </c>
      <c r="P49" t="s">
        <v>148</v>
      </c>
      <c r="Q49" t="s">
        <v>143</v>
      </c>
      <c r="R49" t="s">
        <v>160</v>
      </c>
      <c r="S49" t="s">
        <v>174</v>
      </c>
      <c r="T49" t="s">
        <v>183</v>
      </c>
      <c r="U49" t="s">
        <v>176</v>
      </c>
      <c r="V49" t="s">
        <v>177</v>
      </c>
      <c r="W49">
        <v>0</v>
      </c>
      <c r="X49">
        <v>0</v>
      </c>
      <c r="Y49">
        <v>2</v>
      </c>
      <c r="Z49">
        <v>2</v>
      </c>
      <c r="AA49">
        <v>2</v>
      </c>
      <c r="AB49" s="51">
        <v>6</v>
      </c>
      <c r="AC49" t="s">
        <v>182</v>
      </c>
      <c r="AD49" t="s">
        <v>67</v>
      </c>
      <c r="AE49">
        <v>0</v>
      </c>
      <c r="AF49">
        <v>0.33333333333333331</v>
      </c>
      <c r="AG49" t="s">
        <v>67</v>
      </c>
      <c r="AH49" t="s">
        <v>99</v>
      </c>
    </row>
    <row r="50" spans="1:34" x14ac:dyDescent="0.2">
      <c r="A50">
        <v>66</v>
      </c>
      <c r="B50">
        <v>53</v>
      </c>
      <c r="C50" t="s">
        <v>16</v>
      </c>
      <c r="D50">
        <v>34</v>
      </c>
      <c r="E50">
        <v>65.930000000000007</v>
      </c>
      <c r="F50" t="s">
        <v>20</v>
      </c>
      <c r="G50" t="s">
        <v>23</v>
      </c>
      <c r="H50">
        <v>1</v>
      </c>
      <c r="I50">
        <v>86</v>
      </c>
      <c r="J50">
        <v>7</v>
      </c>
      <c r="K50">
        <v>2069.5300000000002</v>
      </c>
      <c r="L50">
        <v>1</v>
      </c>
      <c r="M50" t="s">
        <v>134</v>
      </c>
      <c r="N50" t="s">
        <v>136</v>
      </c>
      <c r="O50" t="s">
        <v>142</v>
      </c>
      <c r="P50" t="s">
        <v>149</v>
      </c>
      <c r="Q50" t="s">
        <v>144</v>
      </c>
      <c r="R50" t="s">
        <v>158</v>
      </c>
      <c r="S50" t="s">
        <v>174</v>
      </c>
      <c r="T50" t="s">
        <v>185</v>
      </c>
      <c r="U50" t="s">
        <v>181</v>
      </c>
      <c r="V50" t="s">
        <v>188</v>
      </c>
      <c r="W50">
        <v>3</v>
      </c>
      <c r="X50">
        <v>0</v>
      </c>
      <c r="Y50">
        <v>0</v>
      </c>
      <c r="Z50">
        <v>1</v>
      </c>
      <c r="AA50">
        <v>0</v>
      </c>
      <c r="AB50" s="51">
        <v>4</v>
      </c>
      <c r="AC50" t="s">
        <v>182</v>
      </c>
      <c r="AD50" t="s">
        <v>67</v>
      </c>
      <c r="AE50">
        <v>0</v>
      </c>
      <c r="AF50">
        <v>0.40740740740740738</v>
      </c>
      <c r="AG50" t="s">
        <v>67</v>
      </c>
      <c r="AH50" t="s">
        <v>182</v>
      </c>
    </row>
    <row r="51" spans="1:34" x14ac:dyDescent="0.2">
      <c r="A51">
        <v>67</v>
      </c>
      <c r="B51">
        <v>67</v>
      </c>
      <c r="C51" t="s">
        <v>16</v>
      </c>
      <c r="D51">
        <v>52</v>
      </c>
      <c r="E51">
        <v>104.21</v>
      </c>
      <c r="F51" t="s">
        <v>20</v>
      </c>
      <c r="G51" t="s">
        <v>22</v>
      </c>
      <c r="H51">
        <v>3</v>
      </c>
      <c r="I51">
        <v>26.4</v>
      </c>
      <c r="J51">
        <v>9</v>
      </c>
      <c r="K51">
        <v>5913.04</v>
      </c>
      <c r="L51">
        <v>1</v>
      </c>
      <c r="M51" t="s">
        <v>134</v>
      </c>
      <c r="N51" t="s">
        <v>136</v>
      </c>
      <c r="O51" t="s">
        <v>140</v>
      </c>
      <c r="P51" t="s">
        <v>149</v>
      </c>
      <c r="Q51" t="s">
        <v>145</v>
      </c>
      <c r="R51" t="s">
        <v>158</v>
      </c>
      <c r="S51" t="s">
        <v>174</v>
      </c>
      <c r="T51" t="s">
        <v>185</v>
      </c>
      <c r="U51" t="s">
        <v>176</v>
      </c>
      <c r="V51" t="s">
        <v>184</v>
      </c>
      <c r="W51">
        <v>3</v>
      </c>
      <c r="X51">
        <v>0</v>
      </c>
      <c r="Y51">
        <v>0</v>
      </c>
      <c r="Z51">
        <v>2</v>
      </c>
      <c r="AA51">
        <v>1</v>
      </c>
      <c r="AB51" s="51">
        <v>6</v>
      </c>
      <c r="AC51" t="s">
        <v>182</v>
      </c>
      <c r="AD51" t="s">
        <v>67</v>
      </c>
      <c r="AE51">
        <v>0</v>
      </c>
      <c r="AF51">
        <v>0.33333333333333331</v>
      </c>
      <c r="AG51" t="s">
        <v>67</v>
      </c>
      <c r="AH51" t="s">
        <v>99</v>
      </c>
    </row>
    <row r="52" spans="1:34" x14ac:dyDescent="0.2">
      <c r="A52">
        <v>68</v>
      </c>
      <c r="B52">
        <v>57</v>
      </c>
      <c r="C52" t="s">
        <v>16</v>
      </c>
      <c r="D52">
        <v>10</v>
      </c>
      <c r="E52">
        <v>96.89</v>
      </c>
      <c r="F52" t="s">
        <v>19</v>
      </c>
      <c r="G52" t="s">
        <v>24</v>
      </c>
      <c r="H52">
        <v>0</v>
      </c>
      <c r="I52">
        <v>40.799999999999997</v>
      </c>
      <c r="J52">
        <v>7</v>
      </c>
      <c r="K52">
        <v>932.85</v>
      </c>
      <c r="L52">
        <v>1</v>
      </c>
      <c r="M52" t="s">
        <v>134</v>
      </c>
      <c r="N52" t="s">
        <v>138</v>
      </c>
      <c r="O52" t="s">
        <v>140</v>
      </c>
      <c r="P52" t="s">
        <v>149</v>
      </c>
      <c r="Q52" t="s">
        <v>146</v>
      </c>
      <c r="R52" t="s">
        <v>160</v>
      </c>
      <c r="S52" t="s">
        <v>186</v>
      </c>
      <c r="T52" t="s">
        <v>185</v>
      </c>
      <c r="U52" t="s">
        <v>176</v>
      </c>
      <c r="V52" t="s">
        <v>180</v>
      </c>
      <c r="W52">
        <v>0</v>
      </c>
      <c r="X52">
        <v>2</v>
      </c>
      <c r="Y52">
        <v>0</v>
      </c>
      <c r="Z52">
        <v>2</v>
      </c>
      <c r="AA52">
        <v>0</v>
      </c>
      <c r="AB52" s="51">
        <v>4</v>
      </c>
      <c r="AC52" t="s">
        <v>182</v>
      </c>
      <c r="AD52" t="s">
        <v>67</v>
      </c>
      <c r="AE52">
        <v>0</v>
      </c>
      <c r="AF52">
        <v>0.40740740740740738</v>
      </c>
      <c r="AG52" t="s">
        <v>67</v>
      </c>
      <c r="AH52" t="s">
        <v>182</v>
      </c>
    </row>
    <row r="53" spans="1:34" x14ac:dyDescent="0.2">
      <c r="A53">
        <v>69</v>
      </c>
      <c r="B53">
        <v>21</v>
      </c>
      <c r="C53" t="s">
        <v>16</v>
      </c>
      <c r="D53">
        <v>19</v>
      </c>
      <c r="E53">
        <v>26.62</v>
      </c>
      <c r="F53" t="s">
        <v>20</v>
      </c>
      <c r="G53" t="s">
        <v>24</v>
      </c>
      <c r="H53">
        <v>2</v>
      </c>
      <c r="I53">
        <v>48.9</v>
      </c>
      <c r="J53">
        <v>9</v>
      </c>
      <c r="K53">
        <v>545.07000000000005</v>
      </c>
      <c r="L53">
        <v>0</v>
      </c>
      <c r="M53" t="s">
        <v>134</v>
      </c>
      <c r="N53" t="s">
        <v>137</v>
      </c>
      <c r="O53" t="s">
        <v>139</v>
      </c>
      <c r="P53" t="s">
        <v>149</v>
      </c>
      <c r="Q53" t="s">
        <v>146</v>
      </c>
      <c r="R53" t="s">
        <v>158</v>
      </c>
      <c r="S53" t="s">
        <v>178</v>
      </c>
      <c r="T53" t="s">
        <v>185</v>
      </c>
      <c r="U53" t="s">
        <v>187</v>
      </c>
      <c r="V53" t="s">
        <v>180</v>
      </c>
      <c r="W53">
        <v>3</v>
      </c>
      <c r="X53">
        <v>1</v>
      </c>
      <c r="Y53">
        <v>0</v>
      </c>
      <c r="Z53">
        <v>0</v>
      </c>
      <c r="AA53">
        <v>0</v>
      </c>
      <c r="AB53" s="51">
        <v>4</v>
      </c>
      <c r="AC53" t="s">
        <v>182</v>
      </c>
      <c r="AD53" t="s">
        <v>67</v>
      </c>
      <c r="AE53">
        <v>0</v>
      </c>
      <c r="AF53">
        <v>0.40740740740740738</v>
      </c>
      <c r="AG53" t="s">
        <v>67</v>
      </c>
      <c r="AH53" t="s">
        <v>182</v>
      </c>
    </row>
    <row r="54" spans="1:34" x14ac:dyDescent="0.2">
      <c r="A54">
        <v>70</v>
      </c>
      <c r="B54">
        <v>19</v>
      </c>
      <c r="C54" t="s">
        <v>15</v>
      </c>
      <c r="D54">
        <v>58</v>
      </c>
      <c r="E54">
        <v>24.59</v>
      </c>
      <c r="F54" t="s">
        <v>20</v>
      </c>
      <c r="G54" t="s">
        <v>24</v>
      </c>
      <c r="H54">
        <v>1</v>
      </c>
      <c r="I54">
        <v>50.7</v>
      </c>
      <c r="J54">
        <v>3</v>
      </c>
      <c r="K54">
        <v>1455.58</v>
      </c>
      <c r="L54">
        <v>1</v>
      </c>
      <c r="M54" t="s">
        <v>134</v>
      </c>
      <c r="N54" t="s">
        <v>136</v>
      </c>
      <c r="O54" t="s">
        <v>139</v>
      </c>
      <c r="P54" t="s">
        <v>147</v>
      </c>
      <c r="Q54" t="s">
        <v>146</v>
      </c>
      <c r="R54" t="s">
        <v>158</v>
      </c>
      <c r="S54" t="s">
        <v>174</v>
      </c>
      <c r="T54" t="s">
        <v>175</v>
      </c>
      <c r="U54" t="s">
        <v>187</v>
      </c>
      <c r="V54" t="s">
        <v>180</v>
      </c>
      <c r="W54">
        <v>3</v>
      </c>
      <c r="X54">
        <v>0</v>
      </c>
      <c r="Y54">
        <v>4</v>
      </c>
      <c r="Z54">
        <v>0</v>
      </c>
      <c r="AA54">
        <v>0</v>
      </c>
      <c r="AB54" s="51">
        <v>7</v>
      </c>
      <c r="AC54" t="s">
        <v>98</v>
      </c>
      <c r="AD54" t="s">
        <v>67</v>
      </c>
      <c r="AE54">
        <v>0</v>
      </c>
      <c r="AF54">
        <v>0.54166666666666663</v>
      </c>
      <c r="AG54" t="s">
        <v>66</v>
      </c>
      <c r="AH54" t="s">
        <v>182</v>
      </c>
    </row>
    <row r="55" spans="1:34" x14ac:dyDescent="0.2">
      <c r="A55">
        <v>71</v>
      </c>
      <c r="B55">
        <v>23</v>
      </c>
      <c r="C55" t="s">
        <v>15</v>
      </c>
      <c r="D55">
        <v>1</v>
      </c>
      <c r="E55">
        <v>82.08</v>
      </c>
      <c r="F55" t="s">
        <v>19</v>
      </c>
      <c r="G55" t="s">
        <v>22</v>
      </c>
      <c r="H55">
        <v>3</v>
      </c>
      <c r="I55">
        <v>46.3</v>
      </c>
      <c r="J55">
        <v>4</v>
      </c>
      <c r="K55">
        <v>87.44</v>
      </c>
      <c r="L55">
        <v>0</v>
      </c>
      <c r="M55" t="s">
        <v>134</v>
      </c>
      <c r="N55" t="s">
        <v>135</v>
      </c>
      <c r="O55" t="s">
        <v>142</v>
      </c>
      <c r="P55" t="s">
        <v>148</v>
      </c>
      <c r="Q55" t="s">
        <v>146</v>
      </c>
      <c r="R55" t="s">
        <v>160</v>
      </c>
      <c r="S55" t="s">
        <v>189</v>
      </c>
      <c r="T55" t="s">
        <v>183</v>
      </c>
      <c r="U55" t="s">
        <v>181</v>
      </c>
      <c r="V55" t="s">
        <v>180</v>
      </c>
      <c r="W55">
        <v>0</v>
      </c>
      <c r="X55">
        <v>3</v>
      </c>
      <c r="Y55">
        <v>2</v>
      </c>
      <c r="Z55">
        <v>1</v>
      </c>
      <c r="AA55">
        <v>0</v>
      </c>
      <c r="AB55" s="51">
        <v>6</v>
      </c>
      <c r="AC55" t="s">
        <v>182</v>
      </c>
      <c r="AD55" t="s">
        <v>67</v>
      </c>
      <c r="AE55">
        <v>0</v>
      </c>
      <c r="AF55">
        <v>0.33333333333333331</v>
      </c>
      <c r="AG55" t="s">
        <v>67</v>
      </c>
      <c r="AH55" t="s">
        <v>99</v>
      </c>
    </row>
    <row r="56" spans="1:34" x14ac:dyDescent="0.2">
      <c r="A56">
        <v>72</v>
      </c>
      <c r="B56">
        <v>59</v>
      </c>
      <c r="C56" t="s">
        <v>16</v>
      </c>
      <c r="D56">
        <v>69</v>
      </c>
      <c r="E56">
        <v>54.74</v>
      </c>
      <c r="F56" t="s">
        <v>20</v>
      </c>
      <c r="G56" t="s">
        <v>23</v>
      </c>
      <c r="H56">
        <v>2</v>
      </c>
      <c r="I56">
        <v>94</v>
      </c>
      <c r="J56">
        <v>8</v>
      </c>
      <c r="K56">
        <v>4142.6899999999996</v>
      </c>
      <c r="L56">
        <v>1</v>
      </c>
      <c r="M56" t="s">
        <v>134</v>
      </c>
      <c r="N56" t="s">
        <v>136</v>
      </c>
      <c r="O56" t="s">
        <v>141</v>
      </c>
      <c r="P56" t="s">
        <v>149</v>
      </c>
      <c r="Q56" t="s">
        <v>144</v>
      </c>
      <c r="R56" t="s">
        <v>158</v>
      </c>
      <c r="S56" t="s">
        <v>174</v>
      </c>
      <c r="T56" t="s">
        <v>185</v>
      </c>
      <c r="U56" t="s">
        <v>179</v>
      </c>
      <c r="V56" t="s">
        <v>188</v>
      </c>
      <c r="W56">
        <v>3</v>
      </c>
      <c r="X56">
        <v>0</v>
      </c>
      <c r="Y56">
        <v>0</v>
      </c>
      <c r="Z56">
        <v>0</v>
      </c>
      <c r="AA56">
        <v>0</v>
      </c>
      <c r="AB56" s="51">
        <v>3</v>
      </c>
      <c r="AC56" t="s">
        <v>99</v>
      </c>
      <c r="AD56" t="s">
        <v>67</v>
      </c>
      <c r="AE56">
        <v>0</v>
      </c>
      <c r="AF56">
        <v>0.42105263157894735</v>
      </c>
      <c r="AG56" t="s">
        <v>67</v>
      </c>
      <c r="AH56" t="s">
        <v>182</v>
      </c>
    </row>
    <row r="57" spans="1:34" x14ac:dyDescent="0.2">
      <c r="A57">
        <v>73</v>
      </c>
      <c r="B57">
        <v>21</v>
      </c>
      <c r="C57" t="s">
        <v>15</v>
      </c>
      <c r="D57">
        <v>4</v>
      </c>
      <c r="E57">
        <v>40.909999999999997</v>
      </c>
      <c r="F57" t="s">
        <v>20</v>
      </c>
      <c r="G57" t="s">
        <v>22</v>
      </c>
      <c r="H57">
        <v>2</v>
      </c>
      <c r="I57">
        <v>72.099999999999994</v>
      </c>
      <c r="J57">
        <v>6</v>
      </c>
      <c r="K57">
        <v>156.71</v>
      </c>
      <c r="L57">
        <v>1</v>
      </c>
      <c r="M57" t="s">
        <v>134</v>
      </c>
      <c r="N57" t="s">
        <v>135</v>
      </c>
      <c r="O57" t="s">
        <v>141</v>
      </c>
      <c r="P57" t="s">
        <v>148</v>
      </c>
      <c r="Q57" t="s">
        <v>146</v>
      </c>
      <c r="R57" t="s">
        <v>158</v>
      </c>
      <c r="S57" t="s">
        <v>189</v>
      </c>
      <c r="T57" t="s">
        <v>183</v>
      </c>
      <c r="U57" t="s">
        <v>179</v>
      </c>
      <c r="V57" t="s">
        <v>180</v>
      </c>
      <c r="W57">
        <v>3</v>
      </c>
      <c r="X57">
        <v>3</v>
      </c>
      <c r="Y57">
        <v>2</v>
      </c>
      <c r="Z57">
        <v>0</v>
      </c>
      <c r="AA57">
        <v>0</v>
      </c>
      <c r="AB57" s="51">
        <v>8</v>
      </c>
      <c r="AC57" t="s">
        <v>98</v>
      </c>
      <c r="AD57" t="s">
        <v>67</v>
      </c>
      <c r="AE57">
        <v>0</v>
      </c>
      <c r="AF57">
        <v>0.73684210526315785</v>
      </c>
      <c r="AG57" t="s">
        <v>66</v>
      </c>
      <c r="AH57" t="s">
        <v>98</v>
      </c>
    </row>
    <row r="58" spans="1:34" x14ac:dyDescent="0.2">
      <c r="A58">
        <v>76</v>
      </c>
      <c r="B58">
        <v>43</v>
      </c>
      <c r="C58" t="s">
        <v>15</v>
      </c>
      <c r="D58">
        <v>2</v>
      </c>
      <c r="E58">
        <v>73.73</v>
      </c>
      <c r="F58" t="s">
        <v>20</v>
      </c>
      <c r="G58" t="s">
        <v>22</v>
      </c>
      <c r="H58">
        <v>2</v>
      </c>
      <c r="I58">
        <v>90.9</v>
      </c>
      <c r="J58">
        <v>8</v>
      </c>
      <c r="K58">
        <v>144.08000000000001</v>
      </c>
      <c r="L58">
        <v>1</v>
      </c>
      <c r="M58" t="s">
        <v>134</v>
      </c>
      <c r="N58" t="s">
        <v>135</v>
      </c>
      <c r="O58" t="s">
        <v>142</v>
      </c>
      <c r="P58" t="s">
        <v>149</v>
      </c>
      <c r="Q58" t="s">
        <v>144</v>
      </c>
      <c r="R58" t="s">
        <v>158</v>
      </c>
      <c r="S58" t="s">
        <v>189</v>
      </c>
      <c r="T58" t="s">
        <v>185</v>
      </c>
      <c r="U58" t="s">
        <v>181</v>
      </c>
      <c r="V58" t="s">
        <v>188</v>
      </c>
      <c r="W58">
        <v>3</v>
      </c>
      <c r="X58">
        <v>3</v>
      </c>
      <c r="Y58">
        <v>0</v>
      </c>
      <c r="Z58">
        <v>1</v>
      </c>
      <c r="AA58">
        <v>0</v>
      </c>
      <c r="AB58" s="51">
        <v>7</v>
      </c>
      <c r="AC58" t="s">
        <v>98</v>
      </c>
      <c r="AD58" t="s">
        <v>67</v>
      </c>
      <c r="AE58">
        <v>0</v>
      </c>
      <c r="AF58">
        <v>0.54166666666666663</v>
      </c>
      <c r="AG58" t="s">
        <v>66</v>
      </c>
      <c r="AH58" t="s">
        <v>182</v>
      </c>
    </row>
    <row r="59" spans="1:34" x14ac:dyDescent="0.2">
      <c r="A59">
        <v>77</v>
      </c>
      <c r="B59">
        <v>61</v>
      </c>
      <c r="C59" t="s">
        <v>16</v>
      </c>
      <c r="D59">
        <v>32</v>
      </c>
      <c r="E59">
        <v>66.010000000000005</v>
      </c>
      <c r="F59" t="s">
        <v>18</v>
      </c>
      <c r="G59" t="s">
        <v>23</v>
      </c>
      <c r="H59">
        <v>3</v>
      </c>
      <c r="I59">
        <v>91.4</v>
      </c>
      <c r="J59">
        <v>1</v>
      </c>
      <c r="K59">
        <v>2044.89</v>
      </c>
      <c r="L59">
        <v>0</v>
      </c>
      <c r="M59" t="s">
        <v>134</v>
      </c>
      <c r="N59" t="s">
        <v>136</v>
      </c>
      <c r="O59" t="s">
        <v>142</v>
      </c>
      <c r="P59" t="s">
        <v>147</v>
      </c>
      <c r="Q59" t="s">
        <v>144</v>
      </c>
      <c r="R59" t="s">
        <v>159</v>
      </c>
      <c r="S59" t="s">
        <v>174</v>
      </c>
      <c r="T59" t="s">
        <v>175</v>
      </c>
      <c r="U59" t="s">
        <v>181</v>
      </c>
      <c r="V59" t="s">
        <v>188</v>
      </c>
      <c r="W59">
        <v>1</v>
      </c>
      <c r="X59">
        <v>0</v>
      </c>
      <c r="Y59">
        <v>4</v>
      </c>
      <c r="Z59">
        <v>1</v>
      </c>
      <c r="AA59">
        <v>0</v>
      </c>
      <c r="AB59" s="51">
        <v>6</v>
      </c>
      <c r="AC59" t="s">
        <v>182</v>
      </c>
      <c r="AD59" t="s">
        <v>67</v>
      </c>
      <c r="AE59">
        <v>0</v>
      </c>
      <c r="AF59">
        <v>0.33333333333333331</v>
      </c>
      <c r="AG59" t="s">
        <v>67</v>
      </c>
      <c r="AH59" t="s">
        <v>99</v>
      </c>
    </row>
    <row r="60" spans="1:34" x14ac:dyDescent="0.2">
      <c r="A60">
        <v>78</v>
      </c>
      <c r="B60">
        <v>51</v>
      </c>
      <c r="C60" t="s">
        <v>15</v>
      </c>
      <c r="D60">
        <v>24</v>
      </c>
      <c r="E60">
        <v>78.48</v>
      </c>
      <c r="F60" t="s">
        <v>20</v>
      </c>
      <c r="G60" t="s">
        <v>23</v>
      </c>
      <c r="H60">
        <v>3</v>
      </c>
      <c r="I60">
        <v>79.099999999999994</v>
      </c>
      <c r="J60">
        <v>9</v>
      </c>
      <c r="K60">
        <v>1899.12</v>
      </c>
      <c r="L60">
        <v>0</v>
      </c>
      <c r="M60" t="s">
        <v>134</v>
      </c>
      <c r="N60" t="s">
        <v>136</v>
      </c>
      <c r="O60" t="s">
        <v>142</v>
      </c>
      <c r="P60" t="s">
        <v>149</v>
      </c>
      <c r="Q60" t="s">
        <v>146</v>
      </c>
      <c r="R60" t="s">
        <v>158</v>
      </c>
      <c r="S60" t="s">
        <v>174</v>
      </c>
      <c r="T60" t="s">
        <v>185</v>
      </c>
      <c r="U60" t="s">
        <v>181</v>
      </c>
      <c r="V60" t="s">
        <v>180</v>
      </c>
      <c r="W60">
        <v>3</v>
      </c>
      <c r="X60">
        <v>0</v>
      </c>
      <c r="Y60">
        <v>0</v>
      </c>
      <c r="Z60">
        <v>1</v>
      </c>
      <c r="AA60">
        <v>0</v>
      </c>
      <c r="AB60" s="51">
        <v>4</v>
      </c>
      <c r="AC60" t="s">
        <v>182</v>
      </c>
      <c r="AD60" t="s">
        <v>67</v>
      </c>
      <c r="AE60">
        <v>0</v>
      </c>
      <c r="AF60">
        <v>0.40740740740740738</v>
      </c>
      <c r="AG60" t="s">
        <v>67</v>
      </c>
      <c r="AH60" t="s">
        <v>182</v>
      </c>
    </row>
    <row r="61" spans="1:34" x14ac:dyDescent="0.2">
      <c r="A61">
        <v>79</v>
      </c>
      <c r="B61">
        <v>27</v>
      </c>
      <c r="C61" t="s">
        <v>15</v>
      </c>
      <c r="D61">
        <v>12</v>
      </c>
      <c r="E61">
        <v>60.03</v>
      </c>
      <c r="F61" t="s">
        <v>20</v>
      </c>
      <c r="G61" t="s">
        <v>24</v>
      </c>
      <c r="H61">
        <v>1</v>
      </c>
      <c r="I61">
        <v>5.7</v>
      </c>
      <c r="J61">
        <v>1</v>
      </c>
      <c r="K61">
        <v>670.53</v>
      </c>
      <c r="L61">
        <v>1</v>
      </c>
      <c r="M61" t="s">
        <v>134</v>
      </c>
      <c r="N61" t="s">
        <v>137</v>
      </c>
      <c r="O61" t="s">
        <v>142</v>
      </c>
      <c r="P61" t="s">
        <v>147</v>
      </c>
      <c r="Q61" t="s">
        <v>143</v>
      </c>
      <c r="R61" t="s">
        <v>158</v>
      </c>
      <c r="S61" t="s">
        <v>178</v>
      </c>
      <c r="T61" t="s">
        <v>175</v>
      </c>
      <c r="U61" t="s">
        <v>181</v>
      </c>
      <c r="V61" t="s">
        <v>177</v>
      </c>
      <c r="W61">
        <v>3</v>
      </c>
      <c r="X61">
        <v>1</v>
      </c>
      <c r="Y61">
        <v>4</v>
      </c>
      <c r="Z61">
        <v>1</v>
      </c>
      <c r="AA61">
        <v>2</v>
      </c>
      <c r="AB61" s="51">
        <v>11</v>
      </c>
      <c r="AC61" t="s">
        <v>98</v>
      </c>
      <c r="AD61" t="s">
        <v>67</v>
      </c>
      <c r="AE61">
        <v>0</v>
      </c>
      <c r="AF61">
        <v>0.6</v>
      </c>
      <c r="AG61" t="s">
        <v>66</v>
      </c>
      <c r="AH61" t="s">
        <v>98</v>
      </c>
    </row>
    <row r="62" spans="1:34" x14ac:dyDescent="0.2">
      <c r="A62">
        <v>83</v>
      </c>
      <c r="B62">
        <v>65</v>
      </c>
      <c r="C62" t="s">
        <v>15</v>
      </c>
      <c r="D62">
        <v>33</v>
      </c>
      <c r="E62">
        <v>61.17</v>
      </c>
      <c r="F62" t="s">
        <v>20</v>
      </c>
      <c r="G62" t="s">
        <v>23</v>
      </c>
      <c r="H62">
        <v>0</v>
      </c>
      <c r="I62">
        <v>42.9</v>
      </c>
      <c r="J62">
        <v>5</v>
      </c>
      <c r="K62">
        <v>2153.31</v>
      </c>
      <c r="L62">
        <v>0</v>
      </c>
      <c r="M62" t="s">
        <v>134</v>
      </c>
      <c r="N62" t="s">
        <v>136</v>
      </c>
      <c r="O62" t="s">
        <v>142</v>
      </c>
      <c r="P62" t="s">
        <v>148</v>
      </c>
      <c r="Q62" t="s">
        <v>146</v>
      </c>
      <c r="R62" t="s">
        <v>158</v>
      </c>
      <c r="S62" t="s">
        <v>174</v>
      </c>
      <c r="T62" t="s">
        <v>183</v>
      </c>
      <c r="U62" t="s">
        <v>181</v>
      </c>
      <c r="V62" t="s">
        <v>180</v>
      </c>
      <c r="W62">
        <v>3</v>
      </c>
      <c r="X62">
        <v>0</v>
      </c>
      <c r="Y62">
        <v>2</v>
      </c>
      <c r="Z62">
        <v>1</v>
      </c>
      <c r="AA62">
        <v>0</v>
      </c>
      <c r="AB62" s="51">
        <v>6</v>
      </c>
      <c r="AC62" t="s">
        <v>182</v>
      </c>
      <c r="AD62" t="s">
        <v>67</v>
      </c>
      <c r="AE62">
        <v>0</v>
      </c>
      <c r="AF62">
        <v>0.33333333333333331</v>
      </c>
      <c r="AG62" t="s">
        <v>67</v>
      </c>
      <c r="AH62" t="s">
        <v>99</v>
      </c>
    </row>
    <row r="63" spans="1:34" x14ac:dyDescent="0.2">
      <c r="A63">
        <v>84</v>
      </c>
      <c r="B63">
        <v>32</v>
      </c>
      <c r="C63" t="s">
        <v>15</v>
      </c>
      <c r="D63">
        <v>61</v>
      </c>
      <c r="E63">
        <v>107.43</v>
      </c>
      <c r="F63" t="s">
        <v>20</v>
      </c>
      <c r="G63" t="s">
        <v>24</v>
      </c>
      <c r="H63">
        <v>3</v>
      </c>
      <c r="I63">
        <v>92.6</v>
      </c>
      <c r="J63">
        <v>3</v>
      </c>
      <c r="K63">
        <v>6475.17</v>
      </c>
      <c r="L63">
        <v>0</v>
      </c>
      <c r="M63" t="s">
        <v>134</v>
      </c>
      <c r="N63" t="s">
        <v>136</v>
      </c>
      <c r="O63" t="s">
        <v>140</v>
      </c>
      <c r="P63" t="s">
        <v>147</v>
      </c>
      <c r="Q63" t="s">
        <v>144</v>
      </c>
      <c r="R63" t="s">
        <v>158</v>
      </c>
      <c r="S63" t="s">
        <v>174</v>
      </c>
      <c r="T63" t="s">
        <v>175</v>
      </c>
      <c r="U63" t="s">
        <v>176</v>
      </c>
      <c r="V63" t="s">
        <v>188</v>
      </c>
      <c r="W63">
        <v>3</v>
      </c>
      <c r="X63">
        <v>0</v>
      </c>
      <c r="Y63">
        <v>4</v>
      </c>
      <c r="Z63">
        <v>2</v>
      </c>
      <c r="AA63">
        <v>0</v>
      </c>
      <c r="AB63" s="51">
        <v>9</v>
      </c>
      <c r="AC63" t="s">
        <v>98</v>
      </c>
      <c r="AD63" t="s">
        <v>67</v>
      </c>
      <c r="AE63">
        <v>0</v>
      </c>
      <c r="AF63">
        <v>0.54545454545454541</v>
      </c>
      <c r="AG63" t="s">
        <v>66</v>
      </c>
      <c r="AH63" t="s">
        <v>182</v>
      </c>
    </row>
    <row r="64" spans="1:34" x14ac:dyDescent="0.2">
      <c r="A64">
        <v>85</v>
      </c>
      <c r="B64">
        <v>25</v>
      </c>
      <c r="C64" t="s">
        <v>15</v>
      </c>
      <c r="D64">
        <v>51</v>
      </c>
      <c r="E64">
        <v>71.52</v>
      </c>
      <c r="F64" t="s">
        <v>19</v>
      </c>
      <c r="G64" t="s">
        <v>24</v>
      </c>
      <c r="H64">
        <v>1</v>
      </c>
      <c r="I64">
        <v>49.8</v>
      </c>
      <c r="J64">
        <v>9</v>
      </c>
      <c r="K64">
        <v>3503.32</v>
      </c>
      <c r="L64">
        <v>0</v>
      </c>
      <c r="M64" t="s">
        <v>134</v>
      </c>
      <c r="N64" t="s">
        <v>136</v>
      </c>
      <c r="O64" t="s">
        <v>142</v>
      </c>
      <c r="P64" t="s">
        <v>149</v>
      </c>
      <c r="Q64" t="s">
        <v>146</v>
      </c>
      <c r="R64" t="s">
        <v>160</v>
      </c>
      <c r="S64" t="s">
        <v>174</v>
      </c>
      <c r="T64" t="s">
        <v>185</v>
      </c>
      <c r="U64" t="s">
        <v>181</v>
      </c>
      <c r="V64" t="s">
        <v>180</v>
      </c>
      <c r="W64">
        <v>0</v>
      </c>
      <c r="X64">
        <v>0</v>
      </c>
      <c r="Y64">
        <v>0</v>
      </c>
      <c r="Z64">
        <v>1</v>
      </c>
      <c r="AA64">
        <v>0</v>
      </c>
      <c r="AB64" s="51">
        <v>1</v>
      </c>
      <c r="AC64" t="s">
        <v>99</v>
      </c>
      <c r="AD64" t="s">
        <v>67</v>
      </c>
      <c r="AE64">
        <v>0</v>
      </c>
      <c r="AF64">
        <v>0.25</v>
      </c>
      <c r="AG64" t="s">
        <v>67</v>
      </c>
      <c r="AH64" t="s">
        <v>99</v>
      </c>
    </row>
    <row r="65" spans="1:34" x14ac:dyDescent="0.2">
      <c r="A65">
        <v>87</v>
      </c>
      <c r="B65">
        <v>40</v>
      </c>
      <c r="C65" t="s">
        <v>15</v>
      </c>
      <c r="D65">
        <v>12</v>
      </c>
      <c r="E65">
        <v>80.19</v>
      </c>
      <c r="F65" t="s">
        <v>20</v>
      </c>
      <c r="G65" t="s">
        <v>23</v>
      </c>
      <c r="H65">
        <v>2</v>
      </c>
      <c r="I65">
        <v>31.9</v>
      </c>
      <c r="J65">
        <v>4</v>
      </c>
      <c r="K65">
        <v>903.51</v>
      </c>
      <c r="L65">
        <v>1</v>
      </c>
      <c r="M65" t="s">
        <v>134</v>
      </c>
      <c r="N65" t="s">
        <v>137</v>
      </c>
      <c r="O65" t="s">
        <v>142</v>
      </c>
      <c r="P65" t="s">
        <v>148</v>
      </c>
      <c r="Q65" t="s">
        <v>145</v>
      </c>
      <c r="R65" t="s">
        <v>158</v>
      </c>
      <c r="S65" t="s">
        <v>178</v>
      </c>
      <c r="T65" t="s">
        <v>183</v>
      </c>
      <c r="U65" t="s">
        <v>181</v>
      </c>
      <c r="V65" t="s">
        <v>184</v>
      </c>
      <c r="W65">
        <v>3</v>
      </c>
      <c r="X65">
        <v>1</v>
      </c>
      <c r="Y65">
        <v>2</v>
      </c>
      <c r="Z65">
        <v>1</v>
      </c>
      <c r="AA65">
        <v>1</v>
      </c>
      <c r="AB65" s="51">
        <v>8</v>
      </c>
      <c r="AC65" t="s">
        <v>98</v>
      </c>
      <c r="AD65" t="s">
        <v>67</v>
      </c>
      <c r="AE65">
        <v>0</v>
      </c>
      <c r="AF65">
        <v>0.73684210526315785</v>
      </c>
      <c r="AG65" t="s">
        <v>66</v>
      </c>
      <c r="AH65" t="s">
        <v>98</v>
      </c>
    </row>
    <row r="66" spans="1:34" x14ac:dyDescent="0.2">
      <c r="A66">
        <v>89</v>
      </c>
      <c r="B66">
        <v>38</v>
      </c>
      <c r="C66" t="s">
        <v>15</v>
      </c>
      <c r="D66">
        <v>65</v>
      </c>
      <c r="E66">
        <v>102.18</v>
      </c>
      <c r="F66" t="s">
        <v>20</v>
      </c>
      <c r="G66" t="s">
        <v>23</v>
      </c>
      <c r="H66">
        <v>0</v>
      </c>
      <c r="I66">
        <v>8.4</v>
      </c>
      <c r="J66">
        <v>8</v>
      </c>
      <c r="K66">
        <v>6432.42</v>
      </c>
      <c r="L66">
        <v>0</v>
      </c>
      <c r="M66" t="s">
        <v>134</v>
      </c>
      <c r="N66" t="s">
        <v>136</v>
      </c>
      <c r="O66" t="s">
        <v>140</v>
      </c>
      <c r="P66" t="s">
        <v>149</v>
      </c>
      <c r="Q66" t="s">
        <v>143</v>
      </c>
      <c r="R66" t="s">
        <v>158</v>
      </c>
      <c r="S66" t="s">
        <v>174</v>
      </c>
      <c r="T66" t="s">
        <v>185</v>
      </c>
      <c r="U66" t="s">
        <v>176</v>
      </c>
      <c r="V66" t="s">
        <v>177</v>
      </c>
      <c r="W66">
        <v>3</v>
      </c>
      <c r="X66">
        <v>0</v>
      </c>
      <c r="Y66">
        <v>0</v>
      </c>
      <c r="Z66">
        <v>2</v>
      </c>
      <c r="AA66">
        <v>2</v>
      </c>
      <c r="AB66" s="51">
        <v>7</v>
      </c>
      <c r="AC66" t="s">
        <v>98</v>
      </c>
      <c r="AD66" t="s">
        <v>67</v>
      </c>
      <c r="AE66">
        <v>0</v>
      </c>
      <c r="AF66">
        <v>0.54166666666666663</v>
      </c>
      <c r="AG66" t="s">
        <v>66</v>
      </c>
      <c r="AH66" t="s">
        <v>182</v>
      </c>
    </row>
    <row r="67" spans="1:34" x14ac:dyDescent="0.2">
      <c r="A67">
        <v>90</v>
      </c>
      <c r="B67">
        <v>33</v>
      </c>
      <c r="C67" t="s">
        <v>15</v>
      </c>
      <c r="D67">
        <v>33</v>
      </c>
      <c r="E67">
        <v>54.51</v>
      </c>
      <c r="F67" t="s">
        <v>20</v>
      </c>
      <c r="G67" t="s">
        <v>24</v>
      </c>
      <c r="H67">
        <v>1</v>
      </c>
      <c r="I67">
        <v>31.2</v>
      </c>
      <c r="J67">
        <v>2</v>
      </c>
      <c r="K67">
        <v>1716.17</v>
      </c>
      <c r="L67">
        <v>1</v>
      </c>
      <c r="M67" t="s">
        <v>134</v>
      </c>
      <c r="N67" t="s">
        <v>136</v>
      </c>
      <c r="O67" t="s">
        <v>141</v>
      </c>
      <c r="P67" t="s">
        <v>147</v>
      </c>
      <c r="Q67" t="s">
        <v>145</v>
      </c>
      <c r="R67" t="s">
        <v>158</v>
      </c>
      <c r="S67" t="s">
        <v>174</v>
      </c>
      <c r="T67" t="s">
        <v>175</v>
      </c>
      <c r="U67" t="s">
        <v>179</v>
      </c>
      <c r="V67" t="s">
        <v>184</v>
      </c>
      <c r="W67">
        <v>3</v>
      </c>
      <c r="X67">
        <v>0</v>
      </c>
      <c r="Y67">
        <v>4</v>
      </c>
      <c r="Z67">
        <v>0</v>
      </c>
      <c r="AA67">
        <v>1</v>
      </c>
      <c r="AB67" s="51">
        <v>8</v>
      </c>
      <c r="AC67" t="s">
        <v>98</v>
      </c>
      <c r="AD67" t="s">
        <v>67</v>
      </c>
      <c r="AE67">
        <v>0</v>
      </c>
      <c r="AF67">
        <v>0.73684210526315785</v>
      </c>
      <c r="AG67" t="s">
        <v>66</v>
      </c>
      <c r="AH67" t="s">
        <v>98</v>
      </c>
    </row>
    <row r="68" spans="1:34" x14ac:dyDescent="0.2">
      <c r="A68">
        <v>94</v>
      </c>
      <c r="B68">
        <v>41</v>
      </c>
      <c r="C68" t="s">
        <v>16</v>
      </c>
      <c r="D68">
        <v>29</v>
      </c>
      <c r="E68">
        <v>73.44</v>
      </c>
      <c r="F68" t="s">
        <v>20</v>
      </c>
      <c r="G68" t="s">
        <v>22</v>
      </c>
      <c r="H68">
        <v>3</v>
      </c>
      <c r="I68">
        <v>40.299999999999997</v>
      </c>
      <c r="J68">
        <v>8</v>
      </c>
      <c r="K68">
        <v>2164.04</v>
      </c>
      <c r="L68">
        <v>0</v>
      </c>
      <c r="M68" t="s">
        <v>134</v>
      </c>
      <c r="N68" t="s">
        <v>136</v>
      </c>
      <c r="O68" t="s">
        <v>142</v>
      </c>
      <c r="P68" t="s">
        <v>149</v>
      </c>
      <c r="Q68" t="s">
        <v>146</v>
      </c>
      <c r="R68" t="s">
        <v>158</v>
      </c>
      <c r="S68" t="s">
        <v>174</v>
      </c>
      <c r="T68" t="s">
        <v>185</v>
      </c>
      <c r="U68" t="s">
        <v>181</v>
      </c>
      <c r="V68" t="s">
        <v>180</v>
      </c>
      <c r="W68">
        <v>3</v>
      </c>
      <c r="X68">
        <v>0</v>
      </c>
      <c r="Y68">
        <v>0</v>
      </c>
      <c r="Z68">
        <v>1</v>
      </c>
      <c r="AA68">
        <v>0</v>
      </c>
      <c r="AB68" s="51">
        <v>4</v>
      </c>
      <c r="AC68" t="s">
        <v>182</v>
      </c>
      <c r="AD68" t="s">
        <v>67</v>
      </c>
      <c r="AE68">
        <v>0</v>
      </c>
      <c r="AF68">
        <v>0.40740740740740738</v>
      </c>
      <c r="AG68" t="s">
        <v>67</v>
      </c>
      <c r="AH68" t="s">
        <v>182</v>
      </c>
    </row>
    <row r="69" spans="1:34" x14ac:dyDescent="0.2">
      <c r="A69">
        <v>96</v>
      </c>
      <c r="B69">
        <v>42</v>
      </c>
      <c r="C69" t="s">
        <v>15</v>
      </c>
      <c r="D69">
        <v>12</v>
      </c>
      <c r="E69">
        <v>109.42</v>
      </c>
      <c r="F69" t="s">
        <v>20</v>
      </c>
      <c r="G69" t="s">
        <v>22</v>
      </c>
      <c r="H69">
        <v>0</v>
      </c>
      <c r="I69">
        <v>85.3</v>
      </c>
      <c r="J69">
        <v>1</v>
      </c>
      <c r="K69">
        <v>1298.3499999999999</v>
      </c>
      <c r="L69">
        <v>1</v>
      </c>
      <c r="M69" t="s">
        <v>134</v>
      </c>
      <c r="N69" t="s">
        <v>137</v>
      </c>
      <c r="O69" t="s">
        <v>140</v>
      </c>
      <c r="P69" t="s">
        <v>147</v>
      </c>
      <c r="Q69" t="s">
        <v>144</v>
      </c>
      <c r="R69" t="s">
        <v>158</v>
      </c>
      <c r="S69" t="s">
        <v>178</v>
      </c>
      <c r="T69" t="s">
        <v>175</v>
      </c>
      <c r="U69" t="s">
        <v>176</v>
      </c>
      <c r="V69" t="s">
        <v>188</v>
      </c>
      <c r="W69">
        <v>3</v>
      </c>
      <c r="X69">
        <v>1</v>
      </c>
      <c r="Y69">
        <v>4</v>
      </c>
      <c r="Z69">
        <v>2</v>
      </c>
      <c r="AA69">
        <v>0</v>
      </c>
      <c r="AB69" s="51">
        <v>10</v>
      </c>
      <c r="AC69" t="s">
        <v>98</v>
      </c>
      <c r="AD69" t="s">
        <v>67</v>
      </c>
      <c r="AE69">
        <v>0</v>
      </c>
      <c r="AF69">
        <v>0.5</v>
      </c>
      <c r="AG69" t="s">
        <v>66</v>
      </c>
      <c r="AH69" t="s">
        <v>182</v>
      </c>
    </row>
    <row r="70" spans="1:34" x14ac:dyDescent="0.2">
      <c r="A70">
        <v>97</v>
      </c>
      <c r="B70">
        <v>62</v>
      </c>
      <c r="C70" t="s">
        <v>15</v>
      </c>
      <c r="D70">
        <v>46</v>
      </c>
      <c r="E70">
        <v>32.869999999999997</v>
      </c>
      <c r="F70" t="s">
        <v>18</v>
      </c>
      <c r="G70" t="s">
        <v>23</v>
      </c>
      <c r="H70">
        <v>6</v>
      </c>
      <c r="I70">
        <v>30.5</v>
      </c>
      <c r="J70">
        <v>3</v>
      </c>
      <c r="K70">
        <v>1550.19</v>
      </c>
      <c r="L70">
        <v>1</v>
      </c>
      <c r="M70" t="s">
        <v>134</v>
      </c>
      <c r="N70" t="s">
        <v>136</v>
      </c>
      <c r="O70" t="s">
        <v>141</v>
      </c>
      <c r="P70" t="s">
        <v>147</v>
      </c>
      <c r="Q70" t="s">
        <v>145</v>
      </c>
      <c r="R70" t="s">
        <v>159</v>
      </c>
      <c r="S70" t="s">
        <v>174</v>
      </c>
      <c r="T70" t="s">
        <v>175</v>
      </c>
      <c r="U70" t="s">
        <v>179</v>
      </c>
      <c r="V70" t="s">
        <v>184</v>
      </c>
      <c r="W70">
        <v>1</v>
      </c>
      <c r="X70">
        <v>0</v>
      </c>
      <c r="Y70">
        <v>4</v>
      </c>
      <c r="Z70">
        <v>0</v>
      </c>
      <c r="AA70">
        <v>1</v>
      </c>
      <c r="AB70" s="51">
        <v>6</v>
      </c>
      <c r="AC70" t="s">
        <v>182</v>
      </c>
      <c r="AD70" t="s">
        <v>67</v>
      </c>
      <c r="AE70">
        <v>0</v>
      </c>
      <c r="AF70">
        <v>0.33333333333333331</v>
      </c>
      <c r="AG70" t="s">
        <v>67</v>
      </c>
      <c r="AH70" t="s">
        <v>99</v>
      </c>
    </row>
    <row r="71" spans="1:34" x14ac:dyDescent="0.2">
      <c r="A71">
        <v>98</v>
      </c>
      <c r="B71">
        <v>58</v>
      </c>
      <c r="C71" t="s">
        <v>15</v>
      </c>
      <c r="D71">
        <v>2</v>
      </c>
      <c r="E71">
        <v>53.01</v>
      </c>
      <c r="F71" t="s">
        <v>20</v>
      </c>
      <c r="G71" t="s">
        <v>23</v>
      </c>
      <c r="H71">
        <v>1</v>
      </c>
      <c r="I71">
        <v>19.899999999999999</v>
      </c>
      <c r="J71">
        <v>2</v>
      </c>
      <c r="K71">
        <v>105.78</v>
      </c>
      <c r="L71">
        <v>1</v>
      </c>
      <c r="M71" t="s">
        <v>134</v>
      </c>
      <c r="N71" t="s">
        <v>135</v>
      </c>
      <c r="O71" t="s">
        <v>141</v>
      </c>
      <c r="P71" t="s">
        <v>147</v>
      </c>
      <c r="Q71" t="s">
        <v>143</v>
      </c>
      <c r="R71" t="s">
        <v>158</v>
      </c>
      <c r="S71" t="s">
        <v>189</v>
      </c>
      <c r="T71" t="s">
        <v>175</v>
      </c>
      <c r="U71" t="s">
        <v>179</v>
      </c>
      <c r="V71" t="s">
        <v>177</v>
      </c>
      <c r="W71">
        <v>3</v>
      </c>
      <c r="X71">
        <v>3</v>
      </c>
      <c r="Y71">
        <v>4</v>
      </c>
      <c r="Z71">
        <v>0</v>
      </c>
      <c r="AA71">
        <v>2</v>
      </c>
      <c r="AB71" s="51">
        <v>12</v>
      </c>
      <c r="AC71" t="s">
        <v>98</v>
      </c>
      <c r="AD71" t="s">
        <v>67</v>
      </c>
      <c r="AE71">
        <v>0</v>
      </c>
      <c r="AF71">
        <v>0.8</v>
      </c>
      <c r="AG71" t="s">
        <v>66</v>
      </c>
      <c r="AH71" t="s">
        <v>98</v>
      </c>
    </row>
    <row r="72" spans="1:34" x14ac:dyDescent="0.2">
      <c r="A72">
        <v>102</v>
      </c>
      <c r="B72">
        <v>18</v>
      </c>
      <c r="C72" t="s">
        <v>15</v>
      </c>
      <c r="D72">
        <v>34</v>
      </c>
      <c r="E72">
        <v>88.78</v>
      </c>
      <c r="F72" t="s">
        <v>20</v>
      </c>
      <c r="G72" t="s">
        <v>24</v>
      </c>
      <c r="H72">
        <v>6</v>
      </c>
      <c r="I72">
        <v>58.4</v>
      </c>
      <c r="J72">
        <v>4</v>
      </c>
      <c r="K72">
        <v>3093.02</v>
      </c>
      <c r="L72">
        <v>1</v>
      </c>
      <c r="M72" t="s">
        <v>134</v>
      </c>
      <c r="N72" t="s">
        <v>136</v>
      </c>
      <c r="O72" t="s">
        <v>142</v>
      </c>
      <c r="P72" t="s">
        <v>148</v>
      </c>
      <c r="Q72" t="s">
        <v>146</v>
      </c>
      <c r="R72" t="s">
        <v>158</v>
      </c>
      <c r="S72" t="s">
        <v>174</v>
      </c>
      <c r="T72" t="s">
        <v>183</v>
      </c>
      <c r="U72" t="s">
        <v>181</v>
      </c>
      <c r="V72" t="s">
        <v>180</v>
      </c>
      <c r="W72">
        <v>3</v>
      </c>
      <c r="X72">
        <v>0</v>
      </c>
      <c r="Y72">
        <v>2</v>
      </c>
      <c r="Z72">
        <v>1</v>
      </c>
      <c r="AA72">
        <v>0</v>
      </c>
      <c r="AB72" s="51">
        <v>6</v>
      </c>
      <c r="AC72" t="s">
        <v>182</v>
      </c>
      <c r="AD72" t="s">
        <v>67</v>
      </c>
      <c r="AE72">
        <v>0</v>
      </c>
      <c r="AF72">
        <v>0.33333333333333331</v>
      </c>
      <c r="AG72" t="s">
        <v>67</v>
      </c>
      <c r="AH72" t="s">
        <v>99</v>
      </c>
    </row>
    <row r="73" spans="1:34" x14ac:dyDescent="0.2">
      <c r="A73">
        <v>103</v>
      </c>
      <c r="B73">
        <v>42</v>
      </c>
      <c r="C73" t="s">
        <v>16</v>
      </c>
      <c r="D73">
        <v>7</v>
      </c>
      <c r="E73">
        <v>71.17</v>
      </c>
      <c r="F73" t="s">
        <v>20</v>
      </c>
      <c r="G73" t="s">
        <v>23</v>
      </c>
      <c r="H73">
        <v>2</v>
      </c>
      <c r="I73">
        <v>37.9</v>
      </c>
      <c r="J73">
        <v>5</v>
      </c>
      <c r="K73">
        <v>505.1</v>
      </c>
      <c r="L73">
        <v>1</v>
      </c>
      <c r="M73" t="s">
        <v>134</v>
      </c>
      <c r="N73" t="s">
        <v>138</v>
      </c>
      <c r="O73" t="s">
        <v>142</v>
      </c>
      <c r="P73" t="s">
        <v>148</v>
      </c>
      <c r="Q73" t="s">
        <v>145</v>
      </c>
      <c r="R73" t="s">
        <v>158</v>
      </c>
      <c r="S73" t="s">
        <v>186</v>
      </c>
      <c r="T73" t="s">
        <v>183</v>
      </c>
      <c r="U73" t="s">
        <v>181</v>
      </c>
      <c r="V73" t="s">
        <v>184</v>
      </c>
      <c r="W73">
        <v>3</v>
      </c>
      <c r="X73">
        <v>2</v>
      </c>
      <c r="Y73">
        <v>2</v>
      </c>
      <c r="Z73">
        <v>1</v>
      </c>
      <c r="AA73">
        <v>1</v>
      </c>
      <c r="AB73" s="51">
        <v>9</v>
      </c>
      <c r="AC73" t="s">
        <v>98</v>
      </c>
      <c r="AD73" t="s">
        <v>67</v>
      </c>
      <c r="AE73">
        <v>0</v>
      </c>
      <c r="AF73">
        <v>0.54545454545454541</v>
      </c>
      <c r="AG73" t="s">
        <v>66</v>
      </c>
      <c r="AH73" t="s">
        <v>182</v>
      </c>
    </row>
    <row r="74" spans="1:34" x14ac:dyDescent="0.2">
      <c r="A74">
        <v>106</v>
      </c>
      <c r="B74">
        <v>41</v>
      </c>
      <c r="C74" t="s">
        <v>16</v>
      </c>
      <c r="D74">
        <v>29</v>
      </c>
      <c r="E74">
        <v>20.260000000000002</v>
      </c>
      <c r="F74" t="s">
        <v>20</v>
      </c>
      <c r="G74" t="s">
        <v>23</v>
      </c>
      <c r="H74">
        <v>3</v>
      </c>
      <c r="I74">
        <v>13.2</v>
      </c>
      <c r="J74">
        <v>5</v>
      </c>
      <c r="K74">
        <v>575.22</v>
      </c>
      <c r="L74">
        <v>0</v>
      </c>
      <c r="M74" t="s">
        <v>134</v>
      </c>
      <c r="N74" t="s">
        <v>136</v>
      </c>
      <c r="O74" t="s">
        <v>139</v>
      </c>
      <c r="P74" t="s">
        <v>148</v>
      </c>
      <c r="Q74" t="s">
        <v>143</v>
      </c>
      <c r="R74" t="s">
        <v>158</v>
      </c>
      <c r="S74" t="s">
        <v>174</v>
      </c>
      <c r="T74" t="s">
        <v>183</v>
      </c>
      <c r="U74" t="s">
        <v>187</v>
      </c>
      <c r="V74" t="s">
        <v>177</v>
      </c>
      <c r="W74">
        <v>3</v>
      </c>
      <c r="X74">
        <v>0</v>
      </c>
      <c r="Y74">
        <v>2</v>
      </c>
      <c r="Z74">
        <v>0</v>
      </c>
      <c r="AA74">
        <v>2</v>
      </c>
      <c r="AB74" s="51">
        <v>7</v>
      </c>
      <c r="AC74" t="s">
        <v>98</v>
      </c>
      <c r="AD74" t="s">
        <v>67</v>
      </c>
      <c r="AE74">
        <v>0</v>
      </c>
      <c r="AF74">
        <v>0.54166666666666663</v>
      </c>
      <c r="AG74" t="s">
        <v>66</v>
      </c>
      <c r="AH74" t="s">
        <v>182</v>
      </c>
    </row>
    <row r="75" spans="1:34" x14ac:dyDescent="0.2">
      <c r="A75">
        <v>107</v>
      </c>
      <c r="B75">
        <v>18</v>
      </c>
      <c r="C75" t="s">
        <v>15</v>
      </c>
      <c r="D75">
        <v>36</v>
      </c>
      <c r="E75">
        <v>106.83</v>
      </c>
      <c r="F75" t="s">
        <v>20</v>
      </c>
      <c r="G75" t="s">
        <v>24</v>
      </c>
      <c r="H75">
        <v>0</v>
      </c>
      <c r="I75">
        <v>27.5</v>
      </c>
      <c r="J75">
        <v>9</v>
      </c>
      <c r="K75">
        <v>3491.64</v>
      </c>
      <c r="L75">
        <v>0</v>
      </c>
      <c r="M75" t="s">
        <v>134</v>
      </c>
      <c r="N75" t="s">
        <v>136</v>
      </c>
      <c r="O75" t="s">
        <v>140</v>
      </c>
      <c r="P75" t="s">
        <v>149</v>
      </c>
      <c r="Q75" t="s">
        <v>145</v>
      </c>
      <c r="R75" t="s">
        <v>158</v>
      </c>
      <c r="S75" t="s">
        <v>174</v>
      </c>
      <c r="T75" t="s">
        <v>185</v>
      </c>
      <c r="U75" t="s">
        <v>176</v>
      </c>
      <c r="V75" t="s">
        <v>184</v>
      </c>
      <c r="W75">
        <v>3</v>
      </c>
      <c r="X75">
        <v>0</v>
      </c>
      <c r="Y75">
        <v>0</v>
      </c>
      <c r="Z75">
        <v>2</v>
      </c>
      <c r="AA75">
        <v>1</v>
      </c>
      <c r="AB75" s="51">
        <v>6</v>
      </c>
      <c r="AC75" t="s">
        <v>182</v>
      </c>
      <c r="AD75" t="s">
        <v>67</v>
      </c>
      <c r="AE75">
        <v>0</v>
      </c>
      <c r="AF75">
        <v>0.33333333333333331</v>
      </c>
      <c r="AG75" t="s">
        <v>67</v>
      </c>
      <c r="AH75" t="s">
        <v>99</v>
      </c>
    </row>
    <row r="76" spans="1:34" x14ac:dyDescent="0.2">
      <c r="A76">
        <v>108</v>
      </c>
      <c r="B76">
        <v>61</v>
      </c>
      <c r="C76" t="s">
        <v>16</v>
      </c>
      <c r="D76">
        <v>21</v>
      </c>
      <c r="E76">
        <v>28.45</v>
      </c>
      <c r="F76" t="s">
        <v>20</v>
      </c>
      <c r="G76" t="s">
        <v>22</v>
      </c>
      <c r="H76">
        <v>1</v>
      </c>
      <c r="I76">
        <v>74.599999999999994</v>
      </c>
      <c r="J76">
        <v>9</v>
      </c>
      <c r="K76">
        <v>594.53</v>
      </c>
      <c r="L76">
        <v>0</v>
      </c>
      <c r="M76" t="s">
        <v>134</v>
      </c>
      <c r="N76" t="s">
        <v>137</v>
      </c>
      <c r="O76" t="s">
        <v>139</v>
      </c>
      <c r="P76" t="s">
        <v>149</v>
      </c>
      <c r="Q76" t="s">
        <v>146</v>
      </c>
      <c r="R76" t="s">
        <v>158</v>
      </c>
      <c r="S76" t="s">
        <v>178</v>
      </c>
      <c r="T76" t="s">
        <v>185</v>
      </c>
      <c r="U76" t="s">
        <v>187</v>
      </c>
      <c r="V76" t="s">
        <v>180</v>
      </c>
      <c r="W76">
        <v>3</v>
      </c>
      <c r="X76">
        <v>1</v>
      </c>
      <c r="Y76">
        <v>0</v>
      </c>
      <c r="Z76">
        <v>0</v>
      </c>
      <c r="AA76">
        <v>0</v>
      </c>
      <c r="AB76" s="51">
        <v>4</v>
      </c>
      <c r="AC76" t="s">
        <v>182</v>
      </c>
      <c r="AD76" t="s">
        <v>67</v>
      </c>
      <c r="AE76">
        <v>0</v>
      </c>
      <c r="AF76">
        <v>0.40740740740740738</v>
      </c>
      <c r="AG76" t="s">
        <v>67</v>
      </c>
      <c r="AH76" t="s">
        <v>182</v>
      </c>
    </row>
    <row r="77" spans="1:34" x14ac:dyDescent="0.2">
      <c r="A77">
        <v>109</v>
      </c>
      <c r="B77">
        <v>25</v>
      </c>
      <c r="C77" t="s">
        <v>15</v>
      </c>
      <c r="D77">
        <v>36</v>
      </c>
      <c r="E77">
        <v>79.73</v>
      </c>
      <c r="F77" t="s">
        <v>18</v>
      </c>
      <c r="G77" t="s">
        <v>23</v>
      </c>
      <c r="H77">
        <v>3</v>
      </c>
      <c r="I77">
        <v>57.1</v>
      </c>
      <c r="J77">
        <v>4</v>
      </c>
      <c r="K77">
        <v>2894.98</v>
      </c>
      <c r="L77">
        <v>1</v>
      </c>
      <c r="M77" t="s">
        <v>134</v>
      </c>
      <c r="N77" t="s">
        <v>136</v>
      </c>
      <c r="O77" t="s">
        <v>142</v>
      </c>
      <c r="P77" t="s">
        <v>148</v>
      </c>
      <c r="Q77" t="s">
        <v>146</v>
      </c>
      <c r="R77" t="s">
        <v>159</v>
      </c>
      <c r="S77" t="s">
        <v>174</v>
      </c>
      <c r="T77" t="s">
        <v>183</v>
      </c>
      <c r="U77" t="s">
        <v>181</v>
      </c>
      <c r="V77" t="s">
        <v>180</v>
      </c>
      <c r="W77">
        <v>1</v>
      </c>
      <c r="X77">
        <v>0</v>
      </c>
      <c r="Y77">
        <v>2</v>
      </c>
      <c r="Z77">
        <v>1</v>
      </c>
      <c r="AA77">
        <v>0</v>
      </c>
      <c r="AB77" s="51">
        <v>4</v>
      </c>
      <c r="AC77" t="s">
        <v>182</v>
      </c>
      <c r="AD77" t="s">
        <v>67</v>
      </c>
      <c r="AE77">
        <v>0</v>
      </c>
      <c r="AF77">
        <v>0.40740740740740738</v>
      </c>
      <c r="AG77" t="s">
        <v>67</v>
      </c>
      <c r="AH77" t="s">
        <v>182</v>
      </c>
    </row>
    <row r="78" spans="1:34" x14ac:dyDescent="0.2">
      <c r="A78">
        <v>110</v>
      </c>
      <c r="B78">
        <v>41</v>
      </c>
      <c r="C78" t="s">
        <v>16</v>
      </c>
      <c r="D78">
        <v>10</v>
      </c>
      <c r="E78">
        <v>118.63</v>
      </c>
      <c r="F78" t="s">
        <v>20</v>
      </c>
      <c r="G78" t="s">
        <v>23</v>
      </c>
      <c r="H78">
        <v>4</v>
      </c>
      <c r="I78">
        <v>17.2</v>
      </c>
      <c r="J78">
        <v>3</v>
      </c>
      <c r="K78">
        <v>1121.71</v>
      </c>
      <c r="L78">
        <v>0</v>
      </c>
      <c r="M78" t="s">
        <v>134</v>
      </c>
      <c r="N78" t="s">
        <v>138</v>
      </c>
      <c r="O78" t="s">
        <v>140</v>
      </c>
      <c r="P78" t="s">
        <v>147</v>
      </c>
      <c r="Q78" t="s">
        <v>143</v>
      </c>
      <c r="R78" t="s">
        <v>158</v>
      </c>
      <c r="S78" t="s">
        <v>186</v>
      </c>
      <c r="T78" t="s">
        <v>175</v>
      </c>
      <c r="U78" t="s">
        <v>176</v>
      </c>
      <c r="V78" t="s">
        <v>177</v>
      </c>
      <c r="W78">
        <v>3</v>
      </c>
      <c r="X78">
        <v>2</v>
      </c>
      <c r="Y78">
        <v>4</v>
      </c>
      <c r="Z78">
        <v>2</v>
      </c>
      <c r="AA78">
        <v>2</v>
      </c>
      <c r="AB78" s="51">
        <v>13</v>
      </c>
      <c r="AC78" t="s">
        <v>98</v>
      </c>
      <c r="AD78" t="s">
        <v>66</v>
      </c>
      <c r="AE78">
        <v>1</v>
      </c>
      <c r="AF78">
        <v>0.5</v>
      </c>
      <c r="AG78" t="s">
        <v>66</v>
      </c>
      <c r="AH78" t="s">
        <v>182</v>
      </c>
    </row>
    <row r="79" spans="1:34" x14ac:dyDescent="0.2">
      <c r="A79">
        <v>111</v>
      </c>
      <c r="B79">
        <v>28</v>
      </c>
      <c r="C79" t="s">
        <v>15</v>
      </c>
      <c r="D79">
        <v>24</v>
      </c>
      <c r="E79">
        <v>73.66</v>
      </c>
      <c r="F79" t="s">
        <v>19</v>
      </c>
      <c r="G79" t="s">
        <v>23</v>
      </c>
      <c r="H79">
        <v>1</v>
      </c>
      <c r="I79">
        <v>88.8</v>
      </c>
      <c r="J79">
        <v>1</v>
      </c>
      <c r="K79">
        <v>1931.91</v>
      </c>
      <c r="L79">
        <v>0</v>
      </c>
      <c r="M79" t="s">
        <v>134</v>
      </c>
      <c r="N79" t="s">
        <v>136</v>
      </c>
      <c r="O79" t="s">
        <v>142</v>
      </c>
      <c r="P79" t="s">
        <v>147</v>
      </c>
      <c r="Q79" t="s">
        <v>144</v>
      </c>
      <c r="R79" t="s">
        <v>160</v>
      </c>
      <c r="S79" t="s">
        <v>174</v>
      </c>
      <c r="T79" t="s">
        <v>175</v>
      </c>
      <c r="U79" t="s">
        <v>181</v>
      </c>
      <c r="V79" t="s">
        <v>188</v>
      </c>
      <c r="W79">
        <v>0</v>
      </c>
      <c r="X79">
        <v>0</v>
      </c>
      <c r="Y79">
        <v>4</v>
      </c>
      <c r="Z79">
        <v>1</v>
      </c>
      <c r="AA79">
        <v>0</v>
      </c>
      <c r="AB79" s="51">
        <v>5</v>
      </c>
      <c r="AC79" t="s">
        <v>182</v>
      </c>
      <c r="AD79" t="s">
        <v>67</v>
      </c>
      <c r="AE79">
        <v>0</v>
      </c>
      <c r="AF79">
        <v>0.33333333333333331</v>
      </c>
      <c r="AG79" t="s">
        <v>67</v>
      </c>
      <c r="AH79" t="s">
        <v>99</v>
      </c>
    </row>
    <row r="80" spans="1:34" x14ac:dyDescent="0.2">
      <c r="A80">
        <v>115</v>
      </c>
      <c r="B80">
        <v>52</v>
      </c>
      <c r="C80" t="s">
        <v>15</v>
      </c>
      <c r="D80">
        <v>24</v>
      </c>
      <c r="E80">
        <v>73.13</v>
      </c>
      <c r="F80" t="s">
        <v>18</v>
      </c>
      <c r="G80" t="s">
        <v>24</v>
      </c>
      <c r="H80">
        <v>3</v>
      </c>
      <c r="I80">
        <v>64.3</v>
      </c>
      <c r="J80">
        <v>8</v>
      </c>
      <c r="K80">
        <v>1884.99</v>
      </c>
      <c r="L80">
        <v>0</v>
      </c>
      <c r="M80" t="s">
        <v>134</v>
      </c>
      <c r="N80" t="s">
        <v>136</v>
      </c>
      <c r="O80" t="s">
        <v>142</v>
      </c>
      <c r="P80" t="s">
        <v>149</v>
      </c>
      <c r="Q80" t="s">
        <v>146</v>
      </c>
      <c r="R80" t="s">
        <v>159</v>
      </c>
      <c r="S80" t="s">
        <v>174</v>
      </c>
      <c r="T80" t="s">
        <v>185</v>
      </c>
      <c r="U80" t="s">
        <v>181</v>
      </c>
      <c r="V80" t="s">
        <v>180</v>
      </c>
      <c r="W80">
        <v>1</v>
      </c>
      <c r="X80">
        <v>0</v>
      </c>
      <c r="Y80">
        <v>0</v>
      </c>
      <c r="Z80">
        <v>1</v>
      </c>
      <c r="AA80">
        <v>0</v>
      </c>
      <c r="AB80" s="51">
        <v>2</v>
      </c>
      <c r="AC80" t="s">
        <v>99</v>
      </c>
      <c r="AD80" t="s">
        <v>67</v>
      </c>
      <c r="AE80">
        <v>0</v>
      </c>
      <c r="AF80">
        <v>0.6</v>
      </c>
      <c r="AG80" t="s">
        <v>66</v>
      </c>
      <c r="AH80" t="s">
        <v>98</v>
      </c>
    </row>
    <row r="81" spans="1:34" x14ac:dyDescent="0.2">
      <c r="A81">
        <v>116</v>
      </c>
      <c r="B81">
        <v>52</v>
      </c>
      <c r="C81" t="s">
        <v>16</v>
      </c>
      <c r="D81">
        <v>23</v>
      </c>
      <c r="E81">
        <v>92.05</v>
      </c>
      <c r="F81" t="s">
        <v>19</v>
      </c>
      <c r="G81" t="s">
        <v>22</v>
      </c>
      <c r="H81">
        <v>1</v>
      </c>
      <c r="I81">
        <v>52</v>
      </c>
      <c r="J81">
        <v>7</v>
      </c>
      <c r="K81">
        <v>1960.76</v>
      </c>
      <c r="L81">
        <v>1</v>
      </c>
      <c r="M81" t="s">
        <v>134</v>
      </c>
      <c r="N81" t="s">
        <v>137</v>
      </c>
      <c r="O81" t="s">
        <v>140</v>
      </c>
      <c r="P81" t="s">
        <v>149</v>
      </c>
      <c r="Q81" t="s">
        <v>146</v>
      </c>
      <c r="R81" t="s">
        <v>160</v>
      </c>
      <c r="S81" t="s">
        <v>178</v>
      </c>
      <c r="T81" t="s">
        <v>185</v>
      </c>
      <c r="U81" t="s">
        <v>176</v>
      </c>
      <c r="V81" t="s">
        <v>180</v>
      </c>
      <c r="W81">
        <v>0</v>
      </c>
      <c r="X81">
        <v>1</v>
      </c>
      <c r="Y81">
        <v>0</v>
      </c>
      <c r="Z81">
        <v>2</v>
      </c>
      <c r="AA81">
        <v>0</v>
      </c>
      <c r="AB81" s="51">
        <v>3</v>
      </c>
      <c r="AC81" t="s">
        <v>99</v>
      </c>
      <c r="AD81" t="s">
        <v>67</v>
      </c>
      <c r="AE81">
        <v>0</v>
      </c>
      <c r="AF81">
        <v>0.42105263157894735</v>
      </c>
      <c r="AG81" t="s">
        <v>67</v>
      </c>
      <c r="AH81" t="s">
        <v>182</v>
      </c>
    </row>
    <row r="82" spans="1:34" x14ac:dyDescent="0.2">
      <c r="A82">
        <v>117</v>
      </c>
      <c r="B82">
        <v>50</v>
      </c>
      <c r="C82" t="s">
        <v>16</v>
      </c>
      <c r="D82">
        <v>62</v>
      </c>
      <c r="E82">
        <v>26.23</v>
      </c>
      <c r="F82" t="s">
        <v>20</v>
      </c>
      <c r="G82" t="s">
        <v>24</v>
      </c>
      <c r="H82">
        <v>1</v>
      </c>
      <c r="I82">
        <v>98.1</v>
      </c>
      <c r="J82">
        <v>8</v>
      </c>
      <c r="K82">
        <v>1720.75</v>
      </c>
      <c r="L82">
        <v>1</v>
      </c>
      <c r="M82" t="s">
        <v>134</v>
      </c>
      <c r="N82" t="s">
        <v>136</v>
      </c>
      <c r="O82" t="s">
        <v>139</v>
      </c>
      <c r="P82" t="s">
        <v>149</v>
      </c>
      <c r="Q82" t="s">
        <v>144</v>
      </c>
      <c r="R82" t="s">
        <v>158</v>
      </c>
      <c r="S82" t="s">
        <v>174</v>
      </c>
      <c r="T82" t="s">
        <v>185</v>
      </c>
      <c r="U82" t="s">
        <v>187</v>
      </c>
      <c r="V82" t="s">
        <v>188</v>
      </c>
      <c r="W82">
        <v>3</v>
      </c>
      <c r="X82">
        <v>0</v>
      </c>
      <c r="Y82">
        <v>0</v>
      </c>
      <c r="Z82">
        <v>0</v>
      </c>
      <c r="AA82">
        <v>0</v>
      </c>
      <c r="AB82" s="51">
        <v>3</v>
      </c>
      <c r="AC82" t="s">
        <v>99</v>
      </c>
      <c r="AD82" t="s">
        <v>67</v>
      </c>
      <c r="AE82">
        <v>0</v>
      </c>
      <c r="AF82">
        <v>0.42105263157894735</v>
      </c>
      <c r="AG82" t="s">
        <v>67</v>
      </c>
      <c r="AH82" t="s">
        <v>182</v>
      </c>
    </row>
    <row r="83" spans="1:34" x14ac:dyDescent="0.2">
      <c r="A83">
        <v>120</v>
      </c>
      <c r="B83">
        <v>56</v>
      </c>
      <c r="C83" t="s">
        <v>16</v>
      </c>
      <c r="D83">
        <v>55</v>
      </c>
      <c r="E83">
        <v>88.72</v>
      </c>
      <c r="F83" t="s">
        <v>20</v>
      </c>
      <c r="G83" t="s">
        <v>22</v>
      </c>
      <c r="H83">
        <v>4</v>
      </c>
      <c r="I83">
        <v>23.2</v>
      </c>
      <c r="J83">
        <v>3</v>
      </c>
      <c r="K83">
        <v>4660.7700000000004</v>
      </c>
      <c r="L83">
        <v>0</v>
      </c>
      <c r="M83" t="s">
        <v>134</v>
      </c>
      <c r="N83" t="s">
        <v>136</v>
      </c>
      <c r="O83" t="s">
        <v>142</v>
      </c>
      <c r="P83" t="s">
        <v>147</v>
      </c>
      <c r="Q83" t="s">
        <v>145</v>
      </c>
      <c r="R83" t="s">
        <v>158</v>
      </c>
      <c r="S83" t="s">
        <v>174</v>
      </c>
      <c r="T83" t="s">
        <v>175</v>
      </c>
      <c r="U83" t="s">
        <v>181</v>
      </c>
      <c r="V83" t="s">
        <v>184</v>
      </c>
      <c r="W83">
        <v>3</v>
      </c>
      <c r="X83">
        <v>0</v>
      </c>
      <c r="Y83">
        <v>4</v>
      </c>
      <c r="Z83">
        <v>1</v>
      </c>
      <c r="AA83">
        <v>1</v>
      </c>
      <c r="AB83" s="51">
        <v>9</v>
      </c>
      <c r="AC83" t="s">
        <v>98</v>
      </c>
      <c r="AD83" t="s">
        <v>67</v>
      </c>
      <c r="AE83">
        <v>0</v>
      </c>
      <c r="AF83">
        <v>0.54545454545454541</v>
      </c>
      <c r="AG83" t="s">
        <v>66</v>
      </c>
      <c r="AH83" t="s">
        <v>182</v>
      </c>
    </row>
    <row r="84" spans="1:34" x14ac:dyDescent="0.2">
      <c r="A84">
        <v>121</v>
      </c>
      <c r="B84">
        <v>58</v>
      </c>
      <c r="C84" t="s">
        <v>15</v>
      </c>
      <c r="D84">
        <v>13</v>
      </c>
      <c r="E84">
        <v>104.44</v>
      </c>
      <c r="F84" t="s">
        <v>20</v>
      </c>
      <c r="G84" t="s">
        <v>23</v>
      </c>
      <c r="H84">
        <v>0</v>
      </c>
      <c r="I84">
        <v>37.1</v>
      </c>
      <c r="J84">
        <v>10</v>
      </c>
      <c r="K84">
        <v>1460.12</v>
      </c>
      <c r="L84">
        <v>0</v>
      </c>
      <c r="M84" t="s">
        <v>134</v>
      </c>
      <c r="N84" t="s">
        <v>137</v>
      </c>
      <c r="O84" t="s">
        <v>140</v>
      </c>
      <c r="P84" t="s">
        <v>149</v>
      </c>
      <c r="Q84" t="s">
        <v>145</v>
      </c>
      <c r="R84" t="s">
        <v>158</v>
      </c>
      <c r="S84" t="s">
        <v>178</v>
      </c>
      <c r="T84" t="s">
        <v>185</v>
      </c>
      <c r="U84" t="s">
        <v>176</v>
      </c>
      <c r="V84" t="s">
        <v>184</v>
      </c>
      <c r="W84">
        <v>3</v>
      </c>
      <c r="X84">
        <v>1</v>
      </c>
      <c r="Y84">
        <v>0</v>
      </c>
      <c r="Z84">
        <v>2</v>
      </c>
      <c r="AA84">
        <v>1</v>
      </c>
      <c r="AB84" s="51">
        <v>7</v>
      </c>
      <c r="AC84" t="s">
        <v>98</v>
      </c>
      <c r="AD84" t="s">
        <v>67</v>
      </c>
      <c r="AE84">
        <v>0</v>
      </c>
      <c r="AF84">
        <v>0.54166666666666663</v>
      </c>
      <c r="AG84" t="s">
        <v>66</v>
      </c>
      <c r="AH84" t="s">
        <v>182</v>
      </c>
    </row>
    <row r="85" spans="1:34" x14ac:dyDescent="0.2">
      <c r="A85">
        <v>122</v>
      </c>
      <c r="B85">
        <v>45</v>
      </c>
      <c r="C85" t="s">
        <v>15</v>
      </c>
      <c r="D85">
        <v>23</v>
      </c>
      <c r="E85">
        <v>94.96</v>
      </c>
      <c r="F85" t="s">
        <v>20</v>
      </c>
      <c r="G85" t="s">
        <v>24</v>
      </c>
      <c r="H85">
        <v>2</v>
      </c>
      <c r="I85">
        <v>34.299999999999997</v>
      </c>
      <c r="J85">
        <v>4</v>
      </c>
      <c r="K85">
        <v>2378.04</v>
      </c>
      <c r="L85">
        <v>1</v>
      </c>
      <c r="M85" t="s">
        <v>134</v>
      </c>
      <c r="N85" t="s">
        <v>137</v>
      </c>
      <c r="O85" t="s">
        <v>140</v>
      </c>
      <c r="P85" t="s">
        <v>148</v>
      </c>
      <c r="Q85" t="s">
        <v>145</v>
      </c>
      <c r="R85" t="s">
        <v>158</v>
      </c>
      <c r="S85" t="s">
        <v>178</v>
      </c>
      <c r="T85" t="s">
        <v>183</v>
      </c>
      <c r="U85" t="s">
        <v>176</v>
      </c>
      <c r="V85" t="s">
        <v>184</v>
      </c>
      <c r="W85">
        <v>3</v>
      </c>
      <c r="X85">
        <v>1</v>
      </c>
      <c r="Y85">
        <v>2</v>
      </c>
      <c r="Z85">
        <v>2</v>
      </c>
      <c r="AA85">
        <v>1</v>
      </c>
      <c r="AB85" s="51">
        <v>9</v>
      </c>
      <c r="AC85" t="s">
        <v>98</v>
      </c>
      <c r="AD85" t="s">
        <v>67</v>
      </c>
      <c r="AE85">
        <v>0</v>
      </c>
      <c r="AF85">
        <v>0.54545454545454541</v>
      </c>
      <c r="AG85" t="s">
        <v>66</v>
      </c>
      <c r="AH85" t="s">
        <v>182</v>
      </c>
    </row>
    <row r="86" spans="1:34" x14ac:dyDescent="0.2">
      <c r="A86">
        <v>123</v>
      </c>
      <c r="B86">
        <v>24</v>
      </c>
      <c r="C86" t="s">
        <v>16</v>
      </c>
      <c r="D86">
        <v>30</v>
      </c>
      <c r="E86">
        <v>23.05</v>
      </c>
      <c r="F86" t="s">
        <v>20</v>
      </c>
      <c r="G86" t="s">
        <v>24</v>
      </c>
      <c r="H86">
        <v>2</v>
      </c>
      <c r="I86">
        <v>95</v>
      </c>
      <c r="J86">
        <v>6</v>
      </c>
      <c r="K86">
        <v>642.92999999999995</v>
      </c>
      <c r="L86">
        <v>0</v>
      </c>
      <c r="M86" t="s">
        <v>134</v>
      </c>
      <c r="N86" t="s">
        <v>136</v>
      </c>
      <c r="O86" t="s">
        <v>139</v>
      </c>
      <c r="P86" t="s">
        <v>148</v>
      </c>
      <c r="Q86" t="s">
        <v>144</v>
      </c>
      <c r="R86" t="s">
        <v>158</v>
      </c>
      <c r="S86" t="s">
        <v>174</v>
      </c>
      <c r="T86" t="s">
        <v>183</v>
      </c>
      <c r="U86" t="s">
        <v>187</v>
      </c>
      <c r="V86" t="s">
        <v>188</v>
      </c>
      <c r="W86">
        <v>3</v>
      </c>
      <c r="X86">
        <v>0</v>
      </c>
      <c r="Y86">
        <v>2</v>
      </c>
      <c r="Z86">
        <v>0</v>
      </c>
      <c r="AA86">
        <v>0</v>
      </c>
      <c r="AB86" s="51">
        <v>5</v>
      </c>
      <c r="AC86" t="s">
        <v>182</v>
      </c>
      <c r="AD86" t="s">
        <v>67</v>
      </c>
      <c r="AE86">
        <v>0</v>
      </c>
      <c r="AF86">
        <v>0.33333333333333331</v>
      </c>
      <c r="AG86" t="s">
        <v>67</v>
      </c>
      <c r="AH86" t="s">
        <v>99</v>
      </c>
    </row>
    <row r="87" spans="1:34" x14ac:dyDescent="0.2">
      <c r="A87">
        <v>124</v>
      </c>
      <c r="B87">
        <v>26</v>
      </c>
      <c r="C87" t="s">
        <v>16</v>
      </c>
      <c r="D87">
        <v>17</v>
      </c>
      <c r="E87">
        <v>106.72</v>
      </c>
      <c r="F87" t="s">
        <v>20</v>
      </c>
      <c r="G87" t="s">
        <v>23</v>
      </c>
      <c r="H87">
        <v>2</v>
      </c>
      <c r="I87">
        <v>96.9</v>
      </c>
      <c r="J87">
        <v>8</v>
      </c>
      <c r="K87">
        <v>1800.7</v>
      </c>
      <c r="L87">
        <v>0</v>
      </c>
      <c r="M87" t="s">
        <v>134</v>
      </c>
      <c r="N87" t="s">
        <v>137</v>
      </c>
      <c r="O87" t="s">
        <v>140</v>
      </c>
      <c r="P87" t="s">
        <v>149</v>
      </c>
      <c r="Q87" t="s">
        <v>144</v>
      </c>
      <c r="R87" t="s">
        <v>158</v>
      </c>
      <c r="S87" t="s">
        <v>178</v>
      </c>
      <c r="T87" t="s">
        <v>185</v>
      </c>
      <c r="U87" t="s">
        <v>176</v>
      </c>
      <c r="V87" t="s">
        <v>188</v>
      </c>
      <c r="W87">
        <v>3</v>
      </c>
      <c r="X87">
        <v>1</v>
      </c>
      <c r="Y87">
        <v>0</v>
      </c>
      <c r="Z87">
        <v>2</v>
      </c>
      <c r="AA87">
        <v>0</v>
      </c>
      <c r="AB87" s="51">
        <v>6</v>
      </c>
      <c r="AC87" t="s">
        <v>182</v>
      </c>
      <c r="AD87" t="s">
        <v>67</v>
      </c>
      <c r="AE87">
        <v>0</v>
      </c>
      <c r="AF87">
        <v>0.33333333333333331</v>
      </c>
      <c r="AG87" t="s">
        <v>67</v>
      </c>
      <c r="AH87" t="s">
        <v>99</v>
      </c>
    </row>
    <row r="88" spans="1:34" x14ac:dyDescent="0.2">
      <c r="A88">
        <v>125</v>
      </c>
      <c r="B88">
        <v>25</v>
      </c>
      <c r="C88" t="s">
        <v>15</v>
      </c>
      <c r="D88">
        <v>62</v>
      </c>
      <c r="E88">
        <v>55.41</v>
      </c>
      <c r="F88" t="s">
        <v>19</v>
      </c>
      <c r="G88" t="s">
        <v>24</v>
      </c>
      <c r="H88">
        <v>3</v>
      </c>
      <c r="I88">
        <v>22.4</v>
      </c>
      <c r="J88">
        <v>5</v>
      </c>
      <c r="K88">
        <v>3765.9</v>
      </c>
      <c r="L88">
        <v>0</v>
      </c>
      <c r="M88" t="s">
        <v>134</v>
      </c>
      <c r="N88" t="s">
        <v>136</v>
      </c>
      <c r="O88" t="s">
        <v>141</v>
      </c>
      <c r="P88" t="s">
        <v>148</v>
      </c>
      <c r="Q88" t="s">
        <v>145</v>
      </c>
      <c r="R88" t="s">
        <v>160</v>
      </c>
      <c r="S88" t="s">
        <v>174</v>
      </c>
      <c r="T88" t="s">
        <v>183</v>
      </c>
      <c r="U88" t="s">
        <v>179</v>
      </c>
      <c r="V88" t="s">
        <v>184</v>
      </c>
      <c r="W88">
        <v>0</v>
      </c>
      <c r="X88">
        <v>0</v>
      </c>
      <c r="Y88">
        <v>2</v>
      </c>
      <c r="Z88">
        <v>0</v>
      </c>
      <c r="AA88">
        <v>1</v>
      </c>
      <c r="AB88" s="51">
        <v>3</v>
      </c>
      <c r="AC88" t="s">
        <v>99</v>
      </c>
      <c r="AD88" t="s">
        <v>67</v>
      </c>
      <c r="AE88">
        <v>0</v>
      </c>
      <c r="AF88">
        <v>0.42105263157894735</v>
      </c>
      <c r="AG88" t="s">
        <v>67</v>
      </c>
      <c r="AH88" t="s">
        <v>182</v>
      </c>
    </row>
    <row r="89" spans="1:34" x14ac:dyDescent="0.2">
      <c r="A89">
        <v>126</v>
      </c>
      <c r="B89">
        <v>29</v>
      </c>
      <c r="C89" t="s">
        <v>16</v>
      </c>
      <c r="D89">
        <v>13</v>
      </c>
      <c r="E89">
        <v>59.72</v>
      </c>
      <c r="F89" t="s">
        <v>20</v>
      </c>
      <c r="G89" t="s">
        <v>22</v>
      </c>
      <c r="H89">
        <v>0</v>
      </c>
      <c r="I89">
        <v>7.1</v>
      </c>
      <c r="J89">
        <v>3</v>
      </c>
      <c r="K89">
        <v>773.78</v>
      </c>
      <c r="L89">
        <v>0</v>
      </c>
      <c r="M89" t="s">
        <v>134</v>
      </c>
      <c r="N89" t="s">
        <v>137</v>
      </c>
      <c r="O89" t="s">
        <v>141</v>
      </c>
      <c r="P89" t="s">
        <v>147</v>
      </c>
      <c r="Q89" t="s">
        <v>143</v>
      </c>
      <c r="R89" t="s">
        <v>158</v>
      </c>
      <c r="S89" t="s">
        <v>178</v>
      </c>
      <c r="T89" t="s">
        <v>175</v>
      </c>
      <c r="U89" t="s">
        <v>179</v>
      </c>
      <c r="V89" t="s">
        <v>177</v>
      </c>
      <c r="W89">
        <v>3</v>
      </c>
      <c r="X89">
        <v>1</v>
      </c>
      <c r="Y89">
        <v>4</v>
      </c>
      <c r="Z89">
        <v>0</v>
      </c>
      <c r="AA89">
        <v>2</v>
      </c>
      <c r="AB89" s="51">
        <v>10</v>
      </c>
      <c r="AC89" t="s">
        <v>98</v>
      </c>
      <c r="AD89" t="s">
        <v>67</v>
      </c>
      <c r="AE89">
        <v>0</v>
      </c>
      <c r="AF89">
        <v>0.5</v>
      </c>
      <c r="AG89" t="s">
        <v>66</v>
      </c>
      <c r="AH89" t="s">
        <v>182</v>
      </c>
    </row>
    <row r="90" spans="1:34" x14ac:dyDescent="0.2">
      <c r="A90">
        <v>127</v>
      </c>
      <c r="B90">
        <v>51</v>
      </c>
      <c r="C90" t="s">
        <v>15</v>
      </c>
      <c r="D90">
        <v>59</v>
      </c>
      <c r="E90">
        <v>30.49</v>
      </c>
      <c r="F90" t="s">
        <v>18</v>
      </c>
      <c r="G90" t="s">
        <v>23</v>
      </c>
      <c r="H90">
        <v>4</v>
      </c>
      <c r="I90">
        <v>73.400000000000006</v>
      </c>
      <c r="J90">
        <v>6</v>
      </c>
      <c r="K90">
        <v>1929.71</v>
      </c>
      <c r="L90">
        <v>0</v>
      </c>
      <c r="M90" t="s">
        <v>134</v>
      </c>
      <c r="N90" t="s">
        <v>136</v>
      </c>
      <c r="O90" t="s">
        <v>141</v>
      </c>
      <c r="P90" t="s">
        <v>148</v>
      </c>
      <c r="Q90" t="s">
        <v>146</v>
      </c>
      <c r="R90" t="s">
        <v>159</v>
      </c>
      <c r="S90" t="s">
        <v>174</v>
      </c>
      <c r="T90" t="s">
        <v>183</v>
      </c>
      <c r="U90" t="s">
        <v>179</v>
      </c>
      <c r="V90" t="s">
        <v>180</v>
      </c>
      <c r="W90">
        <v>1</v>
      </c>
      <c r="X90">
        <v>0</v>
      </c>
      <c r="Y90">
        <v>2</v>
      </c>
      <c r="Z90">
        <v>0</v>
      </c>
      <c r="AA90">
        <v>0</v>
      </c>
      <c r="AB90" s="51">
        <v>3</v>
      </c>
      <c r="AC90" t="s">
        <v>99</v>
      </c>
      <c r="AD90" t="s">
        <v>67</v>
      </c>
      <c r="AE90">
        <v>0</v>
      </c>
      <c r="AF90">
        <v>0.42105263157894735</v>
      </c>
      <c r="AG90" t="s">
        <v>67</v>
      </c>
      <c r="AH90" t="s">
        <v>182</v>
      </c>
    </row>
    <row r="91" spans="1:34" x14ac:dyDescent="0.2">
      <c r="A91">
        <v>128</v>
      </c>
      <c r="B91">
        <v>50</v>
      </c>
      <c r="C91" t="s">
        <v>15</v>
      </c>
      <c r="D91">
        <v>19</v>
      </c>
      <c r="E91">
        <v>93.74</v>
      </c>
      <c r="F91" t="s">
        <v>18</v>
      </c>
      <c r="G91" t="s">
        <v>24</v>
      </c>
      <c r="H91">
        <v>1</v>
      </c>
      <c r="I91">
        <v>44.7</v>
      </c>
      <c r="J91">
        <v>4</v>
      </c>
      <c r="K91">
        <v>1812.67</v>
      </c>
      <c r="L91">
        <v>0</v>
      </c>
      <c r="M91" t="s">
        <v>134</v>
      </c>
      <c r="N91" t="s">
        <v>137</v>
      </c>
      <c r="O91" t="s">
        <v>140</v>
      </c>
      <c r="P91" t="s">
        <v>148</v>
      </c>
      <c r="Q91" t="s">
        <v>146</v>
      </c>
      <c r="R91" t="s">
        <v>159</v>
      </c>
      <c r="S91" t="s">
        <v>178</v>
      </c>
      <c r="T91" t="s">
        <v>183</v>
      </c>
      <c r="U91" t="s">
        <v>176</v>
      </c>
      <c r="V91" t="s">
        <v>180</v>
      </c>
      <c r="W91">
        <v>1</v>
      </c>
      <c r="X91">
        <v>1</v>
      </c>
      <c r="Y91">
        <v>2</v>
      </c>
      <c r="Z91">
        <v>2</v>
      </c>
      <c r="AA91">
        <v>0</v>
      </c>
      <c r="AB91" s="51">
        <v>6</v>
      </c>
      <c r="AC91" t="s">
        <v>182</v>
      </c>
      <c r="AD91" t="s">
        <v>67</v>
      </c>
      <c r="AE91">
        <v>0</v>
      </c>
      <c r="AF91">
        <v>0.33333333333333331</v>
      </c>
      <c r="AG91" t="s">
        <v>67</v>
      </c>
      <c r="AH91" t="s">
        <v>99</v>
      </c>
    </row>
    <row r="92" spans="1:34" x14ac:dyDescent="0.2">
      <c r="A92">
        <v>129</v>
      </c>
      <c r="B92">
        <v>65</v>
      </c>
      <c r="C92" t="s">
        <v>15</v>
      </c>
      <c r="D92">
        <v>49</v>
      </c>
      <c r="E92">
        <v>38.229999999999997</v>
      </c>
      <c r="F92" t="s">
        <v>19</v>
      </c>
      <c r="G92" t="s">
        <v>23</v>
      </c>
      <c r="H92">
        <v>3</v>
      </c>
      <c r="I92">
        <v>13.4</v>
      </c>
      <c r="J92">
        <v>9</v>
      </c>
      <c r="K92">
        <v>1826.56</v>
      </c>
      <c r="L92">
        <v>1</v>
      </c>
      <c r="M92" t="s">
        <v>134</v>
      </c>
      <c r="N92" t="s">
        <v>136</v>
      </c>
      <c r="O92" t="s">
        <v>141</v>
      </c>
      <c r="P92" t="s">
        <v>149</v>
      </c>
      <c r="Q92" t="s">
        <v>143</v>
      </c>
      <c r="R92" t="s">
        <v>160</v>
      </c>
      <c r="S92" t="s">
        <v>174</v>
      </c>
      <c r="T92" t="s">
        <v>185</v>
      </c>
      <c r="U92" t="s">
        <v>179</v>
      </c>
      <c r="V92" t="s">
        <v>177</v>
      </c>
      <c r="W92">
        <v>0</v>
      </c>
      <c r="X92">
        <v>0</v>
      </c>
      <c r="Y92">
        <v>0</v>
      </c>
      <c r="Z92">
        <v>0</v>
      </c>
      <c r="AA92">
        <v>2</v>
      </c>
      <c r="AB92" s="51">
        <v>2</v>
      </c>
      <c r="AC92" t="s">
        <v>99</v>
      </c>
      <c r="AD92" t="s">
        <v>67</v>
      </c>
      <c r="AE92">
        <v>0</v>
      </c>
      <c r="AF92">
        <v>0.6</v>
      </c>
      <c r="AG92" t="s">
        <v>66</v>
      </c>
      <c r="AH92" t="s">
        <v>98</v>
      </c>
    </row>
    <row r="93" spans="1:34" x14ac:dyDescent="0.2">
      <c r="A93">
        <v>130</v>
      </c>
      <c r="B93">
        <v>40</v>
      </c>
      <c r="C93" t="s">
        <v>15</v>
      </c>
      <c r="D93">
        <v>12</v>
      </c>
      <c r="E93">
        <v>76.400000000000006</v>
      </c>
      <c r="F93" t="s">
        <v>18</v>
      </c>
      <c r="G93" t="s">
        <v>22</v>
      </c>
      <c r="H93">
        <v>3</v>
      </c>
      <c r="I93">
        <v>70</v>
      </c>
      <c r="J93">
        <v>3</v>
      </c>
      <c r="K93">
        <v>877.52</v>
      </c>
      <c r="L93">
        <v>1</v>
      </c>
      <c r="M93" t="s">
        <v>134</v>
      </c>
      <c r="N93" t="s">
        <v>137</v>
      </c>
      <c r="O93" t="s">
        <v>142</v>
      </c>
      <c r="P93" t="s">
        <v>147</v>
      </c>
      <c r="Q93" t="s">
        <v>146</v>
      </c>
      <c r="R93" t="s">
        <v>159</v>
      </c>
      <c r="S93" t="s">
        <v>178</v>
      </c>
      <c r="T93" t="s">
        <v>175</v>
      </c>
      <c r="U93" t="s">
        <v>181</v>
      </c>
      <c r="V93" t="s">
        <v>180</v>
      </c>
      <c r="W93">
        <v>1</v>
      </c>
      <c r="X93">
        <v>1</v>
      </c>
      <c r="Y93">
        <v>4</v>
      </c>
      <c r="Z93">
        <v>1</v>
      </c>
      <c r="AA93">
        <v>0</v>
      </c>
      <c r="AB93" s="51">
        <v>7</v>
      </c>
      <c r="AC93" t="s">
        <v>98</v>
      </c>
      <c r="AD93" t="s">
        <v>67</v>
      </c>
      <c r="AE93">
        <v>0</v>
      </c>
      <c r="AF93">
        <v>0.54166666666666663</v>
      </c>
      <c r="AG93" t="s">
        <v>66</v>
      </c>
      <c r="AH93" t="s">
        <v>182</v>
      </c>
    </row>
    <row r="94" spans="1:34" x14ac:dyDescent="0.2">
      <c r="A94">
        <v>131</v>
      </c>
      <c r="B94">
        <v>41</v>
      </c>
      <c r="C94" t="s">
        <v>15</v>
      </c>
      <c r="D94">
        <v>61</v>
      </c>
      <c r="E94">
        <v>104.07</v>
      </c>
      <c r="F94" t="s">
        <v>18</v>
      </c>
      <c r="G94" t="s">
        <v>22</v>
      </c>
      <c r="H94">
        <v>2</v>
      </c>
      <c r="I94">
        <v>56.8</v>
      </c>
      <c r="J94">
        <v>4</v>
      </c>
      <c r="K94">
        <v>5971.47</v>
      </c>
      <c r="L94">
        <v>1</v>
      </c>
      <c r="M94" t="s">
        <v>134</v>
      </c>
      <c r="N94" t="s">
        <v>136</v>
      </c>
      <c r="O94" t="s">
        <v>140</v>
      </c>
      <c r="P94" t="s">
        <v>148</v>
      </c>
      <c r="Q94" t="s">
        <v>146</v>
      </c>
      <c r="R94" t="s">
        <v>159</v>
      </c>
      <c r="S94" t="s">
        <v>174</v>
      </c>
      <c r="T94" t="s">
        <v>183</v>
      </c>
      <c r="U94" t="s">
        <v>176</v>
      </c>
      <c r="V94" t="s">
        <v>180</v>
      </c>
      <c r="W94">
        <v>1</v>
      </c>
      <c r="X94">
        <v>0</v>
      </c>
      <c r="Y94">
        <v>2</v>
      </c>
      <c r="Z94">
        <v>2</v>
      </c>
      <c r="AA94">
        <v>0</v>
      </c>
      <c r="AB94" s="51">
        <v>5</v>
      </c>
      <c r="AC94" t="s">
        <v>182</v>
      </c>
      <c r="AD94" t="s">
        <v>67</v>
      </c>
      <c r="AE94">
        <v>0</v>
      </c>
      <c r="AF94">
        <v>0.33333333333333331</v>
      </c>
      <c r="AG94" t="s">
        <v>67</v>
      </c>
      <c r="AH94" t="s">
        <v>99</v>
      </c>
    </row>
    <row r="95" spans="1:34" x14ac:dyDescent="0.2">
      <c r="A95">
        <v>132</v>
      </c>
      <c r="B95">
        <v>54</v>
      </c>
      <c r="C95" t="s">
        <v>16</v>
      </c>
      <c r="D95">
        <v>19</v>
      </c>
      <c r="E95">
        <v>28.92</v>
      </c>
      <c r="F95" t="s">
        <v>19</v>
      </c>
      <c r="G95" t="s">
        <v>24</v>
      </c>
      <c r="H95">
        <v>1</v>
      </c>
      <c r="I95">
        <v>98.1</v>
      </c>
      <c r="J95">
        <v>7</v>
      </c>
      <c r="K95">
        <v>578.25</v>
      </c>
      <c r="L95">
        <v>1</v>
      </c>
      <c r="M95" t="s">
        <v>134</v>
      </c>
      <c r="N95" t="s">
        <v>137</v>
      </c>
      <c r="O95" t="s">
        <v>139</v>
      </c>
      <c r="P95" t="s">
        <v>149</v>
      </c>
      <c r="Q95" t="s">
        <v>144</v>
      </c>
      <c r="R95" t="s">
        <v>160</v>
      </c>
      <c r="S95" t="s">
        <v>178</v>
      </c>
      <c r="T95" t="s">
        <v>185</v>
      </c>
      <c r="U95" t="s">
        <v>187</v>
      </c>
      <c r="V95" t="s">
        <v>188</v>
      </c>
      <c r="W95">
        <v>0</v>
      </c>
      <c r="X95">
        <v>1</v>
      </c>
      <c r="Y95">
        <v>0</v>
      </c>
      <c r="Z95">
        <v>0</v>
      </c>
      <c r="AA95">
        <v>0</v>
      </c>
      <c r="AB95" s="51">
        <v>1</v>
      </c>
      <c r="AC95" t="s">
        <v>99</v>
      </c>
      <c r="AD95" t="s">
        <v>67</v>
      </c>
      <c r="AE95">
        <v>0</v>
      </c>
      <c r="AF95">
        <v>0.25</v>
      </c>
      <c r="AG95" t="s">
        <v>67</v>
      </c>
      <c r="AH95" t="s">
        <v>99</v>
      </c>
    </row>
    <row r="96" spans="1:34" x14ac:dyDescent="0.2">
      <c r="A96">
        <v>134</v>
      </c>
      <c r="B96">
        <v>61</v>
      </c>
      <c r="C96" t="s">
        <v>15</v>
      </c>
      <c r="D96">
        <v>71</v>
      </c>
      <c r="E96">
        <v>43.32</v>
      </c>
      <c r="F96" t="s">
        <v>20</v>
      </c>
      <c r="G96" t="s">
        <v>23</v>
      </c>
      <c r="H96">
        <v>1</v>
      </c>
      <c r="I96">
        <v>43.4</v>
      </c>
      <c r="J96">
        <v>4</v>
      </c>
      <c r="K96">
        <v>3082.66</v>
      </c>
      <c r="L96">
        <v>1</v>
      </c>
      <c r="M96" t="s">
        <v>134</v>
      </c>
      <c r="N96" t="s">
        <v>136</v>
      </c>
      <c r="O96" t="s">
        <v>141</v>
      </c>
      <c r="P96" t="s">
        <v>148</v>
      </c>
      <c r="Q96" t="s">
        <v>146</v>
      </c>
      <c r="R96" t="s">
        <v>158</v>
      </c>
      <c r="S96" t="s">
        <v>174</v>
      </c>
      <c r="T96" t="s">
        <v>183</v>
      </c>
      <c r="U96" t="s">
        <v>179</v>
      </c>
      <c r="V96" t="s">
        <v>180</v>
      </c>
      <c r="W96">
        <v>3</v>
      </c>
      <c r="X96">
        <v>0</v>
      </c>
      <c r="Y96">
        <v>2</v>
      </c>
      <c r="Z96">
        <v>0</v>
      </c>
      <c r="AA96">
        <v>0</v>
      </c>
      <c r="AB96" s="51">
        <v>5</v>
      </c>
      <c r="AC96" t="s">
        <v>182</v>
      </c>
      <c r="AD96" t="s">
        <v>67</v>
      </c>
      <c r="AE96">
        <v>0</v>
      </c>
      <c r="AF96">
        <v>0.33333333333333331</v>
      </c>
      <c r="AG96" t="s">
        <v>67</v>
      </c>
      <c r="AH96" t="s">
        <v>99</v>
      </c>
    </row>
    <row r="97" spans="1:34" x14ac:dyDescent="0.2">
      <c r="A97">
        <v>135</v>
      </c>
      <c r="B97">
        <v>57</v>
      </c>
      <c r="C97" t="s">
        <v>15</v>
      </c>
      <c r="D97">
        <v>28</v>
      </c>
      <c r="E97">
        <v>54.29</v>
      </c>
      <c r="F97" t="s">
        <v>20</v>
      </c>
      <c r="G97" t="s">
        <v>22</v>
      </c>
      <c r="H97">
        <v>1</v>
      </c>
      <c r="I97">
        <v>56.5</v>
      </c>
      <c r="J97">
        <v>6</v>
      </c>
      <c r="K97">
        <v>1517.79</v>
      </c>
      <c r="L97">
        <v>0</v>
      </c>
      <c r="M97" t="s">
        <v>134</v>
      </c>
      <c r="N97" t="s">
        <v>136</v>
      </c>
      <c r="O97" t="s">
        <v>141</v>
      </c>
      <c r="P97" t="s">
        <v>148</v>
      </c>
      <c r="Q97" t="s">
        <v>146</v>
      </c>
      <c r="R97" t="s">
        <v>158</v>
      </c>
      <c r="S97" t="s">
        <v>174</v>
      </c>
      <c r="T97" t="s">
        <v>183</v>
      </c>
      <c r="U97" t="s">
        <v>179</v>
      </c>
      <c r="V97" t="s">
        <v>180</v>
      </c>
      <c r="W97">
        <v>3</v>
      </c>
      <c r="X97">
        <v>0</v>
      </c>
      <c r="Y97">
        <v>2</v>
      </c>
      <c r="Z97">
        <v>0</v>
      </c>
      <c r="AA97">
        <v>0</v>
      </c>
      <c r="AB97" s="51">
        <v>5</v>
      </c>
      <c r="AC97" t="s">
        <v>182</v>
      </c>
      <c r="AD97" t="s">
        <v>67</v>
      </c>
      <c r="AE97">
        <v>0</v>
      </c>
      <c r="AF97">
        <v>0.33333333333333331</v>
      </c>
      <c r="AG97" t="s">
        <v>67</v>
      </c>
      <c r="AH97" t="s">
        <v>99</v>
      </c>
    </row>
    <row r="98" spans="1:34" x14ac:dyDescent="0.2">
      <c r="A98">
        <v>136</v>
      </c>
      <c r="B98">
        <v>39</v>
      </c>
      <c r="C98" t="s">
        <v>16</v>
      </c>
      <c r="D98">
        <v>52</v>
      </c>
      <c r="E98">
        <v>67.400000000000006</v>
      </c>
      <c r="F98" t="s">
        <v>20</v>
      </c>
      <c r="G98" t="s">
        <v>23</v>
      </c>
      <c r="H98">
        <v>1</v>
      </c>
      <c r="I98">
        <v>80.2</v>
      </c>
      <c r="J98">
        <v>3</v>
      </c>
      <c r="K98">
        <v>3558.97</v>
      </c>
      <c r="L98">
        <v>1</v>
      </c>
      <c r="M98" t="s">
        <v>134</v>
      </c>
      <c r="N98" t="s">
        <v>136</v>
      </c>
      <c r="O98" t="s">
        <v>142</v>
      </c>
      <c r="P98" t="s">
        <v>147</v>
      </c>
      <c r="Q98" t="s">
        <v>144</v>
      </c>
      <c r="R98" t="s">
        <v>158</v>
      </c>
      <c r="S98" t="s">
        <v>174</v>
      </c>
      <c r="T98" t="s">
        <v>175</v>
      </c>
      <c r="U98" t="s">
        <v>181</v>
      </c>
      <c r="V98" t="s">
        <v>188</v>
      </c>
      <c r="W98">
        <v>3</v>
      </c>
      <c r="X98">
        <v>0</v>
      </c>
      <c r="Y98">
        <v>4</v>
      </c>
      <c r="Z98">
        <v>1</v>
      </c>
      <c r="AA98">
        <v>0</v>
      </c>
      <c r="AB98" s="51">
        <v>8</v>
      </c>
      <c r="AC98" t="s">
        <v>98</v>
      </c>
      <c r="AD98" t="s">
        <v>67</v>
      </c>
      <c r="AE98">
        <v>0</v>
      </c>
      <c r="AF98">
        <v>0.73684210526315785</v>
      </c>
      <c r="AG98" t="s">
        <v>66</v>
      </c>
      <c r="AH98" t="s">
        <v>98</v>
      </c>
    </row>
    <row r="99" spans="1:34" x14ac:dyDescent="0.2">
      <c r="A99">
        <v>137</v>
      </c>
      <c r="B99">
        <v>44</v>
      </c>
      <c r="C99" t="s">
        <v>16</v>
      </c>
      <c r="D99">
        <v>16</v>
      </c>
      <c r="E99">
        <v>55.51</v>
      </c>
      <c r="F99" t="s">
        <v>20</v>
      </c>
      <c r="G99" t="s">
        <v>23</v>
      </c>
      <c r="H99">
        <v>2</v>
      </c>
      <c r="I99">
        <v>57.1</v>
      </c>
      <c r="J99">
        <v>6</v>
      </c>
      <c r="K99">
        <v>953.1</v>
      </c>
      <c r="L99">
        <v>1</v>
      </c>
      <c r="M99" t="s">
        <v>134</v>
      </c>
      <c r="N99" t="s">
        <v>137</v>
      </c>
      <c r="O99" t="s">
        <v>141</v>
      </c>
      <c r="P99" t="s">
        <v>148</v>
      </c>
      <c r="Q99" t="s">
        <v>146</v>
      </c>
      <c r="R99" t="s">
        <v>158</v>
      </c>
      <c r="S99" t="s">
        <v>178</v>
      </c>
      <c r="T99" t="s">
        <v>183</v>
      </c>
      <c r="U99" t="s">
        <v>179</v>
      </c>
      <c r="V99" t="s">
        <v>180</v>
      </c>
      <c r="W99">
        <v>3</v>
      </c>
      <c r="X99">
        <v>1</v>
      </c>
      <c r="Y99">
        <v>2</v>
      </c>
      <c r="Z99">
        <v>0</v>
      </c>
      <c r="AA99">
        <v>0</v>
      </c>
      <c r="AB99" s="51">
        <v>6</v>
      </c>
      <c r="AC99" t="s">
        <v>182</v>
      </c>
      <c r="AD99" t="s">
        <v>67</v>
      </c>
      <c r="AE99">
        <v>0</v>
      </c>
      <c r="AF99">
        <v>0.33333333333333331</v>
      </c>
      <c r="AG99" t="s">
        <v>67</v>
      </c>
      <c r="AH99" t="s">
        <v>99</v>
      </c>
    </row>
    <row r="100" spans="1:34" x14ac:dyDescent="0.2">
      <c r="A100">
        <v>139</v>
      </c>
      <c r="B100">
        <v>18</v>
      </c>
      <c r="C100" t="s">
        <v>16</v>
      </c>
      <c r="D100">
        <v>12</v>
      </c>
      <c r="E100">
        <v>67.959999999999994</v>
      </c>
      <c r="F100" t="s">
        <v>18</v>
      </c>
      <c r="G100" t="s">
        <v>24</v>
      </c>
      <c r="H100">
        <v>3</v>
      </c>
      <c r="I100">
        <v>26.5</v>
      </c>
      <c r="J100">
        <v>8</v>
      </c>
      <c r="K100">
        <v>800.45</v>
      </c>
      <c r="L100">
        <v>0</v>
      </c>
      <c r="M100" t="s">
        <v>134</v>
      </c>
      <c r="N100" t="s">
        <v>137</v>
      </c>
      <c r="O100" t="s">
        <v>142</v>
      </c>
      <c r="P100" t="s">
        <v>149</v>
      </c>
      <c r="Q100" t="s">
        <v>145</v>
      </c>
      <c r="R100" t="s">
        <v>159</v>
      </c>
      <c r="S100" t="s">
        <v>178</v>
      </c>
      <c r="T100" t="s">
        <v>185</v>
      </c>
      <c r="U100" t="s">
        <v>181</v>
      </c>
      <c r="V100" t="s">
        <v>184</v>
      </c>
      <c r="W100">
        <v>1</v>
      </c>
      <c r="X100">
        <v>1</v>
      </c>
      <c r="Y100">
        <v>0</v>
      </c>
      <c r="Z100">
        <v>1</v>
      </c>
      <c r="AA100">
        <v>1</v>
      </c>
      <c r="AB100" s="51">
        <v>4</v>
      </c>
      <c r="AC100" t="s">
        <v>182</v>
      </c>
      <c r="AD100" t="s">
        <v>67</v>
      </c>
      <c r="AE100">
        <v>0</v>
      </c>
      <c r="AF100">
        <v>0.40740740740740738</v>
      </c>
      <c r="AG100" t="s">
        <v>67</v>
      </c>
      <c r="AH100" t="s">
        <v>182</v>
      </c>
    </row>
    <row r="101" spans="1:34" x14ac:dyDescent="0.2">
      <c r="A101">
        <v>141</v>
      </c>
      <c r="B101">
        <v>54</v>
      </c>
      <c r="C101" t="s">
        <v>16</v>
      </c>
      <c r="D101">
        <v>52</v>
      </c>
      <c r="E101">
        <v>93.68</v>
      </c>
      <c r="F101" t="s">
        <v>20</v>
      </c>
      <c r="G101" t="s">
        <v>23</v>
      </c>
      <c r="H101">
        <v>3</v>
      </c>
      <c r="I101">
        <v>45.7</v>
      </c>
      <c r="J101">
        <v>7</v>
      </c>
      <c r="K101">
        <v>5129.08</v>
      </c>
      <c r="L101">
        <v>0</v>
      </c>
      <c r="M101" t="s">
        <v>134</v>
      </c>
      <c r="N101" t="s">
        <v>136</v>
      </c>
      <c r="O101" t="s">
        <v>140</v>
      </c>
      <c r="P101" t="s">
        <v>149</v>
      </c>
      <c r="Q101" t="s">
        <v>146</v>
      </c>
      <c r="R101" t="s">
        <v>158</v>
      </c>
      <c r="S101" t="s">
        <v>174</v>
      </c>
      <c r="T101" t="s">
        <v>185</v>
      </c>
      <c r="U101" t="s">
        <v>176</v>
      </c>
      <c r="V101" t="s">
        <v>180</v>
      </c>
      <c r="W101">
        <v>3</v>
      </c>
      <c r="X101">
        <v>0</v>
      </c>
      <c r="Y101">
        <v>0</v>
      </c>
      <c r="Z101">
        <v>2</v>
      </c>
      <c r="AA101">
        <v>0</v>
      </c>
      <c r="AB101" s="51">
        <v>5</v>
      </c>
      <c r="AC101" t="s">
        <v>182</v>
      </c>
      <c r="AD101" t="s">
        <v>67</v>
      </c>
      <c r="AE101">
        <v>0</v>
      </c>
      <c r="AF101">
        <v>0.33333333333333331</v>
      </c>
      <c r="AG101" t="s">
        <v>67</v>
      </c>
      <c r="AH101" t="s">
        <v>99</v>
      </c>
    </row>
    <row r="102" spans="1:34" x14ac:dyDescent="0.2">
      <c r="A102">
        <v>143</v>
      </c>
      <c r="B102">
        <v>31</v>
      </c>
      <c r="C102" t="s">
        <v>16</v>
      </c>
      <c r="D102">
        <v>23</v>
      </c>
      <c r="E102">
        <v>78.650000000000006</v>
      </c>
      <c r="F102" t="s">
        <v>18</v>
      </c>
      <c r="G102" t="s">
        <v>22</v>
      </c>
      <c r="H102">
        <v>2</v>
      </c>
      <c r="I102">
        <v>68.099999999999994</v>
      </c>
      <c r="J102">
        <v>1</v>
      </c>
      <c r="K102">
        <v>1973.94</v>
      </c>
      <c r="L102">
        <v>1</v>
      </c>
      <c r="M102" t="s">
        <v>134</v>
      </c>
      <c r="N102" t="s">
        <v>137</v>
      </c>
      <c r="O102" t="s">
        <v>142</v>
      </c>
      <c r="P102" t="s">
        <v>147</v>
      </c>
      <c r="Q102" t="s">
        <v>146</v>
      </c>
      <c r="R102" t="s">
        <v>159</v>
      </c>
      <c r="S102" t="s">
        <v>178</v>
      </c>
      <c r="T102" t="s">
        <v>175</v>
      </c>
      <c r="U102" t="s">
        <v>181</v>
      </c>
      <c r="V102" t="s">
        <v>180</v>
      </c>
      <c r="W102">
        <v>1</v>
      </c>
      <c r="X102">
        <v>1</v>
      </c>
      <c r="Y102">
        <v>4</v>
      </c>
      <c r="Z102">
        <v>1</v>
      </c>
      <c r="AA102">
        <v>0</v>
      </c>
      <c r="AB102" s="51">
        <v>7</v>
      </c>
      <c r="AC102" t="s">
        <v>98</v>
      </c>
      <c r="AD102" t="s">
        <v>67</v>
      </c>
      <c r="AE102">
        <v>0</v>
      </c>
      <c r="AF102">
        <v>0.54166666666666663</v>
      </c>
      <c r="AG102" t="s">
        <v>66</v>
      </c>
      <c r="AH102" t="s">
        <v>182</v>
      </c>
    </row>
    <row r="103" spans="1:34" x14ac:dyDescent="0.2">
      <c r="A103">
        <v>144</v>
      </c>
      <c r="B103">
        <v>20</v>
      </c>
      <c r="C103" t="s">
        <v>15</v>
      </c>
      <c r="D103">
        <v>16</v>
      </c>
      <c r="E103">
        <v>76.45</v>
      </c>
      <c r="F103" t="s">
        <v>18</v>
      </c>
      <c r="G103" t="s">
        <v>24</v>
      </c>
      <c r="H103">
        <v>2</v>
      </c>
      <c r="I103">
        <v>25.5</v>
      </c>
      <c r="J103">
        <v>8</v>
      </c>
      <c r="K103">
        <v>1149.92</v>
      </c>
      <c r="L103">
        <v>0</v>
      </c>
      <c r="M103" t="s">
        <v>134</v>
      </c>
      <c r="N103" t="s">
        <v>137</v>
      </c>
      <c r="O103" t="s">
        <v>142</v>
      </c>
      <c r="P103" t="s">
        <v>149</v>
      </c>
      <c r="Q103" t="s">
        <v>145</v>
      </c>
      <c r="R103" t="s">
        <v>159</v>
      </c>
      <c r="S103" t="s">
        <v>178</v>
      </c>
      <c r="T103" t="s">
        <v>185</v>
      </c>
      <c r="U103" t="s">
        <v>181</v>
      </c>
      <c r="V103" t="s">
        <v>184</v>
      </c>
      <c r="W103">
        <v>1</v>
      </c>
      <c r="X103">
        <v>1</v>
      </c>
      <c r="Y103">
        <v>0</v>
      </c>
      <c r="Z103">
        <v>1</v>
      </c>
      <c r="AA103">
        <v>1</v>
      </c>
      <c r="AB103" s="51">
        <v>4</v>
      </c>
      <c r="AC103" t="s">
        <v>182</v>
      </c>
      <c r="AD103" t="s">
        <v>67</v>
      </c>
      <c r="AE103">
        <v>0</v>
      </c>
      <c r="AF103">
        <v>0.40740740740740738</v>
      </c>
      <c r="AG103" t="s">
        <v>67</v>
      </c>
      <c r="AH103" t="s">
        <v>182</v>
      </c>
    </row>
    <row r="104" spans="1:34" x14ac:dyDescent="0.2">
      <c r="A104">
        <v>145</v>
      </c>
      <c r="B104">
        <v>18</v>
      </c>
      <c r="C104" t="s">
        <v>16</v>
      </c>
      <c r="D104">
        <v>57</v>
      </c>
      <c r="E104">
        <v>57.88</v>
      </c>
      <c r="F104" t="s">
        <v>19</v>
      </c>
      <c r="G104" t="s">
        <v>24</v>
      </c>
      <c r="H104">
        <v>2</v>
      </c>
      <c r="I104">
        <v>14.3</v>
      </c>
      <c r="J104">
        <v>7</v>
      </c>
      <c r="K104">
        <v>3041.34</v>
      </c>
      <c r="L104">
        <v>0</v>
      </c>
      <c r="M104" t="s">
        <v>134</v>
      </c>
      <c r="N104" t="s">
        <v>136</v>
      </c>
      <c r="O104" t="s">
        <v>141</v>
      </c>
      <c r="P104" t="s">
        <v>149</v>
      </c>
      <c r="Q104" t="s">
        <v>143</v>
      </c>
      <c r="R104" t="s">
        <v>160</v>
      </c>
      <c r="S104" t="s">
        <v>174</v>
      </c>
      <c r="T104" t="s">
        <v>185</v>
      </c>
      <c r="U104" t="s">
        <v>179</v>
      </c>
      <c r="V104" t="s">
        <v>177</v>
      </c>
      <c r="W104">
        <v>0</v>
      </c>
      <c r="X104">
        <v>0</v>
      </c>
      <c r="Y104">
        <v>0</v>
      </c>
      <c r="Z104">
        <v>0</v>
      </c>
      <c r="AA104">
        <v>2</v>
      </c>
      <c r="AB104" s="51">
        <v>2</v>
      </c>
      <c r="AC104" t="s">
        <v>99</v>
      </c>
      <c r="AD104" t="s">
        <v>67</v>
      </c>
      <c r="AE104">
        <v>0</v>
      </c>
      <c r="AF104">
        <v>0.6</v>
      </c>
      <c r="AG104" t="s">
        <v>66</v>
      </c>
      <c r="AH104" t="s">
        <v>98</v>
      </c>
    </row>
    <row r="105" spans="1:34" x14ac:dyDescent="0.2">
      <c r="A105">
        <v>146</v>
      </c>
      <c r="B105">
        <v>22</v>
      </c>
      <c r="C105" t="s">
        <v>16</v>
      </c>
      <c r="D105">
        <v>39</v>
      </c>
      <c r="E105">
        <v>53.74</v>
      </c>
      <c r="F105" t="s">
        <v>18</v>
      </c>
      <c r="G105" t="s">
        <v>23</v>
      </c>
      <c r="H105">
        <v>2</v>
      </c>
      <c r="I105">
        <v>86.9</v>
      </c>
      <c r="J105">
        <v>6</v>
      </c>
      <c r="K105">
        <v>2244.23</v>
      </c>
      <c r="L105">
        <v>0</v>
      </c>
      <c r="M105" t="s">
        <v>134</v>
      </c>
      <c r="N105" t="s">
        <v>136</v>
      </c>
      <c r="O105" t="s">
        <v>141</v>
      </c>
      <c r="P105" t="s">
        <v>148</v>
      </c>
      <c r="Q105" t="s">
        <v>144</v>
      </c>
      <c r="R105" t="s">
        <v>159</v>
      </c>
      <c r="S105" t="s">
        <v>174</v>
      </c>
      <c r="T105" t="s">
        <v>183</v>
      </c>
      <c r="U105" t="s">
        <v>179</v>
      </c>
      <c r="V105" t="s">
        <v>188</v>
      </c>
      <c r="W105">
        <v>1</v>
      </c>
      <c r="X105">
        <v>0</v>
      </c>
      <c r="Y105">
        <v>2</v>
      </c>
      <c r="Z105">
        <v>0</v>
      </c>
      <c r="AA105">
        <v>0</v>
      </c>
      <c r="AB105" s="51">
        <v>3</v>
      </c>
      <c r="AC105" t="s">
        <v>99</v>
      </c>
      <c r="AD105" t="s">
        <v>67</v>
      </c>
      <c r="AE105">
        <v>0</v>
      </c>
      <c r="AF105">
        <v>0.42105263157894735</v>
      </c>
      <c r="AG105" t="s">
        <v>67</v>
      </c>
      <c r="AH105" t="s">
        <v>182</v>
      </c>
    </row>
    <row r="106" spans="1:34" x14ac:dyDescent="0.2">
      <c r="A106">
        <v>147</v>
      </c>
      <c r="B106">
        <v>43</v>
      </c>
      <c r="C106" t="s">
        <v>15</v>
      </c>
      <c r="D106">
        <v>53</v>
      </c>
      <c r="E106">
        <v>109.96</v>
      </c>
      <c r="F106" t="s">
        <v>20</v>
      </c>
      <c r="G106" t="s">
        <v>23</v>
      </c>
      <c r="H106">
        <v>2</v>
      </c>
      <c r="I106">
        <v>48.7</v>
      </c>
      <c r="J106">
        <v>6</v>
      </c>
      <c r="K106">
        <v>5756.95</v>
      </c>
      <c r="L106">
        <v>0</v>
      </c>
      <c r="M106" t="s">
        <v>134</v>
      </c>
      <c r="N106" t="s">
        <v>136</v>
      </c>
      <c r="O106" t="s">
        <v>140</v>
      </c>
      <c r="P106" t="s">
        <v>148</v>
      </c>
      <c r="Q106" t="s">
        <v>146</v>
      </c>
      <c r="R106" t="s">
        <v>158</v>
      </c>
      <c r="S106" t="s">
        <v>174</v>
      </c>
      <c r="T106" t="s">
        <v>183</v>
      </c>
      <c r="U106" t="s">
        <v>176</v>
      </c>
      <c r="V106" t="s">
        <v>180</v>
      </c>
      <c r="W106">
        <v>3</v>
      </c>
      <c r="X106">
        <v>0</v>
      </c>
      <c r="Y106">
        <v>2</v>
      </c>
      <c r="Z106">
        <v>2</v>
      </c>
      <c r="AA106">
        <v>0</v>
      </c>
      <c r="AB106" s="51">
        <v>7</v>
      </c>
      <c r="AC106" t="s">
        <v>98</v>
      </c>
      <c r="AD106" t="s">
        <v>67</v>
      </c>
      <c r="AE106">
        <v>0</v>
      </c>
      <c r="AF106">
        <v>0.54166666666666663</v>
      </c>
      <c r="AG106" t="s">
        <v>66</v>
      </c>
      <c r="AH106" t="s">
        <v>182</v>
      </c>
    </row>
    <row r="107" spans="1:34" x14ac:dyDescent="0.2">
      <c r="A107">
        <v>148</v>
      </c>
      <c r="B107">
        <v>31</v>
      </c>
      <c r="C107" t="s">
        <v>16</v>
      </c>
      <c r="D107">
        <v>42</v>
      </c>
      <c r="E107">
        <v>80.760000000000005</v>
      </c>
      <c r="F107" t="s">
        <v>18</v>
      </c>
      <c r="G107" t="s">
        <v>24</v>
      </c>
      <c r="H107">
        <v>1</v>
      </c>
      <c r="I107">
        <v>76.2</v>
      </c>
      <c r="J107">
        <v>6</v>
      </c>
      <c r="K107">
        <v>3627.3</v>
      </c>
      <c r="L107">
        <v>0</v>
      </c>
      <c r="M107" t="s">
        <v>134</v>
      </c>
      <c r="N107" t="s">
        <v>136</v>
      </c>
      <c r="O107" t="s">
        <v>142</v>
      </c>
      <c r="P107" t="s">
        <v>148</v>
      </c>
      <c r="Q107" t="s">
        <v>146</v>
      </c>
      <c r="R107" t="s">
        <v>159</v>
      </c>
      <c r="S107" t="s">
        <v>174</v>
      </c>
      <c r="T107" t="s">
        <v>183</v>
      </c>
      <c r="U107" t="s">
        <v>181</v>
      </c>
      <c r="V107" t="s">
        <v>180</v>
      </c>
      <c r="W107">
        <v>1</v>
      </c>
      <c r="X107">
        <v>0</v>
      </c>
      <c r="Y107">
        <v>2</v>
      </c>
      <c r="Z107">
        <v>1</v>
      </c>
      <c r="AA107">
        <v>0</v>
      </c>
      <c r="AB107" s="51">
        <v>4</v>
      </c>
      <c r="AC107" t="s">
        <v>182</v>
      </c>
      <c r="AD107" t="s">
        <v>67</v>
      </c>
      <c r="AE107">
        <v>0</v>
      </c>
      <c r="AF107">
        <v>0.40740740740740738</v>
      </c>
      <c r="AG107" t="s">
        <v>67</v>
      </c>
      <c r="AH107" t="s">
        <v>182</v>
      </c>
    </row>
    <row r="108" spans="1:34" x14ac:dyDescent="0.2">
      <c r="A108">
        <v>149</v>
      </c>
      <c r="B108">
        <v>56</v>
      </c>
      <c r="C108" t="s">
        <v>15</v>
      </c>
      <c r="D108">
        <v>58</v>
      </c>
      <c r="E108">
        <v>44.44</v>
      </c>
      <c r="F108" t="s">
        <v>20</v>
      </c>
      <c r="G108" t="s">
        <v>22</v>
      </c>
      <c r="H108">
        <v>3</v>
      </c>
      <c r="I108">
        <v>32.6</v>
      </c>
      <c r="J108">
        <v>9</v>
      </c>
      <c r="K108">
        <v>2780.16</v>
      </c>
      <c r="L108">
        <v>1</v>
      </c>
      <c r="M108" t="s">
        <v>134</v>
      </c>
      <c r="N108" t="s">
        <v>136</v>
      </c>
      <c r="O108" t="s">
        <v>141</v>
      </c>
      <c r="P108" t="s">
        <v>149</v>
      </c>
      <c r="Q108" t="s">
        <v>145</v>
      </c>
      <c r="R108" t="s">
        <v>158</v>
      </c>
      <c r="S108" t="s">
        <v>174</v>
      </c>
      <c r="T108" t="s">
        <v>185</v>
      </c>
      <c r="U108" t="s">
        <v>179</v>
      </c>
      <c r="V108" t="s">
        <v>184</v>
      </c>
      <c r="W108">
        <v>3</v>
      </c>
      <c r="X108">
        <v>0</v>
      </c>
      <c r="Y108">
        <v>0</v>
      </c>
      <c r="Z108">
        <v>0</v>
      </c>
      <c r="AA108">
        <v>1</v>
      </c>
      <c r="AB108" s="51">
        <v>4</v>
      </c>
      <c r="AC108" t="s">
        <v>182</v>
      </c>
      <c r="AD108" t="s">
        <v>67</v>
      </c>
      <c r="AE108">
        <v>0</v>
      </c>
      <c r="AF108">
        <v>0.40740740740740738</v>
      </c>
      <c r="AG108" t="s">
        <v>67</v>
      </c>
      <c r="AH108" t="s">
        <v>182</v>
      </c>
    </row>
    <row r="109" spans="1:34" x14ac:dyDescent="0.2">
      <c r="A109">
        <v>150</v>
      </c>
      <c r="B109">
        <v>44</v>
      </c>
      <c r="C109" t="s">
        <v>16</v>
      </c>
      <c r="D109">
        <v>39</v>
      </c>
      <c r="E109">
        <v>69.819999999999993</v>
      </c>
      <c r="F109" t="s">
        <v>20</v>
      </c>
      <c r="G109" t="s">
        <v>23</v>
      </c>
      <c r="H109">
        <v>2</v>
      </c>
      <c r="I109">
        <v>79.8</v>
      </c>
      <c r="J109">
        <v>2</v>
      </c>
      <c r="K109">
        <v>2484.6999999999998</v>
      </c>
      <c r="L109">
        <v>1</v>
      </c>
      <c r="M109" t="s">
        <v>134</v>
      </c>
      <c r="N109" t="s">
        <v>136</v>
      </c>
      <c r="O109" t="s">
        <v>142</v>
      </c>
      <c r="P109" t="s">
        <v>147</v>
      </c>
      <c r="Q109" t="s">
        <v>146</v>
      </c>
      <c r="R109" t="s">
        <v>158</v>
      </c>
      <c r="S109" t="s">
        <v>174</v>
      </c>
      <c r="T109" t="s">
        <v>175</v>
      </c>
      <c r="U109" t="s">
        <v>181</v>
      </c>
      <c r="V109" t="s">
        <v>180</v>
      </c>
      <c r="W109">
        <v>3</v>
      </c>
      <c r="X109">
        <v>0</v>
      </c>
      <c r="Y109">
        <v>4</v>
      </c>
      <c r="Z109">
        <v>1</v>
      </c>
      <c r="AA109">
        <v>0</v>
      </c>
      <c r="AB109" s="51">
        <v>8</v>
      </c>
      <c r="AC109" t="s">
        <v>98</v>
      </c>
      <c r="AD109" t="s">
        <v>67</v>
      </c>
      <c r="AE109">
        <v>0</v>
      </c>
      <c r="AF109">
        <v>0.73684210526315785</v>
      </c>
      <c r="AG109" t="s">
        <v>66</v>
      </c>
      <c r="AH109" t="s">
        <v>98</v>
      </c>
    </row>
    <row r="110" spans="1:34" x14ac:dyDescent="0.2">
      <c r="A110">
        <v>152</v>
      </c>
      <c r="B110">
        <v>32</v>
      </c>
      <c r="C110" t="s">
        <v>16</v>
      </c>
      <c r="D110">
        <v>5</v>
      </c>
      <c r="E110">
        <v>113.37</v>
      </c>
      <c r="F110" t="s">
        <v>20</v>
      </c>
      <c r="G110" t="s">
        <v>24</v>
      </c>
      <c r="H110">
        <v>3</v>
      </c>
      <c r="I110">
        <v>38.799999999999997</v>
      </c>
      <c r="J110">
        <v>6</v>
      </c>
      <c r="K110">
        <v>560.99</v>
      </c>
      <c r="L110">
        <v>0</v>
      </c>
      <c r="M110" t="s">
        <v>134</v>
      </c>
      <c r="N110" t="s">
        <v>135</v>
      </c>
      <c r="O110" t="s">
        <v>140</v>
      </c>
      <c r="P110" t="s">
        <v>148</v>
      </c>
      <c r="Q110" t="s">
        <v>145</v>
      </c>
      <c r="R110" t="s">
        <v>158</v>
      </c>
      <c r="S110" t="s">
        <v>189</v>
      </c>
      <c r="T110" t="s">
        <v>183</v>
      </c>
      <c r="U110" t="s">
        <v>176</v>
      </c>
      <c r="V110" t="s">
        <v>184</v>
      </c>
      <c r="W110">
        <v>3</v>
      </c>
      <c r="X110">
        <v>3</v>
      </c>
      <c r="Y110">
        <v>2</v>
      </c>
      <c r="Z110">
        <v>2</v>
      </c>
      <c r="AA110">
        <v>1</v>
      </c>
      <c r="AB110" s="51">
        <v>11</v>
      </c>
      <c r="AC110" t="s">
        <v>98</v>
      </c>
      <c r="AD110" t="s">
        <v>67</v>
      </c>
      <c r="AE110">
        <v>0</v>
      </c>
      <c r="AF110">
        <v>0.6</v>
      </c>
      <c r="AG110" t="s">
        <v>66</v>
      </c>
      <c r="AH110" t="s">
        <v>98</v>
      </c>
    </row>
    <row r="111" spans="1:34" x14ac:dyDescent="0.2">
      <c r="A111">
        <v>153</v>
      </c>
      <c r="B111">
        <v>32</v>
      </c>
      <c r="C111" t="s">
        <v>15</v>
      </c>
      <c r="D111">
        <v>35</v>
      </c>
      <c r="E111">
        <v>20.75</v>
      </c>
      <c r="F111" t="s">
        <v>18</v>
      </c>
      <c r="G111" t="s">
        <v>22</v>
      </c>
      <c r="H111">
        <v>3</v>
      </c>
      <c r="I111">
        <v>97.9</v>
      </c>
      <c r="J111">
        <v>10</v>
      </c>
      <c r="K111">
        <v>727.77</v>
      </c>
      <c r="L111">
        <v>0</v>
      </c>
      <c r="M111" t="s">
        <v>134</v>
      </c>
      <c r="N111" t="s">
        <v>136</v>
      </c>
      <c r="O111" t="s">
        <v>139</v>
      </c>
      <c r="P111" t="s">
        <v>149</v>
      </c>
      <c r="Q111" t="s">
        <v>144</v>
      </c>
      <c r="R111" t="s">
        <v>159</v>
      </c>
      <c r="S111" t="s">
        <v>174</v>
      </c>
      <c r="T111" t="s">
        <v>185</v>
      </c>
      <c r="U111" t="s">
        <v>187</v>
      </c>
      <c r="V111" t="s">
        <v>188</v>
      </c>
      <c r="W111">
        <v>1</v>
      </c>
      <c r="X111">
        <v>0</v>
      </c>
      <c r="Y111">
        <v>0</v>
      </c>
      <c r="Z111">
        <v>0</v>
      </c>
      <c r="AA111">
        <v>0</v>
      </c>
      <c r="AB111" s="51">
        <v>1</v>
      </c>
      <c r="AC111" t="s">
        <v>99</v>
      </c>
      <c r="AD111" t="s">
        <v>67</v>
      </c>
      <c r="AE111">
        <v>0</v>
      </c>
      <c r="AF111">
        <v>0.25</v>
      </c>
      <c r="AG111" t="s">
        <v>67</v>
      </c>
      <c r="AH111" t="s">
        <v>99</v>
      </c>
    </row>
    <row r="112" spans="1:34" x14ac:dyDescent="0.2">
      <c r="A112">
        <v>154</v>
      </c>
      <c r="B112">
        <v>43</v>
      </c>
      <c r="C112" t="s">
        <v>16</v>
      </c>
      <c r="D112">
        <v>18</v>
      </c>
      <c r="E112">
        <v>42.53</v>
      </c>
      <c r="F112" t="s">
        <v>20</v>
      </c>
      <c r="G112" t="s">
        <v>24</v>
      </c>
      <c r="H112">
        <v>0</v>
      </c>
      <c r="I112">
        <v>80.400000000000006</v>
      </c>
      <c r="J112">
        <v>8</v>
      </c>
      <c r="K112">
        <v>784.92</v>
      </c>
      <c r="L112">
        <v>1</v>
      </c>
      <c r="M112" t="s">
        <v>134</v>
      </c>
      <c r="N112" t="s">
        <v>137</v>
      </c>
      <c r="O112" t="s">
        <v>141</v>
      </c>
      <c r="P112" t="s">
        <v>149</v>
      </c>
      <c r="Q112" t="s">
        <v>144</v>
      </c>
      <c r="R112" t="s">
        <v>158</v>
      </c>
      <c r="S112" t="s">
        <v>178</v>
      </c>
      <c r="T112" t="s">
        <v>185</v>
      </c>
      <c r="U112" t="s">
        <v>179</v>
      </c>
      <c r="V112" t="s">
        <v>188</v>
      </c>
      <c r="W112">
        <v>3</v>
      </c>
      <c r="X112">
        <v>1</v>
      </c>
      <c r="Y112">
        <v>0</v>
      </c>
      <c r="Z112">
        <v>0</v>
      </c>
      <c r="AA112">
        <v>0</v>
      </c>
      <c r="AB112" s="51">
        <v>4</v>
      </c>
      <c r="AC112" t="s">
        <v>182</v>
      </c>
      <c r="AD112" t="s">
        <v>67</v>
      </c>
      <c r="AE112">
        <v>0</v>
      </c>
      <c r="AF112">
        <v>0.40740740740740738</v>
      </c>
      <c r="AG112" t="s">
        <v>67</v>
      </c>
      <c r="AH112" t="s">
        <v>182</v>
      </c>
    </row>
    <row r="113" spans="1:34" x14ac:dyDescent="0.2">
      <c r="A113">
        <v>155</v>
      </c>
      <c r="B113">
        <v>59</v>
      </c>
      <c r="C113" t="s">
        <v>15</v>
      </c>
      <c r="D113">
        <v>9</v>
      </c>
      <c r="E113">
        <v>56.54</v>
      </c>
      <c r="F113" t="s">
        <v>19</v>
      </c>
      <c r="G113" t="s">
        <v>22</v>
      </c>
      <c r="H113">
        <v>1</v>
      </c>
      <c r="I113">
        <v>52.2</v>
      </c>
      <c r="J113">
        <v>3</v>
      </c>
      <c r="K113">
        <v>552.25</v>
      </c>
      <c r="L113">
        <v>0</v>
      </c>
      <c r="M113" t="s">
        <v>134</v>
      </c>
      <c r="N113" t="s">
        <v>138</v>
      </c>
      <c r="O113" t="s">
        <v>141</v>
      </c>
      <c r="P113" t="s">
        <v>147</v>
      </c>
      <c r="Q113" t="s">
        <v>146</v>
      </c>
      <c r="R113" t="s">
        <v>160</v>
      </c>
      <c r="S113" t="s">
        <v>186</v>
      </c>
      <c r="T113" t="s">
        <v>175</v>
      </c>
      <c r="U113" t="s">
        <v>179</v>
      </c>
      <c r="V113" t="s">
        <v>180</v>
      </c>
      <c r="W113">
        <v>0</v>
      </c>
      <c r="X113">
        <v>2</v>
      </c>
      <c r="Y113">
        <v>4</v>
      </c>
      <c r="Z113">
        <v>0</v>
      </c>
      <c r="AA113">
        <v>0</v>
      </c>
      <c r="AB113" s="51">
        <v>6</v>
      </c>
      <c r="AC113" t="s">
        <v>182</v>
      </c>
      <c r="AD113" t="s">
        <v>67</v>
      </c>
      <c r="AE113">
        <v>0</v>
      </c>
      <c r="AF113">
        <v>0.33333333333333331</v>
      </c>
      <c r="AG113" t="s">
        <v>67</v>
      </c>
      <c r="AH113" t="s">
        <v>99</v>
      </c>
    </row>
    <row r="114" spans="1:34" x14ac:dyDescent="0.2">
      <c r="A114">
        <v>157</v>
      </c>
      <c r="B114">
        <v>68</v>
      </c>
      <c r="C114" t="s">
        <v>15</v>
      </c>
      <c r="D114">
        <v>17</v>
      </c>
      <c r="E114">
        <v>105.08</v>
      </c>
      <c r="F114" t="s">
        <v>19</v>
      </c>
      <c r="G114" t="s">
        <v>22</v>
      </c>
      <c r="H114">
        <v>0</v>
      </c>
      <c r="I114">
        <v>87.9</v>
      </c>
      <c r="J114">
        <v>1</v>
      </c>
      <c r="K114">
        <v>1778.09</v>
      </c>
      <c r="L114">
        <v>1</v>
      </c>
      <c r="M114" t="s">
        <v>134</v>
      </c>
      <c r="N114" t="s">
        <v>137</v>
      </c>
      <c r="O114" t="s">
        <v>140</v>
      </c>
      <c r="P114" t="s">
        <v>147</v>
      </c>
      <c r="Q114" t="s">
        <v>144</v>
      </c>
      <c r="R114" t="s">
        <v>160</v>
      </c>
      <c r="S114" t="s">
        <v>178</v>
      </c>
      <c r="T114" t="s">
        <v>175</v>
      </c>
      <c r="U114" t="s">
        <v>176</v>
      </c>
      <c r="V114" t="s">
        <v>188</v>
      </c>
      <c r="W114">
        <v>0</v>
      </c>
      <c r="X114">
        <v>1</v>
      </c>
      <c r="Y114">
        <v>4</v>
      </c>
      <c r="Z114">
        <v>2</v>
      </c>
      <c r="AA114">
        <v>0</v>
      </c>
      <c r="AB114" s="51">
        <v>7</v>
      </c>
      <c r="AC114" t="s">
        <v>98</v>
      </c>
      <c r="AD114" t="s">
        <v>67</v>
      </c>
      <c r="AE114">
        <v>0</v>
      </c>
      <c r="AF114">
        <v>0.54166666666666663</v>
      </c>
      <c r="AG114" t="s">
        <v>66</v>
      </c>
      <c r="AH114" t="s">
        <v>182</v>
      </c>
    </row>
    <row r="115" spans="1:34" x14ac:dyDescent="0.2">
      <c r="A115">
        <v>158</v>
      </c>
      <c r="B115">
        <v>49</v>
      </c>
      <c r="C115" t="s">
        <v>15</v>
      </c>
      <c r="D115">
        <v>7</v>
      </c>
      <c r="E115">
        <v>28.79</v>
      </c>
      <c r="F115" t="s">
        <v>18</v>
      </c>
      <c r="G115" t="s">
        <v>23</v>
      </c>
      <c r="H115">
        <v>3</v>
      </c>
      <c r="I115">
        <v>56.8</v>
      </c>
      <c r="J115">
        <v>9</v>
      </c>
      <c r="K115">
        <v>209.1</v>
      </c>
      <c r="L115">
        <v>0</v>
      </c>
      <c r="M115" t="s">
        <v>134</v>
      </c>
      <c r="N115" t="s">
        <v>138</v>
      </c>
      <c r="O115" t="s">
        <v>139</v>
      </c>
      <c r="P115" t="s">
        <v>149</v>
      </c>
      <c r="Q115" t="s">
        <v>146</v>
      </c>
      <c r="R115" t="s">
        <v>159</v>
      </c>
      <c r="S115" t="s">
        <v>186</v>
      </c>
      <c r="T115" t="s">
        <v>185</v>
      </c>
      <c r="U115" t="s">
        <v>187</v>
      </c>
      <c r="V115" t="s">
        <v>180</v>
      </c>
      <c r="W115">
        <v>1</v>
      </c>
      <c r="X115">
        <v>2</v>
      </c>
      <c r="Y115">
        <v>0</v>
      </c>
      <c r="Z115">
        <v>0</v>
      </c>
      <c r="AA115">
        <v>0</v>
      </c>
      <c r="AB115" s="51">
        <v>3</v>
      </c>
      <c r="AC115" t="s">
        <v>99</v>
      </c>
      <c r="AD115" t="s">
        <v>67</v>
      </c>
      <c r="AE115">
        <v>0</v>
      </c>
      <c r="AF115">
        <v>0.42105263157894735</v>
      </c>
      <c r="AG115" t="s">
        <v>67</v>
      </c>
      <c r="AH115" t="s">
        <v>182</v>
      </c>
    </row>
    <row r="116" spans="1:34" x14ac:dyDescent="0.2">
      <c r="A116">
        <v>159</v>
      </c>
      <c r="B116">
        <v>56</v>
      </c>
      <c r="C116" t="s">
        <v>15</v>
      </c>
      <c r="D116">
        <v>46</v>
      </c>
      <c r="E116">
        <v>100.59</v>
      </c>
      <c r="F116" t="s">
        <v>20</v>
      </c>
      <c r="G116" t="s">
        <v>24</v>
      </c>
      <c r="H116">
        <v>1</v>
      </c>
      <c r="I116">
        <v>77.099999999999994</v>
      </c>
      <c r="J116">
        <v>1</v>
      </c>
      <c r="K116">
        <v>4833.24</v>
      </c>
      <c r="L116">
        <v>0</v>
      </c>
      <c r="M116" t="s">
        <v>134</v>
      </c>
      <c r="N116" t="s">
        <v>136</v>
      </c>
      <c r="O116" t="s">
        <v>140</v>
      </c>
      <c r="P116" t="s">
        <v>147</v>
      </c>
      <c r="Q116" t="s">
        <v>146</v>
      </c>
      <c r="R116" t="s">
        <v>158</v>
      </c>
      <c r="S116" t="s">
        <v>174</v>
      </c>
      <c r="T116" t="s">
        <v>175</v>
      </c>
      <c r="U116" t="s">
        <v>176</v>
      </c>
      <c r="V116" t="s">
        <v>180</v>
      </c>
      <c r="W116">
        <v>3</v>
      </c>
      <c r="X116">
        <v>0</v>
      </c>
      <c r="Y116">
        <v>4</v>
      </c>
      <c r="Z116">
        <v>2</v>
      </c>
      <c r="AA116">
        <v>0</v>
      </c>
      <c r="AB116" s="51">
        <v>9</v>
      </c>
      <c r="AC116" t="s">
        <v>98</v>
      </c>
      <c r="AD116" t="s">
        <v>67</v>
      </c>
      <c r="AE116">
        <v>0</v>
      </c>
      <c r="AF116">
        <v>0.54545454545454541</v>
      </c>
      <c r="AG116" t="s">
        <v>66</v>
      </c>
      <c r="AH116" t="s">
        <v>182</v>
      </c>
    </row>
    <row r="117" spans="1:34" x14ac:dyDescent="0.2">
      <c r="A117">
        <v>160</v>
      </c>
      <c r="B117">
        <v>66</v>
      </c>
      <c r="C117" t="s">
        <v>16</v>
      </c>
      <c r="D117">
        <v>13</v>
      </c>
      <c r="E117">
        <v>25.57</v>
      </c>
      <c r="F117" t="s">
        <v>20</v>
      </c>
      <c r="G117" t="s">
        <v>24</v>
      </c>
      <c r="H117">
        <v>0</v>
      </c>
      <c r="I117">
        <v>76.599999999999994</v>
      </c>
      <c r="J117">
        <v>3</v>
      </c>
      <c r="K117">
        <v>345.21</v>
      </c>
      <c r="L117">
        <v>1</v>
      </c>
      <c r="M117" t="s">
        <v>134</v>
      </c>
      <c r="N117" t="s">
        <v>137</v>
      </c>
      <c r="O117" t="s">
        <v>139</v>
      </c>
      <c r="P117" t="s">
        <v>147</v>
      </c>
      <c r="Q117" t="s">
        <v>146</v>
      </c>
      <c r="R117" t="s">
        <v>158</v>
      </c>
      <c r="S117" t="s">
        <v>178</v>
      </c>
      <c r="T117" t="s">
        <v>175</v>
      </c>
      <c r="U117" t="s">
        <v>187</v>
      </c>
      <c r="V117" t="s">
        <v>180</v>
      </c>
      <c r="W117">
        <v>3</v>
      </c>
      <c r="X117">
        <v>1</v>
      </c>
      <c r="Y117">
        <v>4</v>
      </c>
      <c r="Z117">
        <v>0</v>
      </c>
      <c r="AA117">
        <v>0</v>
      </c>
      <c r="AB117" s="51">
        <v>8</v>
      </c>
      <c r="AC117" t="s">
        <v>98</v>
      </c>
      <c r="AD117" t="s">
        <v>67</v>
      </c>
      <c r="AE117">
        <v>0</v>
      </c>
      <c r="AF117">
        <v>0.73684210526315785</v>
      </c>
      <c r="AG117" t="s">
        <v>66</v>
      </c>
      <c r="AH117" t="s">
        <v>98</v>
      </c>
    </row>
    <row r="118" spans="1:34" x14ac:dyDescent="0.2">
      <c r="A118">
        <v>161</v>
      </c>
      <c r="B118">
        <v>69</v>
      </c>
      <c r="C118" t="s">
        <v>15</v>
      </c>
      <c r="D118">
        <v>40</v>
      </c>
      <c r="E118">
        <v>104.23</v>
      </c>
      <c r="F118" t="s">
        <v>19</v>
      </c>
      <c r="G118" t="s">
        <v>22</v>
      </c>
      <c r="H118">
        <v>0</v>
      </c>
      <c r="I118">
        <v>6.7</v>
      </c>
      <c r="J118">
        <v>8</v>
      </c>
      <c r="K118">
        <v>3864.38</v>
      </c>
      <c r="L118">
        <v>0</v>
      </c>
      <c r="M118" t="s">
        <v>134</v>
      </c>
      <c r="N118" t="s">
        <v>136</v>
      </c>
      <c r="O118" t="s">
        <v>140</v>
      </c>
      <c r="P118" t="s">
        <v>149</v>
      </c>
      <c r="Q118" t="s">
        <v>143</v>
      </c>
      <c r="R118" t="s">
        <v>160</v>
      </c>
      <c r="S118" t="s">
        <v>174</v>
      </c>
      <c r="T118" t="s">
        <v>185</v>
      </c>
      <c r="U118" t="s">
        <v>176</v>
      </c>
      <c r="V118" t="s">
        <v>177</v>
      </c>
      <c r="W118">
        <v>0</v>
      </c>
      <c r="X118">
        <v>0</v>
      </c>
      <c r="Y118">
        <v>0</v>
      </c>
      <c r="Z118">
        <v>2</v>
      </c>
      <c r="AA118">
        <v>2</v>
      </c>
      <c r="AB118" s="51">
        <v>4</v>
      </c>
      <c r="AC118" t="s">
        <v>182</v>
      </c>
      <c r="AD118" t="s">
        <v>67</v>
      </c>
      <c r="AE118">
        <v>0</v>
      </c>
      <c r="AF118">
        <v>0.40740740740740738</v>
      </c>
      <c r="AG118" t="s">
        <v>67</v>
      </c>
      <c r="AH118" t="s">
        <v>182</v>
      </c>
    </row>
    <row r="119" spans="1:34" x14ac:dyDescent="0.2">
      <c r="A119">
        <v>163</v>
      </c>
      <c r="B119">
        <v>21</v>
      </c>
      <c r="C119" t="s">
        <v>15</v>
      </c>
      <c r="D119">
        <v>9</v>
      </c>
      <c r="E119">
        <v>21.82</v>
      </c>
      <c r="F119" t="s">
        <v>20</v>
      </c>
      <c r="G119" t="s">
        <v>23</v>
      </c>
      <c r="H119">
        <v>1</v>
      </c>
      <c r="I119">
        <v>67.7</v>
      </c>
      <c r="J119">
        <v>4</v>
      </c>
      <c r="K119">
        <v>190.83</v>
      </c>
      <c r="L119">
        <v>1</v>
      </c>
      <c r="M119" t="s">
        <v>134</v>
      </c>
      <c r="N119" t="s">
        <v>138</v>
      </c>
      <c r="O119" t="s">
        <v>139</v>
      </c>
      <c r="P119" t="s">
        <v>148</v>
      </c>
      <c r="Q119" t="s">
        <v>146</v>
      </c>
      <c r="R119" t="s">
        <v>158</v>
      </c>
      <c r="S119" t="s">
        <v>186</v>
      </c>
      <c r="T119" t="s">
        <v>183</v>
      </c>
      <c r="U119" t="s">
        <v>187</v>
      </c>
      <c r="V119" t="s">
        <v>180</v>
      </c>
      <c r="W119">
        <v>3</v>
      </c>
      <c r="X119">
        <v>2</v>
      </c>
      <c r="Y119">
        <v>2</v>
      </c>
      <c r="Z119">
        <v>0</v>
      </c>
      <c r="AA119">
        <v>0</v>
      </c>
      <c r="AB119" s="51">
        <v>7</v>
      </c>
      <c r="AC119" t="s">
        <v>98</v>
      </c>
      <c r="AD119" t="s">
        <v>67</v>
      </c>
      <c r="AE119">
        <v>0</v>
      </c>
      <c r="AF119">
        <v>0.54166666666666663</v>
      </c>
      <c r="AG119" t="s">
        <v>66</v>
      </c>
      <c r="AH119" t="s">
        <v>182</v>
      </c>
    </row>
    <row r="120" spans="1:34" x14ac:dyDescent="0.2">
      <c r="A120">
        <v>164</v>
      </c>
      <c r="B120">
        <v>47</v>
      </c>
      <c r="C120" t="s">
        <v>16</v>
      </c>
      <c r="D120">
        <v>50</v>
      </c>
      <c r="E120">
        <v>89.7</v>
      </c>
      <c r="F120" t="s">
        <v>20</v>
      </c>
      <c r="G120" t="s">
        <v>24</v>
      </c>
      <c r="H120">
        <v>1</v>
      </c>
      <c r="I120">
        <v>20.399999999999999</v>
      </c>
      <c r="J120">
        <v>8</v>
      </c>
      <c r="K120">
        <v>4758.08</v>
      </c>
      <c r="L120">
        <v>0</v>
      </c>
      <c r="M120" t="s">
        <v>134</v>
      </c>
      <c r="N120" t="s">
        <v>136</v>
      </c>
      <c r="O120" t="s">
        <v>142</v>
      </c>
      <c r="P120" t="s">
        <v>149</v>
      </c>
      <c r="Q120" t="s">
        <v>145</v>
      </c>
      <c r="R120" t="s">
        <v>158</v>
      </c>
      <c r="S120" t="s">
        <v>174</v>
      </c>
      <c r="T120" t="s">
        <v>185</v>
      </c>
      <c r="U120" t="s">
        <v>181</v>
      </c>
      <c r="V120" t="s">
        <v>184</v>
      </c>
      <c r="W120">
        <v>3</v>
      </c>
      <c r="X120">
        <v>0</v>
      </c>
      <c r="Y120">
        <v>0</v>
      </c>
      <c r="Z120">
        <v>1</v>
      </c>
      <c r="AA120">
        <v>1</v>
      </c>
      <c r="AB120" s="51">
        <v>5</v>
      </c>
      <c r="AC120" t="s">
        <v>182</v>
      </c>
      <c r="AD120" t="s">
        <v>67</v>
      </c>
      <c r="AE120">
        <v>0</v>
      </c>
      <c r="AF120">
        <v>0.33333333333333331</v>
      </c>
      <c r="AG120" t="s">
        <v>67</v>
      </c>
      <c r="AH120" t="s">
        <v>99</v>
      </c>
    </row>
    <row r="121" spans="1:34" x14ac:dyDescent="0.2">
      <c r="A121">
        <v>165</v>
      </c>
      <c r="B121">
        <v>54</v>
      </c>
      <c r="C121" t="s">
        <v>15</v>
      </c>
      <c r="D121">
        <v>27</v>
      </c>
      <c r="E121">
        <v>119.73</v>
      </c>
      <c r="F121" t="s">
        <v>20</v>
      </c>
      <c r="G121" t="s">
        <v>23</v>
      </c>
      <c r="H121">
        <v>4</v>
      </c>
      <c r="I121">
        <v>29.3</v>
      </c>
      <c r="J121">
        <v>1</v>
      </c>
      <c r="K121">
        <v>3089.67</v>
      </c>
      <c r="L121">
        <v>1</v>
      </c>
      <c r="M121" t="s">
        <v>134</v>
      </c>
      <c r="N121" t="s">
        <v>136</v>
      </c>
      <c r="O121" t="s">
        <v>140</v>
      </c>
      <c r="P121" t="s">
        <v>147</v>
      </c>
      <c r="Q121" t="s">
        <v>145</v>
      </c>
      <c r="R121" t="s">
        <v>158</v>
      </c>
      <c r="S121" t="s">
        <v>174</v>
      </c>
      <c r="T121" t="s">
        <v>175</v>
      </c>
      <c r="U121" t="s">
        <v>176</v>
      </c>
      <c r="V121" t="s">
        <v>184</v>
      </c>
      <c r="W121">
        <v>3</v>
      </c>
      <c r="X121">
        <v>0</v>
      </c>
      <c r="Y121">
        <v>4</v>
      </c>
      <c r="Z121">
        <v>2</v>
      </c>
      <c r="AA121">
        <v>1</v>
      </c>
      <c r="AB121" s="51">
        <v>10</v>
      </c>
      <c r="AC121" t="s">
        <v>98</v>
      </c>
      <c r="AD121" t="s">
        <v>67</v>
      </c>
      <c r="AE121">
        <v>0</v>
      </c>
      <c r="AF121">
        <v>0.5</v>
      </c>
      <c r="AG121" t="s">
        <v>66</v>
      </c>
      <c r="AH121" t="s">
        <v>182</v>
      </c>
    </row>
    <row r="122" spans="1:34" x14ac:dyDescent="0.2">
      <c r="A122">
        <v>166</v>
      </c>
      <c r="B122">
        <v>40</v>
      </c>
      <c r="C122" t="s">
        <v>16</v>
      </c>
      <c r="D122">
        <v>66</v>
      </c>
      <c r="E122">
        <v>109.66</v>
      </c>
      <c r="F122" t="s">
        <v>18</v>
      </c>
      <c r="G122" t="s">
        <v>23</v>
      </c>
      <c r="H122">
        <v>3</v>
      </c>
      <c r="I122">
        <v>94.9</v>
      </c>
      <c r="J122">
        <v>6</v>
      </c>
      <c r="K122">
        <v>6818.8</v>
      </c>
      <c r="L122">
        <v>1</v>
      </c>
      <c r="M122" t="s">
        <v>134</v>
      </c>
      <c r="N122" t="s">
        <v>136</v>
      </c>
      <c r="O122" t="s">
        <v>140</v>
      </c>
      <c r="P122" t="s">
        <v>148</v>
      </c>
      <c r="Q122" t="s">
        <v>144</v>
      </c>
      <c r="R122" t="s">
        <v>159</v>
      </c>
      <c r="S122" t="s">
        <v>174</v>
      </c>
      <c r="T122" t="s">
        <v>183</v>
      </c>
      <c r="U122" t="s">
        <v>176</v>
      </c>
      <c r="V122" t="s">
        <v>188</v>
      </c>
      <c r="W122">
        <v>1</v>
      </c>
      <c r="X122">
        <v>0</v>
      </c>
      <c r="Y122">
        <v>2</v>
      </c>
      <c r="Z122">
        <v>2</v>
      </c>
      <c r="AA122">
        <v>0</v>
      </c>
      <c r="AB122" s="51">
        <v>5</v>
      </c>
      <c r="AC122" t="s">
        <v>182</v>
      </c>
      <c r="AD122" t="s">
        <v>67</v>
      </c>
      <c r="AE122">
        <v>0</v>
      </c>
      <c r="AF122">
        <v>0.33333333333333331</v>
      </c>
      <c r="AG122" t="s">
        <v>67</v>
      </c>
      <c r="AH122" t="s">
        <v>99</v>
      </c>
    </row>
    <row r="123" spans="1:34" x14ac:dyDescent="0.2">
      <c r="A123">
        <v>167</v>
      </c>
      <c r="B123">
        <v>56</v>
      </c>
      <c r="C123" t="s">
        <v>16</v>
      </c>
      <c r="D123">
        <v>5</v>
      </c>
      <c r="E123">
        <v>77.599999999999994</v>
      </c>
      <c r="F123" t="s">
        <v>18</v>
      </c>
      <c r="G123" t="s">
        <v>22</v>
      </c>
      <c r="H123">
        <v>2</v>
      </c>
      <c r="I123">
        <v>58.2</v>
      </c>
      <c r="J123">
        <v>1</v>
      </c>
      <c r="K123">
        <v>423.5</v>
      </c>
      <c r="L123">
        <v>1</v>
      </c>
      <c r="M123" t="s">
        <v>134</v>
      </c>
      <c r="N123" t="s">
        <v>135</v>
      </c>
      <c r="O123" t="s">
        <v>142</v>
      </c>
      <c r="P123" t="s">
        <v>147</v>
      </c>
      <c r="Q123" t="s">
        <v>146</v>
      </c>
      <c r="R123" t="s">
        <v>159</v>
      </c>
      <c r="S123" t="s">
        <v>189</v>
      </c>
      <c r="T123" t="s">
        <v>175</v>
      </c>
      <c r="U123" t="s">
        <v>181</v>
      </c>
      <c r="V123" t="s">
        <v>180</v>
      </c>
      <c r="W123">
        <v>1</v>
      </c>
      <c r="X123">
        <v>3</v>
      </c>
      <c r="Y123">
        <v>4</v>
      </c>
      <c r="Z123">
        <v>1</v>
      </c>
      <c r="AA123">
        <v>0</v>
      </c>
      <c r="AB123" s="51">
        <v>9</v>
      </c>
      <c r="AC123" t="s">
        <v>98</v>
      </c>
      <c r="AD123" t="s">
        <v>67</v>
      </c>
      <c r="AE123">
        <v>0</v>
      </c>
      <c r="AF123">
        <v>0.54545454545454541</v>
      </c>
      <c r="AG123" t="s">
        <v>66</v>
      </c>
      <c r="AH123" t="s">
        <v>182</v>
      </c>
    </row>
    <row r="124" spans="1:34" x14ac:dyDescent="0.2">
      <c r="A124">
        <v>168</v>
      </c>
      <c r="B124">
        <v>62</v>
      </c>
      <c r="C124" t="s">
        <v>15</v>
      </c>
      <c r="D124">
        <v>29</v>
      </c>
      <c r="E124">
        <v>111.74</v>
      </c>
      <c r="F124" t="s">
        <v>20</v>
      </c>
      <c r="G124" t="s">
        <v>23</v>
      </c>
      <c r="H124">
        <v>4</v>
      </c>
      <c r="I124">
        <v>76.3</v>
      </c>
      <c r="J124">
        <v>1</v>
      </c>
      <c r="K124">
        <v>2922.16</v>
      </c>
      <c r="L124">
        <v>1</v>
      </c>
      <c r="M124" t="s">
        <v>134</v>
      </c>
      <c r="N124" t="s">
        <v>136</v>
      </c>
      <c r="O124" t="s">
        <v>140</v>
      </c>
      <c r="P124" t="s">
        <v>147</v>
      </c>
      <c r="Q124" t="s">
        <v>146</v>
      </c>
      <c r="R124" t="s">
        <v>158</v>
      </c>
      <c r="S124" t="s">
        <v>174</v>
      </c>
      <c r="T124" t="s">
        <v>175</v>
      </c>
      <c r="U124" t="s">
        <v>176</v>
      </c>
      <c r="V124" t="s">
        <v>180</v>
      </c>
      <c r="W124">
        <v>3</v>
      </c>
      <c r="X124">
        <v>0</v>
      </c>
      <c r="Y124">
        <v>4</v>
      </c>
      <c r="Z124">
        <v>2</v>
      </c>
      <c r="AA124">
        <v>0</v>
      </c>
      <c r="AB124" s="51">
        <v>9</v>
      </c>
      <c r="AC124" t="s">
        <v>98</v>
      </c>
      <c r="AD124" t="s">
        <v>67</v>
      </c>
      <c r="AE124">
        <v>0</v>
      </c>
      <c r="AF124">
        <v>0.54545454545454541</v>
      </c>
      <c r="AG124" t="s">
        <v>66</v>
      </c>
      <c r="AH124" t="s">
        <v>182</v>
      </c>
    </row>
    <row r="125" spans="1:34" x14ac:dyDescent="0.2">
      <c r="A125">
        <v>169</v>
      </c>
      <c r="B125">
        <v>32</v>
      </c>
      <c r="C125" t="s">
        <v>16</v>
      </c>
      <c r="D125">
        <v>37</v>
      </c>
      <c r="E125">
        <v>20.53</v>
      </c>
      <c r="F125" t="s">
        <v>20</v>
      </c>
      <c r="G125" t="s">
        <v>22</v>
      </c>
      <c r="H125">
        <v>2</v>
      </c>
      <c r="I125">
        <v>58</v>
      </c>
      <c r="J125">
        <v>8</v>
      </c>
      <c r="K125">
        <v>835.24</v>
      </c>
      <c r="L125">
        <v>1</v>
      </c>
      <c r="M125" t="s">
        <v>134</v>
      </c>
      <c r="N125" t="s">
        <v>136</v>
      </c>
      <c r="O125" t="s">
        <v>139</v>
      </c>
      <c r="P125" t="s">
        <v>149</v>
      </c>
      <c r="Q125" t="s">
        <v>146</v>
      </c>
      <c r="R125" t="s">
        <v>158</v>
      </c>
      <c r="S125" t="s">
        <v>174</v>
      </c>
      <c r="T125" t="s">
        <v>185</v>
      </c>
      <c r="U125" t="s">
        <v>187</v>
      </c>
      <c r="V125" t="s">
        <v>180</v>
      </c>
      <c r="W125">
        <v>3</v>
      </c>
      <c r="X125">
        <v>0</v>
      </c>
      <c r="Y125">
        <v>0</v>
      </c>
      <c r="Z125">
        <v>0</v>
      </c>
      <c r="AA125">
        <v>0</v>
      </c>
      <c r="AB125" s="51">
        <v>3</v>
      </c>
      <c r="AC125" t="s">
        <v>99</v>
      </c>
      <c r="AD125" t="s">
        <v>67</v>
      </c>
      <c r="AE125">
        <v>0</v>
      </c>
      <c r="AF125">
        <v>0.42105263157894735</v>
      </c>
      <c r="AG125" t="s">
        <v>67</v>
      </c>
      <c r="AH125" t="s">
        <v>182</v>
      </c>
    </row>
    <row r="126" spans="1:34" x14ac:dyDescent="0.2">
      <c r="A126">
        <v>170</v>
      </c>
      <c r="B126">
        <v>60</v>
      </c>
      <c r="C126" t="s">
        <v>16</v>
      </c>
      <c r="D126">
        <v>38</v>
      </c>
      <c r="E126">
        <v>117.51</v>
      </c>
      <c r="F126" t="s">
        <v>18</v>
      </c>
      <c r="G126" t="s">
        <v>24</v>
      </c>
      <c r="H126">
        <v>0</v>
      </c>
      <c r="I126">
        <v>57.5</v>
      </c>
      <c r="J126">
        <v>4</v>
      </c>
      <c r="K126">
        <v>4623.29</v>
      </c>
      <c r="L126">
        <v>1</v>
      </c>
      <c r="M126" t="s">
        <v>134</v>
      </c>
      <c r="N126" t="s">
        <v>136</v>
      </c>
      <c r="O126" t="s">
        <v>140</v>
      </c>
      <c r="P126" t="s">
        <v>148</v>
      </c>
      <c r="Q126" t="s">
        <v>146</v>
      </c>
      <c r="R126" t="s">
        <v>159</v>
      </c>
      <c r="S126" t="s">
        <v>174</v>
      </c>
      <c r="T126" t="s">
        <v>183</v>
      </c>
      <c r="U126" t="s">
        <v>176</v>
      </c>
      <c r="V126" t="s">
        <v>180</v>
      </c>
      <c r="W126">
        <v>1</v>
      </c>
      <c r="X126">
        <v>0</v>
      </c>
      <c r="Y126">
        <v>2</v>
      </c>
      <c r="Z126">
        <v>2</v>
      </c>
      <c r="AA126">
        <v>0</v>
      </c>
      <c r="AB126" s="51">
        <v>5</v>
      </c>
      <c r="AC126" t="s">
        <v>182</v>
      </c>
      <c r="AD126" t="s">
        <v>67</v>
      </c>
      <c r="AE126">
        <v>0</v>
      </c>
      <c r="AF126">
        <v>0.33333333333333331</v>
      </c>
      <c r="AG126" t="s">
        <v>67</v>
      </c>
      <c r="AH126" t="s">
        <v>99</v>
      </c>
    </row>
    <row r="127" spans="1:34" x14ac:dyDescent="0.2">
      <c r="A127">
        <v>173</v>
      </c>
      <c r="B127">
        <v>30</v>
      </c>
      <c r="C127" t="s">
        <v>16</v>
      </c>
      <c r="D127">
        <v>17</v>
      </c>
      <c r="E127">
        <v>102.09</v>
      </c>
      <c r="F127" t="s">
        <v>19</v>
      </c>
      <c r="G127" t="s">
        <v>24</v>
      </c>
      <c r="H127">
        <v>1</v>
      </c>
      <c r="I127">
        <v>31.8</v>
      </c>
      <c r="J127">
        <v>7</v>
      </c>
      <c r="K127">
        <v>1566.95</v>
      </c>
      <c r="L127">
        <v>0</v>
      </c>
      <c r="M127" t="s">
        <v>134</v>
      </c>
      <c r="N127" t="s">
        <v>137</v>
      </c>
      <c r="O127" t="s">
        <v>140</v>
      </c>
      <c r="P127" t="s">
        <v>149</v>
      </c>
      <c r="Q127" t="s">
        <v>145</v>
      </c>
      <c r="R127" t="s">
        <v>160</v>
      </c>
      <c r="S127" t="s">
        <v>178</v>
      </c>
      <c r="T127" t="s">
        <v>185</v>
      </c>
      <c r="U127" t="s">
        <v>176</v>
      </c>
      <c r="V127" t="s">
        <v>184</v>
      </c>
      <c r="W127">
        <v>0</v>
      </c>
      <c r="X127">
        <v>1</v>
      </c>
      <c r="Y127">
        <v>0</v>
      </c>
      <c r="Z127">
        <v>2</v>
      </c>
      <c r="AA127">
        <v>1</v>
      </c>
      <c r="AB127" s="51">
        <v>4</v>
      </c>
      <c r="AC127" t="s">
        <v>182</v>
      </c>
      <c r="AD127" t="s">
        <v>67</v>
      </c>
      <c r="AE127">
        <v>0</v>
      </c>
      <c r="AF127">
        <v>0.40740740740740738</v>
      </c>
      <c r="AG127" t="s">
        <v>67</v>
      </c>
      <c r="AH127" t="s">
        <v>182</v>
      </c>
    </row>
    <row r="128" spans="1:34" x14ac:dyDescent="0.2">
      <c r="A128">
        <v>174</v>
      </c>
      <c r="B128">
        <v>49</v>
      </c>
      <c r="C128" t="s">
        <v>16</v>
      </c>
      <c r="D128">
        <v>71</v>
      </c>
      <c r="E128">
        <v>91.85</v>
      </c>
      <c r="F128" t="s">
        <v>18</v>
      </c>
      <c r="G128" t="s">
        <v>23</v>
      </c>
      <c r="H128">
        <v>5</v>
      </c>
      <c r="I128">
        <v>42.1</v>
      </c>
      <c r="J128">
        <v>5</v>
      </c>
      <c r="K128">
        <v>6831.6</v>
      </c>
      <c r="L128">
        <v>0</v>
      </c>
      <c r="M128" t="s">
        <v>134</v>
      </c>
      <c r="N128" t="s">
        <v>136</v>
      </c>
      <c r="O128" t="s">
        <v>140</v>
      </c>
      <c r="P128" t="s">
        <v>148</v>
      </c>
      <c r="Q128" t="s">
        <v>146</v>
      </c>
      <c r="R128" t="s">
        <v>159</v>
      </c>
      <c r="S128" t="s">
        <v>174</v>
      </c>
      <c r="T128" t="s">
        <v>183</v>
      </c>
      <c r="U128" t="s">
        <v>176</v>
      </c>
      <c r="V128" t="s">
        <v>180</v>
      </c>
      <c r="W128">
        <v>1</v>
      </c>
      <c r="X128">
        <v>0</v>
      </c>
      <c r="Y128">
        <v>2</v>
      </c>
      <c r="Z128">
        <v>2</v>
      </c>
      <c r="AA128">
        <v>0</v>
      </c>
      <c r="AB128" s="51">
        <v>5</v>
      </c>
      <c r="AC128" t="s">
        <v>182</v>
      </c>
      <c r="AD128" t="s">
        <v>67</v>
      </c>
      <c r="AE128">
        <v>0</v>
      </c>
      <c r="AF128">
        <v>0.33333333333333331</v>
      </c>
      <c r="AG128" t="s">
        <v>67</v>
      </c>
      <c r="AH128" t="s">
        <v>99</v>
      </c>
    </row>
    <row r="129" spans="1:34" x14ac:dyDescent="0.2">
      <c r="A129">
        <v>175</v>
      </c>
      <c r="B129">
        <v>24</v>
      </c>
      <c r="C129" t="s">
        <v>15</v>
      </c>
      <c r="D129">
        <v>45</v>
      </c>
      <c r="E129">
        <v>73.5</v>
      </c>
      <c r="F129" t="s">
        <v>18</v>
      </c>
      <c r="G129" t="s">
        <v>23</v>
      </c>
      <c r="H129">
        <v>0</v>
      </c>
      <c r="I129">
        <v>80.8</v>
      </c>
      <c r="J129">
        <v>5</v>
      </c>
      <c r="K129">
        <v>3528.54</v>
      </c>
      <c r="L129">
        <v>0</v>
      </c>
      <c r="M129" t="s">
        <v>134</v>
      </c>
      <c r="N129" t="s">
        <v>136</v>
      </c>
      <c r="O129" t="s">
        <v>142</v>
      </c>
      <c r="P129" t="s">
        <v>148</v>
      </c>
      <c r="Q129" t="s">
        <v>144</v>
      </c>
      <c r="R129" t="s">
        <v>159</v>
      </c>
      <c r="S129" t="s">
        <v>174</v>
      </c>
      <c r="T129" t="s">
        <v>183</v>
      </c>
      <c r="U129" t="s">
        <v>181</v>
      </c>
      <c r="V129" t="s">
        <v>188</v>
      </c>
      <c r="W129">
        <v>1</v>
      </c>
      <c r="X129">
        <v>0</v>
      </c>
      <c r="Y129">
        <v>2</v>
      </c>
      <c r="Z129">
        <v>1</v>
      </c>
      <c r="AA129">
        <v>0</v>
      </c>
      <c r="AB129" s="51">
        <v>4</v>
      </c>
      <c r="AC129" t="s">
        <v>182</v>
      </c>
      <c r="AD129" t="s">
        <v>67</v>
      </c>
      <c r="AE129">
        <v>0</v>
      </c>
      <c r="AF129">
        <v>0.40740740740740738</v>
      </c>
      <c r="AG129" t="s">
        <v>67</v>
      </c>
      <c r="AH129" t="s">
        <v>182</v>
      </c>
    </row>
    <row r="130" spans="1:34" x14ac:dyDescent="0.2">
      <c r="A130">
        <v>177</v>
      </c>
      <c r="B130">
        <v>39</v>
      </c>
      <c r="C130" t="s">
        <v>15</v>
      </c>
      <c r="D130">
        <v>36</v>
      </c>
      <c r="E130">
        <v>103.86</v>
      </c>
      <c r="F130" t="s">
        <v>20</v>
      </c>
      <c r="G130" t="s">
        <v>23</v>
      </c>
      <c r="H130">
        <v>0</v>
      </c>
      <c r="I130">
        <v>47.9</v>
      </c>
      <c r="J130">
        <v>10</v>
      </c>
      <c r="K130">
        <v>3471.89</v>
      </c>
      <c r="L130">
        <v>1</v>
      </c>
      <c r="M130" t="s">
        <v>134</v>
      </c>
      <c r="N130" t="s">
        <v>136</v>
      </c>
      <c r="O130" t="s">
        <v>140</v>
      </c>
      <c r="P130" t="s">
        <v>149</v>
      </c>
      <c r="Q130" t="s">
        <v>146</v>
      </c>
      <c r="R130" t="s">
        <v>158</v>
      </c>
      <c r="S130" t="s">
        <v>174</v>
      </c>
      <c r="T130" t="s">
        <v>185</v>
      </c>
      <c r="U130" t="s">
        <v>176</v>
      </c>
      <c r="V130" t="s">
        <v>180</v>
      </c>
      <c r="W130">
        <v>3</v>
      </c>
      <c r="X130">
        <v>0</v>
      </c>
      <c r="Y130">
        <v>0</v>
      </c>
      <c r="Z130">
        <v>2</v>
      </c>
      <c r="AA130">
        <v>0</v>
      </c>
      <c r="AB130" s="51">
        <v>5</v>
      </c>
      <c r="AC130" t="s">
        <v>182</v>
      </c>
      <c r="AD130" t="s">
        <v>67</v>
      </c>
      <c r="AE130">
        <v>0</v>
      </c>
      <c r="AF130">
        <v>0.33333333333333331</v>
      </c>
      <c r="AG130" t="s">
        <v>67</v>
      </c>
      <c r="AH130" t="s">
        <v>99</v>
      </c>
    </row>
    <row r="131" spans="1:34" x14ac:dyDescent="0.2">
      <c r="A131">
        <v>179</v>
      </c>
      <c r="B131">
        <v>19</v>
      </c>
      <c r="C131" t="s">
        <v>16</v>
      </c>
      <c r="D131">
        <v>31</v>
      </c>
      <c r="E131">
        <v>116.8</v>
      </c>
      <c r="F131" t="s">
        <v>20</v>
      </c>
      <c r="G131" t="s">
        <v>22</v>
      </c>
      <c r="H131">
        <v>4</v>
      </c>
      <c r="I131">
        <v>13.9</v>
      </c>
      <c r="J131">
        <v>9</v>
      </c>
      <c r="K131">
        <v>3815.54</v>
      </c>
      <c r="L131">
        <v>0</v>
      </c>
      <c r="M131" t="s">
        <v>134</v>
      </c>
      <c r="N131" t="s">
        <v>136</v>
      </c>
      <c r="O131" t="s">
        <v>140</v>
      </c>
      <c r="P131" t="s">
        <v>149</v>
      </c>
      <c r="Q131" t="s">
        <v>143</v>
      </c>
      <c r="R131" t="s">
        <v>158</v>
      </c>
      <c r="S131" t="s">
        <v>174</v>
      </c>
      <c r="T131" t="s">
        <v>185</v>
      </c>
      <c r="U131" t="s">
        <v>176</v>
      </c>
      <c r="V131" t="s">
        <v>177</v>
      </c>
      <c r="W131">
        <v>3</v>
      </c>
      <c r="X131">
        <v>0</v>
      </c>
      <c r="Y131">
        <v>0</v>
      </c>
      <c r="Z131">
        <v>2</v>
      </c>
      <c r="AA131">
        <v>2</v>
      </c>
      <c r="AB131" s="51">
        <v>7</v>
      </c>
      <c r="AC131" t="s">
        <v>98</v>
      </c>
      <c r="AD131" t="s">
        <v>67</v>
      </c>
      <c r="AE131">
        <v>0</v>
      </c>
      <c r="AF131">
        <v>0.54166666666666663</v>
      </c>
      <c r="AG131" t="s">
        <v>66</v>
      </c>
      <c r="AH131" t="s">
        <v>182</v>
      </c>
    </row>
    <row r="132" spans="1:34" x14ac:dyDescent="0.2">
      <c r="A132">
        <v>181</v>
      </c>
      <c r="B132">
        <v>62</v>
      </c>
      <c r="C132" t="s">
        <v>15</v>
      </c>
      <c r="D132">
        <v>61</v>
      </c>
      <c r="E132">
        <v>39.950000000000003</v>
      </c>
      <c r="F132" t="s">
        <v>20</v>
      </c>
      <c r="G132" t="s">
        <v>24</v>
      </c>
      <c r="H132">
        <v>0</v>
      </c>
      <c r="I132">
        <v>23.6</v>
      </c>
      <c r="J132">
        <v>8</v>
      </c>
      <c r="K132">
        <v>2566.65</v>
      </c>
      <c r="L132">
        <v>0</v>
      </c>
      <c r="M132" t="s">
        <v>134</v>
      </c>
      <c r="N132" t="s">
        <v>136</v>
      </c>
      <c r="O132" t="s">
        <v>141</v>
      </c>
      <c r="P132" t="s">
        <v>149</v>
      </c>
      <c r="Q132" t="s">
        <v>145</v>
      </c>
      <c r="R132" t="s">
        <v>158</v>
      </c>
      <c r="S132" t="s">
        <v>174</v>
      </c>
      <c r="T132" t="s">
        <v>185</v>
      </c>
      <c r="U132" t="s">
        <v>179</v>
      </c>
      <c r="V132" t="s">
        <v>184</v>
      </c>
      <c r="W132">
        <v>3</v>
      </c>
      <c r="X132">
        <v>0</v>
      </c>
      <c r="Y132">
        <v>0</v>
      </c>
      <c r="Z132">
        <v>0</v>
      </c>
      <c r="AA132">
        <v>1</v>
      </c>
      <c r="AB132" s="51">
        <v>4</v>
      </c>
      <c r="AC132" t="s">
        <v>182</v>
      </c>
      <c r="AD132" t="s">
        <v>67</v>
      </c>
      <c r="AE132">
        <v>0</v>
      </c>
      <c r="AF132">
        <v>0.40740740740740738</v>
      </c>
      <c r="AG132" t="s">
        <v>67</v>
      </c>
      <c r="AH132" t="s">
        <v>182</v>
      </c>
    </row>
    <row r="133" spans="1:34" x14ac:dyDescent="0.2">
      <c r="A133">
        <v>182</v>
      </c>
      <c r="B133">
        <v>23</v>
      </c>
      <c r="C133" t="s">
        <v>16</v>
      </c>
      <c r="D133">
        <v>54</v>
      </c>
      <c r="E133">
        <v>93.62</v>
      </c>
      <c r="F133" t="s">
        <v>20</v>
      </c>
      <c r="G133" t="s">
        <v>23</v>
      </c>
      <c r="H133">
        <v>2</v>
      </c>
      <c r="I133">
        <v>22.7</v>
      </c>
      <c r="J133">
        <v>5</v>
      </c>
      <c r="K133">
        <v>5405.24</v>
      </c>
      <c r="L133">
        <v>0</v>
      </c>
      <c r="M133" t="s">
        <v>134</v>
      </c>
      <c r="N133" t="s">
        <v>136</v>
      </c>
      <c r="O133" t="s">
        <v>140</v>
      </c>
      <c r="P133" t="s">
        <v>148</v>
      </c>
      <c r="Q133" t="s">
        <v>145</v>
      </c>
      <c r="R133" t="s">
        <v>158</v>
      </c>
      <c r="S133" t="s">
        <v>174</v>
      </c>
      <c r="T133" t="s">
        <v>183</v>
      </c>
      <c r="U133" t="s">
        <v>176</v>
      </c>
      <c r="V133" t="s">
        <v>184</v>
      </c>
      <c r="W133">
        <v>3</v>
      </c>
      <c r="X133">
        <v>0</v>
      </c>
      <c r="Y133">
        <v>2</v>
      </c>
      <c r="Z133">
        <v>2</v>
      </c>
      <c r="AA133">
        <v>1</v>
      </c>
      <c r="AB133" s="51">
        <v>8</v>
      </c>
      <c r="AC133" t="s">
        <v>98</v>
      </c>
      <c r="AD133" t="s">
        <v>67</v>
      </c>
      <c r="AE133">
        <v>0</v>
      </c>
      <c r="AF133">
        <v>0.73684210526315785</v>
      </c>
      <c r="AG133" t="s">
        <v>66</v>
      </c>
      <c r="AH133" t="s">
        <v>98</v>
      </c>
    </row>
    <row r="134" spans="1:34" x14ac:dyDescent="0.2">
      <c r="A134">
        <v>183</v>
      </c>
      <c r="B134">
        <v>45</v>
      </c>
      <c r="C134" t="s">
        <v>16</v>
      </c>
      <c r="D134">
        <v>39</v>
      </c>
      <c r="E134">
        <v>72.98</v>
      </c>
      <c r="F134" t="s">
        <v>18</v>
      </c>
      <c r="G134" t="s">
        <v>23</v>
      </c>
      <c r="H134">
        <v>1</v>
      </c>
      <c r="I134">
        <v>13.9</v>
      </c>
      <c r="J134">
        <v>1</v>
      </c>
      <c r="K134">
        <v>2910.89</v>
      </c>
      <c r="L134">
        <v>1</v>
      </c>
      <c r="M134" t="s">
        <v>134</v>
      </c>
      <c r="N134" t="s">
        <v>136</v>
      </c>
      <c r="O134" t="s">
        <v>142</v>
      </c>
      <c r="P134" t="s">
        <v>147</v>
      </c>
      <c r="Q134" t="s">
        <v>143</v>
      </c>
      <c r="R134" t="s">
        <v>159</v>
      </c>
      <c r="S134" t="s">
        <v>174</v>
      </c>
      <c r="T134" t="s">
        <v>175</v>
      </c>
      <c r="U134" t="s">
        <v>181</v>
      </c>
      <c r="V134" t="s">
        <v>177</v>
      </c>
      <c r="W134">
        <v>1</v>
      </c>
      <c r="X134">
        <v>0</v>
      </c>
      <c r="Y134">
        <v>4</v>
      </c>
      <c r="Z134">
        <v>1</v>
      </c>
      <c r="AA134">
        <v>2</v>
      </c>
      <c r="AB134" s="51">
        <v>8</v>
      </c>
      <c r="AC134" t="s">
        <v>98</v>
      </c>
      <c r="AD134" t="s">
        <v>67</v>
      </c>
      <c r="AE134">
        <v>0</v>
      </c>
      <c r="AF134">
        <v>0.73684210526315785</v>
      </c>
      <c r="AG134" t="s">
        <v>66</v>
      </c>
      <c r="AH134" t="s">
        <v>98</v>
      </c>
    </row>
    <row r="135" spans="1:34" x14ac:dyDescent="0.2">
      <c r="A135">
        <v>186</v>
      </c>
      <c r="B135">
        <v>61</v>
      </c>
      <c r="C135" t="s">
        <v>15</v>
      </c>
      <c r="D135">
        <v>67</v>
      </c>
      <c r="E135">
        <v>28.73</v>
      </c>
      <c r="F135" t="s">
        <v>20</v>
      </c>
      <c r="G135" t="s">
        <v>22</v>
      </c>
      <c r="H135">
        <v>1</v>
      </c>
      <c r="I135">
        <v>31.3</v>
      </c>
      <c r="J135">
        <v>8</v>
      </c>
      <c r="K135">
        <v>1762.31</v>
      </c>
      <c r="L135">
        <v>1</v>
      </c>
      <c r="M135" t="s">
        <v>134</v>
      </c>
      <c r="N135" t="s">
        <v>136</v>
      </c>
      <c r="O135" t="s">
        <v>139</v>
      </c>
      <c r="P135" t="s">
        <v>149</v>
      </c>
      <c r="Q135" t="s">
        <v>145</v>
      </c>
      <c r="R135" t="s">
        <v>158</v>
      </c>
      <c r="S135" t="s">
        <v>174</v>
      </c>
      <c r="T135" t="s">
        <v>185</v>
      </c>
      <c r="U135" t="s">
        <v>187</v>
      </c>
      <c r="V135" t="s">
        <v>184</v>
      </c>
      <c r="W135">
        <v>3</v>
      </c>
      <c r="X135">
        <v>0</v>
      </c>
      <c r="Y135">
        <v>0</v>
      </c>
      <c r="Z135">
        <v>0</v>
      </c>
      <c r="AA135">
        <v>1</v>
      </c>
      <c r="AB135" s="51">
        <v>4</v>
      </c>
      <c r="AC135" t="s">
        <v>182</v>
      </c>
      <c r="AD135" t="s">
        <v>67</v>
      </c>
      <c r="AE135">
        <v>0</v>
      </c>
      <c r="AF135">
        <v>0.40740740740740738</v>
      </c>
      <c r="AG135" t="s">
        <v>67</v>
      </c>
      <c r="AH135" t="s">
        <v>182</v>
      </c>
    </row>
    <row r="136" spans="1:34" x14ac:dyDescent="0.2">
      <c r="A136">
        <v>187</v>
      </c>
      <c r="B136">
        <v>37</v>
      </c>
      <c r="C136" t="s">
        <v>15</v>
      </c>
      <c r="D136">
        <v>45</v>
      </c>
      <c r="E136">
        <v>70.61</v>
      </c>
      <c r="F136" t="s">
        <v>20</v>
      </c>
      <c r="G136" t="s">
        <v>24</v>
      </c>
      <c r="H136">
        <v>2</v>
      </c>
      <c r="I136">
        <v>34.700000000000003</v>
      </c>
      <c r="J136">
        <v>5</v>
      </c>
      <c r="K136">
        <v>3118.69</v>
      </c>
      <c r="L136">
        <v>0</v>
      </c>
      <c r="M136" t="s">
        <v>134</v>
      </c>
      <c r="N136" t="s">
        <v>136</v>
      </c>
      <c r="O136" t="s">
        <v>142</v>
      </c>
      <c r="P136" t="s">
        <v>148</v>
      </c>
      <c r="Q136" t="s">
        <v>145</v>
      </c>
      <c r="R136" t="s">
        <v>158</v>
      </c>
      <c r="S136" t="s">
        <v>174</v>
      </c>
      <c r="T136" t="s">
        <v>183</v>
      </c>
      <c r="U136" t="s">
        <v>181</v>
      </c>
      <c r="V136" t="s">
        <v>184</v>
      </c>
      <c r="W136">
        <v>3</v>
      </c>
      <c r="X136">
        <v>0</v>
      </c>
      <c r="Y136">
        <v>2</v>
      </c>
      <c r="Z136">
        <v>1</v>
      </c>
      <c r="AA136">
        <v>1</v>
      </c>
      <c r="AB136" s="51">
        <v>7</v>
      </c>
      <c r="AC136" t="s">
        <v>98</v>
      </c>
      <c r="AD136" t="s">
        <v>67</v>
      </c>
      <c r="AE136">
        <v>0</v>
      </c>
      <c r="AF136">
        <v>0.54166666666666663</v>
      </c>
      <c r="AG136" t="s">
        <v>66</v>
      </c>
      <c r="AH136" t="s">
        <v>182</v>
      </c>
    </row>
    <row r="137" spans="1:34" x14ac:dyDescent="0.2">
      <c r="A137">
        <v>188</v>
      </c>
      <c r="B137">
        <v>47</v>
      </c>
      <c r="C137" t="s">
        <v>16</v>
      </c>
      <c r="D137">
        <v>13</v>
      </c>
      <c r="E137">
        <v>113.2</v>
      </c>
      <c r="F137" t="s">
        <v>18</v>
      </c>
      <c r="G137" t="s">
        <v>22</v>
      </c>
      <c r="H137">
        <v>3</v>
      </c>
      <c r="I137">
        <v>66.099999999999994</v>
      </c>
      <c r="J137">
        <v>3</v>
      </c>
      <c r="K137">
        <v>1444.26</v>
      </c>
      <c r="L137">
        <v>0</v>
      </c>
      <c r="M137" t="s">
        <v>134</v>
      </c>
      <c r="N137" t="s">
        <v>137</v>
      </c>
      <c r="O137" t="s">
        <v>140</v>
      </c>
      <c r="P137" t="s">
        <v>147</v>
      </c>
      <c r="Q137" t="s">
        <v>146</v>
      </c>
      <c r="R137" t="s">
        <v>159</v>
      </c>
      <c r="S137" t="s">
        <v>178</v>
      </c>
      <c r="T137" t="s">
        <v>175</v>
      </c>
      <c r="U137" t="s">
        <v>176</v>
      </c>
      <c r="V137" t="s">
        <v>180</v>
      </c>
      <c r="W137">
        <v>1</v>
      </c>
      <c r="X137">
        <v>1</v>
      </c>
      <c r="Y137">
        <v>4</v>
      </c>
      <c r="Z137">
        <v>2</v>
      </c>
      <c r="AA137">
        <v>0</v>
      </c>
      <c r="AB137" s="51">
        <v>8</v>
      </c>
      <c r="AC137" t="s">
        <v>98</v>
      </c>
      <c r="AD137" t="s">
        <v>67</v>
      </c>
      <c r="AE137">
        <v>0</v>
      </c>
      <c r="AF137">
        <v>0.73684210526315785</v>
      </c>
      <c r="AG137" t="s">
        <v>66</v>
      </c>
      <c r="AH137" t="s">
        <v>98</v>
      </c>
    </row>
    <row r="138" spans="1:34" x14ac:dyDescent="0.2">
      <c r="A138">
        <v>189</v>
      </c>
      <c r="B138">
        <v>28</v>
      </c>
      <c r="C138" t="s">
        <v>15</v>
      </c>
      <c r="D138">
        <v>58</v>
      </c>
      <c r="E138">
        <v>52.06</v>
      </c>
      <c r="F138" t="s">
        <v>20</v>
      </c>
      <c r="G138" t="s">
        <v>24</v>
      </c>
      <c r="H138">
        <v>1</v>
      </c>
      <c r="I138">
        <v>23.6</v>
      </c>
      <c r="J138">
        <v>7</v>
      </c>
      <c r="K138">
        <v>2757.4</v>
      </c>
      <c r="L138">
        <v>1</v>
      </c>
      <c r="M138" t="s">
        <v>134</v>
      </c>
      <c r="N138" t="s">
        <v>136</v>
      </c>
      <c r="O138" t="s">
        <v>141</v>
      </c>
      <c r="P138" t="s">
        <v>149</v>
      </c>
      <c r="Q138" t="s">
        <v>145</v>
      </c>
      <c r="R138" t="s">
        <v>158</v>
      </c>
      <c r="S138" t="s">
        <v>174</v>
      </c>
      <c r="T138" t="s">
        <v>185</v>
      </c>
      <c r="U138" t="s">
        <v>179</v>
      </c>
      <c r="V138" t="s">
        <v>184</v>
      </c>
      <c r="W138">
        <v>3</v>
      </c>
      <c r="X138">
        <v>0</v>
      </c>
      <c r="Y138">
        <v>0</v>
      </c>
      <c r="Z138">
        <v>0</v>
      </c>
      <c r="AA138">
        <v>1</v>
      </c>
      <c r="AB138" s="51">
        <v>4</v>
      </c>
      <c r="AC138" t="s">
        <v>182</v>
      </c>
      <c r="AD138" t="s">
        <v>67</v>
      </c>
      <c r="AE138">
        <v>0</v>
      </c>
      <c r="AF138">
        <v>0.40740740740740738</v>
      </c>
      <c r="AG138" t="s">
        <v>67</v>
      </c>
      <c r="AH138" t="s">
        <v>182</v>
      </c>
    </row>
    <row r="139" spans="1:34" x14ac:dyDescent="0.2">
      <c r="A139">
        <v>191</v>
      </c>
      <c r="B139">
        <v>42</v>
      </c>
      <c r="C139" t="s">
        <v>15</v>
      </c>
      <c r="D139">
        <v>61</v>
      </c>
      <c r="E139">
        <v>56.92</v>
      </c>
      <c r="F139" t="s">
        <v>20</v>
      </c>
      <c r="G139" t="s">
        <v>22</v>
      </c>
      <c r="H139">
        <v>4</v>
      </c>
      <c r="I139">
        <v>54.4</v>
      </c>
      <c r="J139">
        <v>9</v>
      </c>
      <c r="K139">
        <v>3201.99</v>
      </c>
      <c r="L139">
        <v>0</v>
      </c>
      <c r="M139" t="s">
        <v>134</v>
      </c>
      <c r="N139" t="s">
        <v>136</v>
      </c>
      <c r="O139" t="s">
        <v>141</v>
      </c>
      <c r="P139" t="s">
        <v>149</v>
      </c>
      <c r="Q139" t="s">
        <v>146</v>
      </c>
      <c r="R139" t="s">
        <v>158</v>
      </c>
      <c r="S139" t="s">
        <v>174</v>
      </c>
      <c r="T139" t="s">
        <v>185</v>
      </c>
      <c r="U139" t="s">
        <v>179</v>
      </c>
      <c r="V139" t="s">
        <v>180</v>
      </c>
      <c r="W139">
        <v>3</v>
      </c>
      <c r="X139">
        <v>0</v>
      </c>
      <c r="Y139">
        <v>0</v>
      </c>
      <c r="Z139">
        <v>0</v>
      </c>
      <c r="AA139">
        <v>0</v>
      </c>
      <c r="AB139" s="51">
        <v>3</v>
      </c>
      <c r="AC139" t="s">
        <v>99</v>
      </c>
      <c r="AD139" t="s">
        <v>67</v>
      </c>
      <c r="AE139">
        <v>0</v>
      </c>
      <c r="AF139">
        <v>0.42105263157894735</v>
      </c>
      <c r="AG139" t="s">
        <v>67</v>
      </c>
      <c r="AH139" t="s">
        <v>182</v>
      </c>
    </row>
    <row r="140" spans="1:34" x14ac:dyDescent="0.2">
      <c r="A140">
        <v>193</v>
      </c>
      <c r="B140">
        <v>50</v>
      </c>
      <c r="C140" t="s">
        <v>16</v>
      </c>
      <c r="D140">
        <v>1</v>
      </c>
      <c r="E140">
        <v>74.86</v>
      </c>
      <c r="F140" t="s">
        <v>18</v>
      </c>
      <c r="G140" t="s">
        <v>22</v>
      </c>
      <c r="H140">
        <v>1</v>
      </c>
      <c r="I140">
        <v>58</v>
      </c>
      <c r="J140">
        <v>3</v>
      </c>
      <c r="K140">
        <v>81.56</v>
      </c>
      <c r="L140">
        <v>0</v>
      </c>
      <c r="M140" t="s">
        <v>134</v>
      </c>
      <c r="N140" t="s">
        <v>135</v>
      </c>
      <c r="O140" t="s">
        <v>142</v>
      </c>
      <c r="P140" t="s">
        <v>147</v>
      </c>
      <c r="Q140" t="s">
        <v>146</v>
      </c>
      <c r="R140" t="s">
        <v>159</v>
      </c>
      <c r="S140" t="s">
        <v>189</v>
      </c>
      <c r="T140" t="s">
        <v>175</v>
      </c>
      <c r="U140" t="s">
        <v>181</v>
      </c>
      <c r="V140" t="s">
        <v>180</v>
      </c>
      <c r="W140">
        <v>1</v>
      </c>
      <c r="X140">
        <v>3</v>
      </c>
      <c r="Y140">
        <v>4</v>
      </c>
      <c r="Z140">
        <v>1</v>
      </c>
      <c r="AA140">
        <v>0</v>
      </c>
      <c r="AB140" s="51">
        <v>9</v>
      </c>
      <c r="AC140" t="s">
        <v>98</v>
      </c>
      <c r="AD140" t="s">
        <v>67</v>
      </c>
      <c r="AE140">
        <v>0</v>
      </c>
      <c r="AF140">
        <v>0.54545454545454541</v>
      </c>
      <c r="AG140" t="s">
        <v>66</v>
      </c>
      <c r="AH140" t="s">
        <v>182</v>
      </c>
    </row>
    <row r="141" spans="1:34" x14ac:dyDescent="0.2">
      <c r="A141">
        <v>194</v>
      </c>
      <c r="B141">
        <v>18</v>
      </c>
      <c r="C141" t="s">
        <v>15</v>
      </c>
      <c r="D141">
        <v>3</v>
      </c>
      <c r="E141">
        <v>74.89</v>
      </c>
      <c r="F141" t="s">
        <v>20</v>
      </c>
      <c r="G141" t="s">
        <v>23</v>
      </c>
      <c r="H141">
        <v>2</v>
      </c>
      <c r="I141">
        <v>20.8</v>
      </c>
      <c r="J141">
        <v>1</v>
      </c>
      <c r="K141">
        <v>205.45</v>
      </c>
      <c r="L141">
        <v>1</v>
      </c>
      <c r="M141" t="s">
        <v>134</v>
      </c>
      <c r="N141" t="s">
        <v>135</v>
      </c>
      <c r="O141" t="s">
        <v>142</v>
      </c>
      <c r="P141" t="s">
        <v>147</v>
      </c>
      <c r="Q141" t="s">
        <v>145</v>
      </c>
      <c r="R141" t="s">
        <v>158</v>
      </c>
      <c r="S141" t="s">
        <v>189</v>
      </c>
      <c r="T141" t="s">
        <v>175</v>
      </c>
      <c r="U141" t="s">
        <v>181</v>
      </c>
      <c r="V141" t="s">
        <v>184</v>
      </c>
      <c r="W141">
        <v>3</v>
      </c>
      <c r="X141">
        <v>3</v>
      </c>
      <c r="Y141">
        <v>4</v>
      </c>
      <c r="Z141">
        <v>1</v>
      </c>
      <c r="AA141">
        <v>1</v>
      </c>
      <c r="AB141" s="51">
        <v>12</v>
      </c>
      <c r="AC141" t="s">
        <v>98</v>
      </c>
      <c r="AD141" t="s">
        <v>67</v>
      </c>
      <c r="AE141">
        <v>0</v>
      </c>
      <c r="AF141">
        <v>0.8</v>
      </c>
      <c r="AG141" t="s">
        <v>66</v>
      </c>
      <c r="AH141" t="s">
        <v>98</v>
      </c>
    </row>
    <row r="142" spans="1:34" x14ac:dyDescent="0.2">
      <c r="A142">
        <v>195</v>
      </c>
      <c r="B142">
        <v>44</v>
      </c>
      <c r="C142" t="s">
        <v>15</v>
      </c>
      <c r="D142">
        <v>62</v>
      </c>
      <c r="E142">
        <v>40.17</v>
      </c>
      <c r="F142" t="s">
        <v>18</v>
      </c>
      <c r="G142" t="s">
        <v>23</v>
      </c>
      <c r="H142">
        <v>3</v>
      </c>
      <c r="I142">
        <v>63.3</v>
      </c>
      <c r="J142">
        <v>8</v>
      </c>
      <c r="K142">
        <v>2717.24</v>
      </c>
      <c r="L142">
        <v>0</v>
      </c>
      <c r="M142" t="s">
        <v>134</v>
      </c>
      <c r="N142" t="s">
        <v>136</v>
      </c>
      <c r="O142" t="s">
        <v>141</v>
      </c>
      <c r="P142" t="s">
        <v>149</v>
      </c>
      <c r="Q142" t="s">
        <v>146</v>
      </c>
      <c r="R142" t="s">
        <v>159</v>
      </c>
      <c r="S142" t="s">
        <v>174</v>
      </c>
      <c r="T142" t="s">
        <v>185</v>
      </c>
      <c r="U142" t="s">
        <v>179</v>
      </c>
      <c r="V142" t="s">
        <v>180</v>
      </c>
      <c r="W142">
        <v>1</v>
      </c>
      <c r="X142">
        <v>0</v>
      </c>
      <c r="Y142">
        <v>0</v>
      </c>
      <c r="Z142">
        <v>0</v>
      </c>
      <c r="AA142">
        <v>0</v>
      </c>
      <c r="AB142" s="51">
        <v>1</v>
      </c>
      <c r="AC142" t="s">
        <v>99</v>
      </c>
      <c r="AD142" t="s">
        <v>67</v>
      </c>
      <c r="AE142">
        <v>0</v>
      </c>
      <c r="AF142">
        <v>0.25</v>
      </c>
      <c r="AG142" t="s">
        <v>67</v>
      </c>
      <c r="AH142" t="s">
        <v>99</v>
      </c>
    </row>
    <row r="143" spans="1:34" x14ac:dyDescent="0.2">
      <c r="A143">
        <v>196</v>
      </c>
      <c r="B143">
        <v>69</v>
      </c>
      <c r="C143" t="s">
        <v>15</v>
      </c>
      <c r="D143">
        <v>63</v>
      </c>
      <c r="E143">
        <v>88.46</v>
      </c>
      <c r="F143" t="s">
        <v>20</v>
      </c>
      <c r="G143" t="s">
        <v>23</v>
      </c>
      <c r="H143">
        <v>1</v>
      </c>
      <c r="I143">
        <v>39.5</v>
      </c>
      <c r="J143">
        <v>3</v>
      </c>
      <c r="K143">
        <v>5598.14</v>
      </c>
      <c r="L143">
        <v>0</v>
      </c>
      <c r="M143" t="s">
        <v>134</v>
      </c>
      <c r="N143" t="s">
        <v>136</v>
      </c>
      <c r="O143" t="s">
        <v>142</v>
      </c>
      <c r="P143" t="s">
        <v>147</v>
      </c>
      <c r="Q143" t="s">
        <v>145</v>
      </c>
      <c r="R143" t="s">
        <v>158</v>
      </c>
      <c r="S143" t="s">
        <v>174</v>
      </c>
      <c r="T143" t="s">
        <v>175</v>
      </c>
      <c r="U143" t="s">
        <v>181</v>
      </c>
      <c r="V143" t="s">
        <v>184</v>
      </c>
      <c r="W143">
        <v>3</v>
      </c>
      <c r="X143">
        <v>0</v>
      </c>
      <c r="Y143">
        <v>4</v>
      </c>
      <c r="Z143">
        <v>1</v>
      </c>
      <c r="AA143">
        <v>1</v>
      </c>
      <c r="AB143" s="51">
        <v>9</v>
      </c>
      <c r="AC143" t="s">
        <v>98</v>
      </c>
      <c r="AD143" t="s">
        <v>67</v>
      </c>
      <c r="AE143">
        <v>0</v>
      </c>
      <c r="AF143">
        <v>0.54545454545454541</v>
      </c>
      <c r="AG143" t="s">
        <v>66</v>
      </c>
      <c r="AH143" t="s">
        <v>182</v>
      </c>
    </row>
    <row r="144" spans="1:34" x14ac:dyDescent="0.2">
      <c r="A144">
        <v>197</v>
      </c>
      <c r="B144">
        <v>30</v>
      </c>
      <c r="C144" t="s">
        <v>15</v>
      </c>
      <c r="D144">
        <v>25</v>
      </c>
      <c r="E144">
        <v>28.79</v>
      </c>
      <c r="F144" t="s">
        <v>20</v>
      </c>
      <c r="G144" t="s">
        <v>23</v>
      </c>
      <c r="H144">
        <v>3</v>
      </c>
      <c r="I144">
        <v>90.2</v>
      </c>
      <c r="J144">
        <v>8</v>
      </c>
      <c r="K144">
        <v>690.9</v>
      </c>
      <c r="L144">
        <v>1</v>
      </c>
      <c r="M144" t="s">
        <v>134</v>
      </c>
      <c r="N144" t="s">
        <v>136</v>
      </c>
      <c r="O144" t="s">
        <v>139</v>
      </c>
      <c r="P144" t="s">
        <v>149</v>
      </c>
      <c r="Q144" t="s">
        <v>144</v>
      </c>
      <c r="R144" t="s">
        <v>158</v>
      </c>
      <c r="S144" t="s">
        <v>174</v>
      </c>
      <c r="T144" t="s">
        <v>185</v>
      </c>
      <c r="U144" t="s">
        <v>187</v>
      </c>
      <c r="V144" t="s">
        <v>188</v>
      </c>
      <c r="W144">
        <v>3</v>
      </c>
      <c r="X144">
        <v>0</v>
      </c>
      <c r="Y144">
        <v>0</v>
      </c>
      <c r="Z144">
        <v>0</v>
      </c>
      <c r="AA144">
        <v>0</v>
      </c>
      <c r="AB144" s="51">
        <v>3</v>
      </c>
      <c r="AC144" t="s">
        <v>99</v>
      </c>
      <c r="AD144" t="s">
        <v>67</v>
      </c>
      <c r="AE144">
        <v>0</v>
      </c>
      <c r="AF144">
        <v>0.42105263157894735</v>
      </c>
      <c r="AG144" t="s">
        <v>67</v>
      </c>
      <c r="AH144" t="s">
        <v>182</v>
      </c>
    </row>
    <row r="145" spans="1:34" x14ac:dyDescent="0.2">
      <c r="A145">
        <v>198</v>
      </c>
      <c r="B145">
        <v>58</v>
      </c>
      <c r="C145" t="s">
        <v>15</v>
      </c>
      <c r="D145">
        <v>56</v>
      </c>
      <c r="E145">
        <v>33.880000000000003</v>
      </c>
      <c r="F145" t="s">
        <v>19</v>
      </c>
      <c r="G145" t="s">
        <v>23</v>
      </c>
      <c r="H145">
        <v>0</v>
      </c>
      <c r="I145">
        <v>21</v>
      </c>
      <c r="J145">
        <v>8</v>
      </c>
      <c r="K145">
        <v>1736.72</v>
      </c>
      <c r="L145">
        <v>0</v>
      </c>
      <c r="M145" t="s">
        <v>134</v>
      </c>
      <c r="N145" t="s">
        <v>136</v>
      </c>
      <c r="O145" t="s">
        <v>141</v>
      </c>
      <c r="P145" t="s">
        <v>149</v>
      </c>
      <c r="Q145" t="s">
        <v>145</v>
      </c>
      <c r="R145" t="s">
        <v>160</v>
      </c>
      <c r="S145" t="s">
        <v>174</v>
      </c>
      <c r="T145" t="s">
        <v>185</v>
      </c>
      <c r="U145" t="s">
        <v>179</v>
      </c>
      <c r="V145" t="s">
        <v>184</v>
      </c>
      <c r="W145">
        <v>0</v>
      </c>
      <c r="X145">
        <v>0</v>
      </c>
      <c r="Y145">
        <v>0</v>
      </c>
      <c r="Z145">
        <v>0</v>
      </c>
      <c r="AA145">
        <v>1</v>
      </c>
      <c r="AB145" s="51">
        <v>1</v>
      </c>
      <c r="AC145" t="s">
        <v>99</v>
      </c>
      <c r="AD145" t="s">
        <v>67</v>
      </c>
      <c r="AE145">
        <v>0</v>
      </c>
      <c r="AF145">
        <v>0.25</v>
      </c>
      <c r="AG145" t="s">
        <v>67</v>
      </c>
      <c r="AH145" t="s">
        <v>99</v>
      </c>
    </row>
    <row r="146" spans="1:34" x14ac:dyDescent="0.2">
      <c r="A146">
        <v>199</v>
      </c>
      <c r="B146">
        <v>20</v>
      </c>
      <c r="C146" t="s">
        <v>16</v>
      </c>
      <c r="D146">
        <v>33</v>
      </c>
      <c r="E146">
        <v>20.27</v>
      </c>
      <c r="F146" t="s">
        <v>20</v>
      </c>
      <c r="G146" t="s">
        <v>22</v>
      </c>
      <c r="H146">
        <v>0</v>
      </c>
      <c r="I146">
        <v>53.2</v>
      </c>
      <c r="J146">
        <v>5</v>
      </c>
      <c r="K146">
        <v>668.99</v>
      </c>
      <c r="L146">
        <v>0</v>
      </c>
      <c r="M146" t="s">
        <v>134</v>
      </c>
      <c r="N146" t="s">
        <v>136</v>
      </c>
      <c r="O146" t="s">
        <v>139</v>
      </c>
      <c r="P146" t="s">
        <v>148</v>
      </c>
      <c r="Q146" t="s">
        <v>146</v>
      </c>
      <c r="R146" t="s">
        <v>158</v>
      </c>
      <c r="S146" t="s">
        <v>174</v>
      </c>
      <c r="T146" t="s">
        <v>183</v>
      </c>
      <c r="U146" t="s">
        <v>187</v>
      </c>
      <c r="V146" t="s">
        <v>180</v>
      </c>
      <c r="W146">
        <v>3</v>
      </c>
      <c r="X146">
        <v>0</v>
      </c>
      <c r="Y146">
        <v>2</v>
      </c>
      <c r="Z146">
        <v>0</v>
      </c>
      <c r="AA146">
        <v>0</v>
      </c>
      <c r="AB146" s="51">
        <v>5</v>
      </c>
      <c r="AC146" t="s">
        <v>182</v>
      </c>
      <c r="AD146" t="s">
        <v>67</v>
      </c>
      <c r="AE146">
        <v>0</v>
      </c>
      <c r="AF146">
        <v>0.33333333333333331</v>
      </c>
      <c r="AG146" t="s">
        <v>67</v>
      </c>
      <c r="AH146" t="s">
        <v>99</v>
      </c>
    </row>
    <row r="147" spans="1:34" x14ac:dyDescent="0.2">
      <c r="A147">
        <v>200</v>
      </c>
      <c r="B147">
        <v>56</v>
      </c>
      <c r="C147" t="s">
        <v>15</v>
      </c>
      <c r="D147">
        <v>38</v>
      </c>
      <c r="E147">
        <v>31.67</v>
      </c>
      <c r="F147" t="s">
        <v>20</v>
      </c>
      <c r="G147" t="s">
        <v>23</v>
      </c>
      <c r="H147">
        <v>1</v>
      </c>
      <c r="I147">
        <v>61.8</v>
      </c>
      <c r="J147">
        <v>1</v>
      </c>
      <c r="K147">
        <v>1274.3499999999999</v>
      </c>
      <c r="L147">
        <v>1</v>
      </c>
      <c r="M147" t="s">
        <v>134</v>
      </c>
      <c r="N147" t="s">
        <v>136</v>
      </c>
      <c r="O147" t="s">
        <v>141</v>
      </c>
      <c r="P147" t="s">
        <v>147</v>
      </c>
      <c r="Q147" t="s">
        <v>146</v>
      </c>
      <c r="R147" t="s">
        <v>158</v>
      </c>
      <c r="S147" t="s">
        <v>174</v>
      </c>
      <c r="T147" t="s">
        <v>175</v>
      </c>
      <c r="U147" t="s">
        <v>179</v>
      </c>
      <c r="V147" t="s">
        <v>180</v>
      </c>
      <c r="W147">
        <v>3</v>
      </c>
      <c r="X147">
        <v>0</v>
      </c>
      <c r="Y147">
        <v>4</v>
      </c>
      <c r="Z147">
        <v>0</v>
      </c>
      <c r="AA147">
        <v>0</v>
      </c>
      <c r="AB147" s="51">
        <v>7</v>
      </c>
      <c r="AC147" t="s">
        <v>98</v>
      </c>
      <c r="AD147" t="s">
        <v>67</v>
      </c>
      <c r="AE147">
        <v>0</v>
      </c>
      <c r="AF147">
        <v>0.54166666666666663</v>
      </c>
      <c r="AG147" t="s">
        <v>66</v>
      </c>
      <c r="AH147" t="s">
        <v>182</v>
      </c>
    </row>
    <row r="148" spans="1:34" x14ac:dyDescent="0.2">
      <c r="A148">
        <v>201</v>
      </c>
      <c r="B148">
        <v>23</v>
      </c>
      <c r="C148" t="s">
        <v>16</v>
      </c>
      <c r="D148">
        <v>6</v>
      </c>
      <c r="E148">
        <v>67.319999999999993</v>
      </c>
      <c r="F148" t="s">
        <v>18</v>
      </c>
      <c r="G148" t="s">
        <v>22</v>
      </c>
      <c r="H148">
        <v>2</v>
      </c>
      <c r="I148">
        <v>8.1999999999999993</v>
      </c>
      <c r="J148">
        <v>10</v>
      </c>
      <c r="K148">
        <v>420.65</v>
      </c>
      <c r="L148">
        <v>0</v>
      </c>
      <c r="M148" t="s">
        <v>134</v>
      </c>
      <c r="N148" t="s">
        <v>138</v>
      </c>
      <c r="O148" t="s">
        <v>142</v>
      </c>
      <c r="P148" t="s">
        <v>149</v>
      </c>
      <c r="Q148" t="s">
        <v>143</v>
      </c>
      <c r="R148" t="s">
        <v>159</v>
      </c>
      <c r="S148" t="s">
        <v>186</v>
      </c>
      <c r="T148" t="s">
        <v>185</v>
      </c>
      <c r="U148" t="s">
        <v>181</v>
      </c>
      <c r="V148" t="s">
        <v>177</v>
      </c>
      <c r="W148">
        <v>1</v>
      </c>
      <c r="X148">
        <v>2</v>
      </c>
      <c r="Y148">
        <v>0</v>
      </c>
      <c r="Z148">
        <v>1</v>
      </c>
      <c r="AA148">
        <v>2</v>
      </c>
      <c r="AB148" s="51">
        <v>6</v>
      </c>
      <c r="AC148" t="s">
        <v>182</v>
      </c>
      <c r="AD148" t="s">
        <v>67</v>
      </c>
      <c r="AE148">
        <v>0</v>
      </c>
      <c r="AF148">
        <v>0.33333333333333331</v>
      </c>
      <c r="AG148" t="s">
        <v>67</v>
      </c>
      <c r="AH148" t="s">
        <v>99</v>
      </c>
    </row>
    <row r="149" spans="1:34" x14ac:dyDescent="0.2">
      <c r="A149">
        <v>202</v>
      </c>
      <c r="B149">
        <v>25</v>
      </c>
      <c r="C149" t="s">
        <v>15</v>
      </c>
      <c r="D149">
        <v>58</v>
      </c>
      <c r="E149">
        <v>80.61</v>
      </c>
      <c r="F149" t="s">
        <v>20</v>
      </c>
      <c r="G149" t="s">
        <v>23</v>
      </c>
      <c r="H149">
        <v>1</v>
      </c>
      <c r="I149">
        <v>39.6</v>
      </c>
      <c r="J149">
        <v>7</v>
      </c>
      <c r="K149">
        <v>4254.8100000000004</v>
      </c>
      <c r="L149">
        <v>0</v>
      </c>
      <c r="M149" t="s">
        <v>134</v>
      </c>
      <c r="N149" t="s">
        <v>136</v>
      </c>
      <c r="O149" t="s">
        <v>142</v>
      </c>
      <c r="P149" t="s">
        <v>149</v>
      </c>
      <c r="Q149" t="s">
        <v>145</v>
      </c>
      <c r="R149" t="s">
        <v>158</v>
      </c>
      <c r="S149" t="s">
        <v>174</v>
      </c>
      <c r="T149" t="s">
        <v>185</v>
      </c>
      <c r="U149" t="s">
        <v>181</v>
      </c>
      <c r="V149" t="s">
        <v>184</v>
      </c>
      <c r="W149">
        <v>3</v>
      </c>
      <c r="X149">
        <v>0</v>
      </c>
      <c r="Y149">
        <v>0</v>
      </c>
      <c r="Z149">
        <v>1</v>
      </c>
      <c r="AA149">
        <v>1</v>
      </c>
      <c r="AB149" s="51">
        <v>5</v>
      </c>
      <c r="AC149" t="s">
        <v>182</v>
      </c>
      <c r="AD149" t="s">
        <v>67</v>
      </c>
      <c r="AE149">
        <v>0</v>
      </c>
      <c r="AF149">
        <v>0.33333333333333331</v>
      </c>
      <c r="AG149" t="s">
        <v>67</v>
      </c>
      <c r="AH149" t="s">
        <v>99</v>
      </c>
    </row>
    <row r="150" spans="1:34" x14ac:dyDescent="0.2">
      <c r="A150">
        <v>203</v>
      </c>
      <c r="B150">
        <v>44</v>
      </c>
      <c r="C150" t="s">
        <v>16</v>
      </c>
      <c r="D150">
        <v>44</v>
      </c>
      <c r="E150">
        <v>99.43</v>
      </c>
      <c r="F150" t="s">
        <v>18</v>
      </c>
      <c r="G150" t="s">
        <v>24</v>
      </c>
      <c r="H150">
        <v>3</v>
      </c>
      <c r="I150">
        <v>74.599999999999994</v>
      </c>
      <c r="J150">
        <v>10</v>
      </c>
      <c r="K150">
        <v>4001.22</v>
      </c>
      <c r="L150">
        <v>1</v>
      </c>
      <c r="M150" t="s">
        <v>134</v>
      </c>
      <c r="N150" t="s">
        <v>136</v>
      </c>
      <c r="O150" t="s">
        <v>140</v>
      </c>
      <c r="P150" t="s">
        <v>149</v>
      </c>
      <c r="Q150" t="s">
        <v>146</v>
      </c>
      <c r="R150" t="s">
        <v>159</v>
      </c>
      <c r="S150" t="s">
        <v>174</v>
      </c>
      <c r="T150" t="s">
        <v>185</v>
      </c>
      <c r="U150" t="s">
        <v>176</v>
      </c>
      <c r="V150" t="s">
        <v>180</v>
      </c>
      <c r="W150">
        <v>1</v>
      </c>
      <c r="X150">
        <v>0</v>
      </c>
      <c r="Y150">
        <v>0</v>
      </c>
      <c r="Z150">
        <v>2</v>
      </c>
      <c r="AA150">
        <v>0</v>
      </c>
      <c r="AB150" s="51">
        <v>3</v>
      </c>
      <c r="AC150" t="s">
        <v>99</v>
      </c>
      <c r="AD150" t="s">
        <v>67</v>
      </c>
      <c r="AE150">
        <v>0</v>
      </c>
      <c r="AF150">
        <v>0.42105263157894735</v>
      </c>
      <c r="AG150" t="s">
        <v>67</v>
      </c>
      <c r="AH150" t="s">
        <v>182</v>
      </c>
    </row>
    <row r="151" spans="1:34" x14ac:dyDescent="0.2">
      <c r="A151">
        <v>205</v>
      </c>
      <c r="B151">
        <v>54</v>
      </c>
      <c r="C151" t="s">
        <v>15</v>
      </c>
      <c r="D151">
        <v>32</v>
      </c>
      <c r="E151">
        <v>105.07</v>
      </c>
      <c r="F151" t="s">
        <v>19</v>
      </c>
      <c r="G151" t="s">
        <v>24</v>
      </c>
      <c r="H151">
        <v>0</v>
      </c>
      <c r="I151">
        <v>34.799999999999997</v>
      </c>
      <c r="J151">
        <v>8</v>
      </c>
      <c r="K151">
        <v>3224.58</v>
      </c>
      <c r="L151">
        <v>0</v>
      </c>
      <c r="M151" t="s">
        <v>134</v>
      </c>
      <c r="N151" t="s">
        <v>136</v>
      </c>
      <c r="O151" t="s">
        <v>140</v>
      </c>
      <c r="P151" t="s">
        <v>149</v>
      </c>
      <c r="Q151" t="s">
        <v>145</v>
      </c>
      <c r="R151" t="s">
        <v>160</v>
      </c>
      <c r="S151" t="s">
        <v>174</v>
      </c>
      <c r="T151" t="s">
        <v>185</v>
      </c>
      <c r="U151" t="s">
        <v>176</v>
      </c>
      <c r="V151" t="s">
        <v>184</v>
      </c>
      <c r="W151">
        <v>0</v>
      </c>
      <c r="X151">
        <v>0</v>
      </c>
      <c r="Y151">
        <v>0</v>
      </c>
      <c r="Z151">
        <v>2</v>
      </c>
      <c r="AA151">
        <v>1</v>
      </c>
      <c r="AB151" s="51">
        <v>3</v>
      </c>
      <c r="AC151" t="s">
        <v>99</v>
      </c>
      <c r="AD151" t="s">
        <v>67</v>
      </c>
      <c r="AE151">
        <v>0</v>
      </c>
      <c r="AF151">
        <v>0.42105263157894735</v>
      </c>
      <c r="AG151" t="s">
        <v>67</v>
      </c>
      <c r="AH151" t="s">
        <v>182</v>
      </c>
    </row>
    <row r="152" spans="1:34" x14ac:dyDescent="0.2">
      <c r="A152">
        <v>207</v>
      </c>
      <c r="B152">
        <v>68</v>
      </c>
      <c r="C152" t="s">
        <v>15</v>
      </c>
      <c r="D152">
        <v>61</v>
      </c>
      <c r="E152">
        <v>60.85</v>
      </c>
      <c r="F152" t="s">
        <v>18</v>
      </c>
      <c r="G152" t="s">
        <v>24</v>
      </c>
      <c r="H152">
        <v>2</v>
      </c>
      <c r="I152">
        <v>96.9</v>
      </c>
      <c r="J152">
        <v>7</v>
      </c>
      <c r="K152">
        <v>3549.27</v>
      </c>
      <c r="L152">
        <v>1</v>
      </c>
      <c r="M152" t="s">
        <v>134</v>
      </c>
      <c r="N152" t="s">
        <v>136</v>
      </c>
      <c r="O152" t="s">
        <v>142</v>
      </c>
      <c r="P152" t="s">
        <v>149</v>
      </c>
      <c r="Q152" t="s">
        <v>144</v>
      </c>
      <c r="R152" t="s">
        <v>159</v>
      </c>
      <c r="S152" t="s">
        <v>174</v>
      </c>
      <c r="T152" t="s">
        <v>185</v>
      </c>
      <c r="U152" t="s">
        <v>181</v>
      </c>
      <c r="V152" t="s">
        <v>188</v>
      </c>
      <c r="W152">
        <v>1</v>
      </c>
      <c r="X152">
        <v>0</v>
      </c>
      <c r="Y152">
        <v>0</v>
      </c>
      <c r="Z152">
        <v>1</v>
      </c>
      <c r="AA152">
        <v>0</v>
      </c>
      <c r="AB152" s="51">
        <v>2</v>
      </c>
      <c r="AC152" t="s">
        <v>99</v>
      </c>
      <c r="AD152" t="s">
        <v>67</v>
      </c>
      <c r="AE152">
        <v>0</v>
      </c>
      <c r="AF152">
        <v>0.6</v>
      </c>
      <c r="AG152" t="s">
        <v>66</v>
      </c>
      <c r="AH152" t="s">
        <v>98</v>
      </c>
    </row>
    <row r="153" spans="1:34" x14ac:dyDescent="0.2">
      <c r="A153">
        <v>208</v>
      </c>
      <c r="B153">
        <v>59</v>
      </c>
      <c r="C153" t="s">
        <v>16</v>
      </c>
      <c r="D153">
        <v>47</v>
      </c>
      <c r="E153">
        <v>113.29</v>
      </c>
      <c r="F153" t="s">
        <v>19</v>
      </c>
      <c r="G153" t="s">
        <v>23</v>
      </c>
      <c r="H153">
        <v>3</v>
      </c>
      <c r="I153">
        <v>86.4</v>
      </c>
      <c r="J153">
        <v>7</v>
      </c>
      <c r="K153">
        <v>5647.82</v>
      </c>
      <c r="L153">
        <v>1</v>
      </c>
      <c r="M153" t="s">
        <v>134</v>
      </c>
      <c r="N153" t="s">
        <v>136</v>
      </c>
      <c r="O153" t="s">
        <v>140</v>
      </c>
      <c r="P153" t="s">
        <v>149</v>
      </c>
      <c r="Q153" t="s">
        <v>144</v>
      </c>
      <c r="R153" t="s">
        <v>160</v>
      </c>
      <c r="S153" t="s">
        <v>174</v>
      </c>
      <c r="T153" t="s">
        <v>185</v>
      </c>
      <c r="U153" t="s">
        <v>176</v>
      </c>
      <c r="V153" t="s">
        <v>188</v>
      </c>
      <c r="W153">
        <v>0</v>
      </c>
      <c r="X153">
        <v>0</v>
      </c>
      <c r="Y153">
        <v>0</v>
      </c>
      <c r="Z153">
        <v>2</v>
      </c>
      <c r="AA153">
        <v>0</v>
      </c>
      <c r="AB153" s="51">
        <v>2</v>
      </c>
      <c r="AC153" t="s">
        <v>99</v>
      </c>
      <c r="AD153" t="s">
        <v>67</v>
      </c>
      <c r="AE153">
        <v>0</v>
      </c>
      <c r="AF153">
        <v>0.6</v>
      </c>
      <c r="AG153" t="s">
        <v>66</v>
      </c>
      <c r="AH153" t="s">
        <v>98</v>
      </c>
    </row>
    <row r="154" spans="1:34" x14ac:dyDescent="0.2">
      <c r="A154">
        <v>211</v>
      </c>
      <c r="B154">
        <v>32</v>
      </c>
      <c r="C154" t="s">
        <v>16</v>
      </c>
      <c r="D154">
        <v>19</v>
      </c>
      <c r="E154">
        <v>57.92</v>
      </c>
      <c r="F154" t="s">
        <v>20</v>
      </c>
      <c r="G154" t="s">
        <v>22</v>
      </c>
      <c r="H154">
        <v>2</v>
      </c>
      <c r="I154">
        <v>35.4</v>
      </c>
      <c r="J154">
        <v>2</v>
      </c>
      <c r="K154">
        <v>1189.8599999999999</v>
      </c>
      <c r="L154">
        <v>1</v>
      </c>
      <c r="M154" t="s">
        <v>134</v>
      </c>
      <c r="N154" t="s">
        <v>137</v>
      </c>
      <c r="O154" t="s">
        <v>141</v>
      </c>
      <c r="P154" t="s">
        <v>147</v>
      </c>
      <c r="Q154" t="s">
        <v>145</v>
      </c>
      <c r="R154" t="s">
        <v>158</v>
      </c>
      <c r="S154" t="s">
        <v>178</v>
      </c>
      <c r="T154" t="s">
        <v>175</v>
      </c>
      <c r="U154" t="s">
        <v>179</v>
      </c>
      <c r="V154" t="s">
        <v>184</v>
      </c>
      <c r="W154">
        <v>3</v>
      </c>
      <c r="X154">
        <v>1</v>
      </c>
      <c r="Y154">
        <v>4</v>
      </c>
      <c r="Z154">
        <v>0</v>
      </c>
      <c r="AA154">
        <v>1</v>
      </c>
      <c r="AB154" s="51">
        <v>9</v>
      </c>
      <c r="AC154" t="s">
        <v>98</v>
      </c>
      <c r="AD154" t="s">
        <v>67</v>
      </c>
      <c r="AE154">
        <v>0</v>
      </c>
      <c r="AF154">
        <v>0.54545454545454541</v>
      </c>
      <c r="AG154" t="s">
        <v>66</v>
      </c>
      <c r="AH154" t="s">
        <v>182</v>
      </c>
    </row>
    <row r="155" spans="1:34" x14ac:dyDescent="0.2">
      <c r="A155">
        <v>213</v>
      </c>
      <c r="B155">
        <v>49</v>
      </c>
      <c r="C155" t="s">
        <v>15</v>
      </c>
      <c r="D155">
        <v>57</v>
      </c>
      <c r="E155">
        <v>92.16</v>
      </c>
      <c r="F155" t="s">
        <v>20</v>
      </c>
      <c r="G155" t="s">
        <v>23</v>
      </c>
      <c r="H155">
        <v>3</v>
      </c>
      <c r="I155">
        <v>51.1</v>
      </c>
      <c r="J155">
        <v>2</v>
      </c>
      <c r="K155">
        <v>5228.3599999999997</v>
      </c>
      <c r="L155">
        <v>1</v>
      </c>
      <c r="M155" t="s">
        <v>134</v>
      </c>
      <c r="N155" t="s">
        <v>136</v>
      </c>
      <c r="O155" t="s">
        <v>140</v>
      </c>
      <c r="P155" t="s">
        <v>147</v>
      </c>
      <c r="Q155" t="s">
        <v>146</v>
      </c>
      <c r="R155" t="s">
        <v>158</v>
      </c>
      <c r="S155" t="s">
        <v>174</v>
      </c>
      <c r="T155" t="s">
        <v>175</v>
      </c>
      <c r="U155" t="s">
        <v>176</v>
      </c>
      <c r="V155" t="s">
        <v>180</v>
      </c>
      <c r="W155">
        <v>3</v>
      </c>
      <c r="X155">
        <v>0</v>
      </c>
      <c r="Y155">
        <v>4</v>
      </c>
      <c r="Z155">
        <v>2</v>
      </c>
      <c r="AA155">
        <v>0</v>
      </c>
      <c r="AB155" s="51">
        <v>9</v>
      </c>
      <c r="AC155" t="s">
        <v>98</v>
      </c>
      <c r="AD155" t="s">
        <v>67</v>
      </c>
      <c r="AE155">
        <v>0</v>
      </c>
      <c r="AF155">
        <v>0.54545454545454541</v>
      </c>
      <c r="AG155" t="s">
        <v>66</v>
      </c>
      <c r="AH155" t="s">
        <v>182</v>
      </c>
    </row>
    <row r="156" spans="1:34" x14ac:dyDescent="0.2">
      <c r="A156">
        <v>214</v>
      </c>
      <c r="B156">
        <v>41</v>
      </c>
      <c r="C156" t="s">
        <v>15</v>
      </c>
      <c r="D156">
        <v>18</v>
      </c>
      <c r="E156">
        <v>24.81</v>
      </c>
      <c r="F156" t="s">
        <v>20</v>
      </c>
      <c r="G156" t="s">
        <v>24</v>
      </c>
      <c r="H156">
        <v>0</v>
      </c>
      <c r="I156">
        <v>16.600000000000001</v>
      </c>
      <c r="J156">
        <v>4</v>
      </c>
      <c r="K156">
        <v>422.11</v>
      </c>
      <c r="L156">
        <v>1</v>
      </c>
      <c r="M156" t="s">
        <v>134</v>
      </c>
      <c r="N156" t="s">
        <v>137</v>
      </c>
      <c r="O156" t="s">
        <v>139</v>
      </c>
      <c r="P156" t="s">
        <v>148</v>
      </c>
      <c r="Q156" t="s">
        <v>143</v>
      </c>
      <c r="R156" t="s">
        <v>158</v>
      </c>
      <c r="S156" t="s">
        <v>178</v>
      </c>
      <c r="T156" t="s">
        <v>183</v>
      </c>
      <c r="U156" t="s">
        <v>187</v>
      </c>
      <c r="V156" t="s">
        <v>177</v>
      </c>
      <c r="W156">
        <v>3</v>
      </c>
      <c r="X156">
        <v>1</v>
      </c>
      <c r="Y156">
        <v>2</v>
      </c>
      <c r="Z156">
        <v>0</v>
      </c>
      <c r="AA156">
        <v>2</v>
      </c>
      <c r="AB156" s="51">
        <v>8</v>
      </c>
      <c r="AC156" t="s">
        <v>98</v>
      </c>
      <c r="AD156" t="s">
        <v>67</v>
      </c>
      <c r="AE156">
        <v>0</v>
      </c>
      <c r="AF156">
        <v>0.73684210526315785</v>
      </c>
      <c r="AG156" t="s">
        <v>66</v>
      </c>
      <c r="AH156" t="s">
        <v>98</v>
      </c>
    </row>
    <row r="157" spans="1:34" x14ac:dyDescent="0.2">
      <c r="A157">
        <v>215</v>
      </c>
      <c r="B157">
        <v>58</v>
      </c>
      <c r="C157" t="s">
        <v>16</v>
      </c>
      <c r="D157">
        <v>47</v>
      </c>
      <c r="E157">
        <v>98.15</v>
      </c>
      <c r="F157" t="s">
        <v>20</v>
      </c>
      <c r="G157" t="s">
        <v>24</v>
      </c>
      <c r="H157">
        <v>2</v>
      </c>
      <c r="I157">
        <v>73.900000000000006</v>
      </c>
      <c r="J157">
        <v>1</v>
      </c>
      <c r="K157">
        <v>4742.6499999999996</v>
      </c>
      <c r="L157">
        <v>0</v>
      </c>
      <c r="M157" t="s">
        <v>134</v>
      </c>
      <c r="N157" t="s">
        <v>136</v>
      </c>
      <c r="O157" t="s">
        <v>140</v>
      </c>
      <c r="P157" t="s">
        <v>147</v>
      </c>
      <c r="Q157" t="s">
        <v>146</v>
      </c>
      <c r="R157" t="s">
        <v>158</v>
      </c>
      <c r="S157" t="s">
        <v>174</v>
      </c>
      <c r="T157" t="s">
        <v>175</v>
      </c>
      <c r="U157" t="s">
        <v>176</v>
      </c>
      <c r="V157" t="s">
        <v>180</v>
      </c>
      <c r="W157">
        <v>3</v>
      </c>
      <c r="X157">
        <v>0</v>
      </c>
      <c r="Y157">
        <v>4</v>
      </c>
      <c r="Z157">
        <v>2</v>
      </c>
      <c r="AA157">
        <v>0</v>
      </c>
      <c r="AB157" s="51">
        <v>9</v>
      </c>
      <c r="AC157" t="s">
        <v>98</v>
      </c>
      <c r="AD157" t="s">
        <v>67</v>
      </c>
      <c r="AE157">
        <v>0</v>
      </c>
      <c r="AF157">
        <v>0.54545454545454541</v>
      </c>
      <c r="AG157" t="s">
        <v>66</v>
      </c>
      <c r="AH157" t="s">
        <v>182</v>
      </c>
    </row>
    <row r="158" spans="1:34" x14ac:dyDescent="0.2">
      <c r="A158">
        <v>216</v>
      </c>
      <c r="B158">
        <v>69</v>
      </c>
      <c r="C158" t="s">
        <v>16</v>
      </c>
      <c r="D158">
        <v>49</v>
      </c>
      <c r="E158">
        <v>102.79</v>
      </c>
      <c r="F158" t="s">
        <v>18</v>
      </c>
      <c r="G158" t="s">
        <v>23</v>
      </c>
      <c r="H158">
        <v>5</v>
      </c>
      <c r="I158">
        <v>35.700000000000003</v>
      </c>
      <c r="J158">
        <v>4</v>
      </c>
      <c r="K158">
        <v>5519.21</v>
      </c>
      <c r="L158">
        <v>0</v>
      </c>
      <c r="M158" t="s">
        <v>134</v>
      </c>
      <c r="N158" t="s">
        <v>136</v>
      </c>
      <c r="O158" t="s">
        <v>140</v>
      </c>
      <c r="P158" t="s">
        <v>148</v>
      </c>
      <c r="Q158" t="s">
        <v>145</v>
      </c>
      <c r="R158" t="s">
        <v>159</v>
      </c>
      <c r="S158" t="s">
        <v>174</v>
      </c>
      <c r="T158" t="s">
        <v>183</v>
      </c>
      <c r="U158" t="s">
        <v>176</v>
      </c>
      <c r="V158" t="s">
        <v>184</v>
      </c>
      <c r="W158">
        <v>1</v>
      </c>
      <c r="X158">
        <v>0</v>
      </c>
      <c r="Y158">
        <v>2</v>
      </c>
      <c r="Z158">
        <v>2</v>
      </c>
      <c r="AA158">
        <v>1</v>
      </c>
      <c r="AB158" s="51">
        <v>6</v>
      </c>
      <c r="AC158" t="s">
        <v>182</v>
      </c>
      <c r="AD158" t="s">
        <v>67</v>
      </c>
      <c r="AE158">
        <v>0</v>
      </c>
      <c r="AF158">
        <v>0.33333333333333331</v>
      </c>
      <c r="AG158" t="s">
        <v>67</v>
      </c>
      <c r="AH158" t="s">
        <v>99</v>
      </c>
    </row>
    <row r="159" spans="1:34" x14ac:dyDescent="0.2">
      <c r="A159">
        <v>217</v>
      </c>
      <c r="B159">
        <v>66</v>
      </c>
      <c r="C159" t="s">
        <v>15</v>
      </c>
      <c r="D159">
        <v>14</v>
      </c>
      <c r="E159">
        <v>95.05</v>
      </c>
      <c r="F159" t="s">
        <v>18</v>
      </c>
      <c r="G159" t="s">
        <v>23</v>
      </c>
      <c r="H159">
        <v>2</v>
      </c>
      <c r="I159">
        <v>99.7</v>
      </c>
      <c r="J159">
        <v>2</v>
      </c>
      <c r="K159">
        <v>1358.24</v>
      </c>
      <c r="L159">
        <v>1</v>
      </c>
      <c r="M159" t="s">
        <v>134</v>
      </c>
      <c r="N159" t="s">
        <v>137</v>
      </c>
      <c r="O159" t="s">
        <v>140</v>
      </c>
      <c r="P159" t="s">
        <v>147</v>
      </c>
      <c r="Q159" t="s">
        <v>144</v>
      </c>
      <c r="R159" t="s">
        <v>159</v>
      </c>
      <c r="S159" t="s">
        <v>178</v>
      </c>
      <c r="T159" t="s">
        <v>175</v>
      </c>
      <c r="U159" t="s">
        <v>176</v>
      </c>
      <c r="V159" t="s">
        <v>188</v>
      </c>
      <c r="W159">
        <v>1</v>
      </c>
      <c r="X159">
        <v>1</v>
      </c>
      <c r="Y159">
        <v>4</v>
      </c>
      <c r="Z159">
        <v>2</v>
      </c>
      <c r="AA159">
        <v>0</v>
      </c>
      <c r="AB159" s="51">
        <v>8</v>
      </c>
      <c r="AC159" t="s">
        <v>98</v>
      </c>
      <c r="AD159" t="s">
        <v>67</v>
      </c>
      <c r="AE159">
        <v>0</v>
      </c>
      <c r="AF159">
        <v>0.73684210526315785</v>
      </c>
      <c r="AG159" t="s">
        <v>66</v>
      </c>
      <c r="AH159" t="s">
        <v>98</v>
      </c>
    </row>
    <row r="160" spans="1:34" x14ac:dyDescent="0.2">
      <c r="A160">
        <v>218</v>
      </c>
      <c r="B160">
        <v>66</v>
      </c>
      <c r="C160" t="s">
        <v>16</v>
      </c>
      <c r="D160">
        <v>15</v>
      </c>
      <c r="E160">
        <v>99.95</v>
      </c>
      <c r="F160" t="s">
        <v>19</v>
      </c>
      <c r="G160" t="s">
        <v>24</v>
      </c>
      <c r="H160">
        <v>1</v>
      </c>
      <c r="I160">
        <v>98.1</v>
      </c>
      <c r="J160">
        <v>5</v>
      </c>
      <c r="K160">
        <v>1456.62</v>
      </c>
      <c r="L160">
        <v>0</v>
      </c>
      <c r="M160" t="s">
        <v>134</v>
      </c>
      <c r="N160" t="s">
        <v>137</v>
      </c>
      <c r="O160" t="s">
        <v>140</v>
      </c>
      <c r="P160" t="s">
        <v>148</v>
      </c>
      <c r="Q160" t="s">
        <v>144</v>
      </c>
      <c r="R160" t="s">
        <v>160</v>
      </c>
      <c r="S160" t="s">
        <v>178</v>
      </c>
      <c r="T160" t="s">
        <v>183</v>
      </c>
      <c r="U160" t="s">
        <v>176</v>
      </c>
      <c r="V160" t="s">
        <v>188</v>
      </c>
      <c r="W160">
        <v>0</v>
      </c>
      <c r="X160">
        <v>1</v>
      </c>
      <c r="Y160">
        <v>2</v>
      </c>
      <c r="Z160">
        <v>2</v>
      </c>
      <c r="AA160">
        <v>0</v>
      </c>
      <c r="AB160" s="51">
        <v>5</v>
      </c>
      <c r="AC160" t="s">
        <v>182</v>
      </c>
      <c r="AD160" t="s">
        <v>67</v>
      </c>
      <c r="AE160">
        <v>0</v>
      </c>
      <c r="AF160">
        <v>0.33333333333333331</v>
      </c>
      <c r="AG160" t="s">
        <v>67</v>
      </c>
      <c r="AH160" t="s">
        <v>99</v>
      </c>
    </row>
    <row r="161" spans="1:34" x14ac:dyDescent="0.2">
      <c r="A161">
        <v>220</v>
      </c>
      <c r="B161">
        <v>29</v>
      </c>
      <c r="C161" t="s">
        <v>16</v>
      </c>
      <c r="D161">
        <v>1</v>
      </c>
      <c r="E161">
        <v>38.64</v>
      </c>
      <c r="F161" t="s">
        <v>18</v>
      </c>
      <c r="G161" t="s">
        <v>23</v>
      </c>
      <c r="H161">
        <v>2</v>
      </c>
      <c r="I161">
        <v>17.3</v>
      </c>
      <c r="J161">
        <v>8</v>
      </c>
      <c r="K161">
        <v>35.729999999999997</v>
      </c>
      <c r="L161">
        <v>0</v>
      </c>
      <c r="M161" t="s">
        <v>134</v>
      </c>
      <c r="N161" t="s">
        <v>135</v>
      </c>
      <c r="O161" t="s">
        <v>141</v>
      </c>
      <c r="P161" t="s">
        <v>149</v>
      </c>
      <c r="Q161" t="s">
        <v>143</v>
      </c>
      <c r="R161" t="s">
        <v>159</v>
      </c>
      <c r="S161" t="s">
        <v>189</v>
      </c>
      <c r="T161" t="s">
        <v>185</v>
      </c>
      <c r="U161" t="s">
        <v>179</v>
      </c>
      <c r="V161" t="s">
        <v>177</v>
      </c>
      <c r="W161">
        <v>1</v>
      </c>
      <c r="X161">
        <v>3</v>
      </c>
      <c r="Y161">
        <v>0</v>
      </c>
      <c r="Z161">
        <v>0</v>
      </c>
      <c r="AA161">
        <v>2</v>
      </c>
      <c r="AB161" s="51">
        <v>6</v>
      </c>
      <c r="AC161" t="s">
        <v>182</v>
      </c>
      <c r="AD161" t="s">
        <v>67</v>
      </c>
      <c r="AE161">
        <v>0</v>
      </c>
      <c r="AF161">
        <v>0.33333333333333331</v>
      </c>
      <c r="AG161" t="s">
        <v>67</v>
      </c>
      <c r="AH161" t="s">
        <v>99</v>
      </c>
    </row>
    <row r="162" spans="1:34" x14ac:dyDescent="0.2">
      <c r="A162">
        <v>221</v>
      </c>
      <c r="B162">
        <v>56</v>
      </c>
      <c r="C162" t="s">
        <v>15</v>
      </c>
      <c r="D162">
        <v>54</v>
      </c>
      <c r="E162">
        <v>43.57</v>
      </c>
      <c r="F162" t="s">
        <v>20</v>
      </c>
      <c r="G162" t="s">
        <v>23</v>
      </c>
      <c r="H162">
        <v>1</v>
      </c>
      <c r="I162">
        <v>70.3</v>
      </c>
      <c r="J162">
        <v>4</v>
      </c>
      <c r="K162">
        <v>2535.67</v>
      </c>
      <c r="L162">
        <v>0</v>
      </c>
      <c r="M162" t="s">
        <v>134</v>
      </c>
      <c r="N162" t="s">
        <v>136</v>
      </c>
      <c r="O162" t="s">
        <v>141</v>
      </c>
      <c r="P162" t="s">
        <v>148</v>
      </c>
      <c r="Q162" t="s">
        <v>146</v>
      </c>
      <c r="R162" t="s">
        <v>158</v>
      </c>
      <c r="S162" t="s">
        <v>174</v>
      </c>
      <c r="T162" t="s">
        <v>183</v>
      </c>
      <c r="U162" t="s">
        <v>179</v>
      </c>
      <c r="V162" t="s">
        <v>180</v>
      </c>
      <c r="W162">
        <v>3</v>
      </c>
      <c r="X162">
        <v>0</v>
      </c>
      <c r="Y162">
        <v>2</v>
      </c>
      <c r="Z162">
        <v>0</v>
      </c>
      <c r="AA162">
        <v>0</v>
      </c>
      <c r="AB162" s="51">
        <v>5</v>
      </c>
      <c r="AC162" t="s">
        <v>182</v>
      </c>
      <c r="AD162" t="s">
        <v>67</v>
      </c>
      <c r="AE162">
        <v>0</v>
      </c>
      <c r="AF162">
        <v>0.33333333333333331</v>
      </c>
      <c r="AG162" t="s">
        <v>67</v>
      </c>
      <c r="AH162" t="s">
        <v>99</v>
      </c>
    </row>
    <row r="163" spans="1:34" x14ac:dyDescent="0.2">
      <c r="A163">
        <v>222</v>
      </c>
      <c r="B163">
        <v>19</v>
      </c>
      <c r="C163" t="s">
        <v>16</v>
      </c>
      <c r="D163">
        <v>3</v>
      </c>
      <c r="E163">
        <v>83.38</v>
      </c>
      <c r="F163" t="s">
        <v>20</v>
      </c>
      <c r="G163" t="s">
        <v>22</v>
      </c>
      <c r="H163">
        <v>0</v>
      </c>
      <c r="I163">
        <v>13.8</v>
      </c>
      <c r="J163">
        <v>1</v>
      </c>
      <c r="K163">
        <v>250.29</v>
      </c>
      <c r="L163">
        <v>1</v>
      </c>
      <c r="M163" t="s">
        <v>134</v>
      </c>
      <c r="N163" t="s">
        <v>135</v>
      </c>
      <c r="O163" t="s">
        <v>142</v>
      </c>
      <c r="P163" t="s">
        <v>147</v>
      </c>
      <c r="Q163" t="s">
        <v>143</v>
      </c>
      <c r="R163" t="s">
        <v>158</v>
      </c>
      <c r="S163" t="s">
        <v>189</v>
      </c>
      <c r="T163" t="s">
        <v>175</v>
      </c>
      <c r="U163" t="s">
        <v>181</v>
      </c>
      <c r="V163" t="s">
        <v>177</v>
      </c>
      <c r="W163">
        <v>3</v>
      </c>
      <c r="X163">
        <v>3</v>
      </c>
      <c r="Y163">
        <v>4</v>
      </c>
      <c r="Z163">
        <v>1</v>
      </c>
      <c r="AA163">
        <v>2</v>
      </c>
      <c r="AB163" s="51">
        <v>13</v>
      </c>
      <c r="AC163" t="s">
        <v>98</v>
      </c>
      <c r="AD163" t="s">
        <v>66</v>
      </c>
      <c r="AE163">
        <v>1</v>
      </c>
      <c r="AF163">
        <v>0.5</v>
      </c>
      <c r="AG163" t="s">
        <v>66</v>
      </c>
      <c r="AH163" t="s">
        <v>182</v>
      </c>
    </row>
    <row r="164" spans="1:34" x14ac:dyDescent="0.2">
      <c r="A164">
        <v>223</v>
      </c>
      <c r="B164">
        <v>20</v>
      </c>
      <c r="C164" t="s">
        <v>15</v>
      </c>
      <c r="D164">
        <v>16</v>
      </c>
      <c r="E164">
        <v>110.79</v>
      </c>
      <c r="F164" t="s">
        <v>20</v>
      </c>
      <c r="G164" t="s">
        <v>24</v>
      </c>
      <c r="H164">
        <v>3</v>
      </c>
      <c r="I164">
        <v>7.8</v>
      </c>
      <c r="J164">
        <v>1</v>
      </c>
      <c r="K164">
        <v>1754.68</v>
      </c>
      <c r="L164">
        <v>1</v>
      </c>
      <c r="M164" t="s">
        <v>134</v>
      </c>
      <c r="N164" t="s">
        <v>137</v>
      </c>
      <c r="O164" t="s">
        <v>140</v>
      </c>
      <c r="P164" t="s">
        <v>147</v>
      </c>
      <c r="Q164" t="s">
        <v>143</v>
      </c>
      <c r="R164" t="s">
        <v>158</v>
      </c>
      <c r="S164" t="s">
        <v>178</v>
      </c>
      <c r="T164" t="s">
        <v>175</v>
      </c>
      <c r="U164" t="s">
        <v>176</v>
      </c>
      <c r="V164" t="s">
        <v>177</v>
      </c>
      <c r="W164">
        <v>3</v>
      </c>
      <c r="X164">
        <v>1</v>
      </c>
      <c r="Y164">
        <v>4</v>
      </c>
      <c r="Z164">
        <v>2</v>
      </c>
      <c r="AA164">
        <v>2</v>
      </c>
      <c r="AB164" s="51">
        <v>12</v>
      </c>
      <c r="AC164" t="s">
        <v>98</v>
      </c>
      <c r="AD164" t="s">
        <v>67</v>
      </c>
      <c r="AE164">
        <v>0</v>
      </c>
      <c r="AF164">
        <v>0.8</v>
      </c>
      <c r="AG164" t="s">
        <v>66</v>
      </c>
      <c r="AH164" t="s">
        <v>98</v>
      </c>
    </row>
    <row r="165" spans="1:34" x14ac:dyDescent="0.2">
      <c r="A165">
        <v>226</v>
      </c>
      <c r="B165">
        <v>66</v>
      </c>
      <c r="C165" t="s">
        <v>15</v>
      </c>
      <c r="D165">
        <v>16</v>
      </c>
      <c r="E165">
        <v>88.3</v>
      </c>
      <c r="F165" t="s">
        <v>20</v>
      </c>
      <c r="G165" t="s">
        <v>24</v>
      </c>
      <c r="H165">
        <v>4</v>
      </c>
      <c r="I165">
        <v>41</v>
      </c>
      <c r="J165">
        <v>9</v>
      </c>
      <c r="K165">
        <v>1291.8</v>
      </c>
      <c r="L165">
        <v>0</v>
      </c>
      <c r="M165" t="s">
        <v>134</v>
      </c>
      <c r="N165" t="s">
        <v>137</v>
      </c>
      <c r="O165" t="s">
        <v>142</v>
      </c>
      <c r="P165" t="s">
        <v>149</v>
      </c>
      <c r="Q165" t="s">
        <v>146</v>
      </c>
      <c r="R165" t="s">
        <v>158</v>
      </c>
      <c r="S165" t="s">
        <v>178</v>
      </c>
      <c r="T165" t="s">
        <v>185</v>
      </c>
      <c r="U165" t="s">
        <v>181</v>
      </c>
      <c r="V165" t="s">
        <v>180</v>
      </c>
      <c r="W165">
        <v>3</v>
      </c>
      <c r="X165">
        <v>1</v>
      </c>
      <c r="Y165">
        <v>0</v>
      </c>
      <c r="Z165">
        <v>1</v>
      </c>
      <c r="AA165">
        <v>0</v>
      </c>
      <c r="AB165" s="51">
        <v>5</v>
      </c>
      <c r="AC165" t="s">
        <v>182</v>
      </c>
      <c r="AD165" t="s">
        <v>67</v>
      </c>
      <c r="AE165">
        <v>0</v>
      </c>
      <c r="AF165">
        <v>0.33333333333333331</v>
      </c>
      <c r="AG165" t="s">
        <v>67</v>
      </c>
      <c r="AH165" t="s">
        <v>99</v>
      </c>
    </row>
    <row r="166" spans="1:34" x14ac:dyDescent="0.2">
      <c r="A166">
        <v>227</v>
      </c>
      <c r="B166">
        <v>34</v>
      </c>
      <c r="C166" t="s">
        <v>16</v>
      </c>
      <c r="D166">
        <v>24</v>
      </c>
      <c r="E166">
        <v>65.19</v>
      </c>
      <c r="F166" t="s">
        <v>20</v>
      </c>
      <c r="G166" t="s">
        <v>23</v>
      </c>
      <c r="H166">
        <v>0</v>
      </c>
      <c r="I166">
        <v>97.5</v>
      </c>
      <c r="J166">
        <v>7</v>
      </c>
      <c r="K166">
        <v>1621.7</v>
      </c>
      <c r="L166">
        <v>1</v>
      </c>
      <c r="M166" t="s">
        <v>134</v>
      </c>
      <c r="N166" t="s">
        <v>136</v>
      </c>
      <c r="O166" t="s">
        <v>142</v>
      </c>
      <c r="P166" t="s">
        <v>149</v>
      </c>
      <c r="Q166" t="s">
        <v>144</v>
      </c>
      <c r="R166" t="s">
        <v>158</v>
      </c>
      <c r="S166" t="s">
        <v>174</v>
      </c>
      <c r="T166" t="s">
        <v>185</v>
      </c>
      <c r="U166" t="s">
        <v>181</v>
      </c>
      <c r="V166" t="s">
        <v>188</v>
      </c>
      <c r="W166">
        <v>3</v>
      </c>
      <c r="X166">
        <v>0</v>
      </c>
      <c r="Y166">
        <v>0</v>
      </c>
      <c r="Z166">
        <v>1</v>
      </c>
      <c r="AA166">
        <v>0</v>
      </c>
      <c r="AB166" s="51">
        <v>4</v>
      </c>
      <c r="AC166" t="s">
        <v>182</v>
      </c>
      <c r="AD166" t="s">
        <v>67</v>
      </c>
      <c r="AE166">
        <v>0</v>
      </c>
      <c r="AF166">
        <v>0.40740740740740738</v>
      </c>
      <c r="AG166" t="s">
        <v>67</v>
      </c>
      <c r="AH166" t="s">
        <v>182</v>
      </c>
    </row>
    <row r="167" spans="1:34" x14ac:dyDescent="0.2">
      <c r="A167">
        <v>228</v>
      </c>
      <c r="B167">
        <v>66</v>
      </c>
      <c r="C167" t="s">
        <v>16</v>
      </c>
      <c r="D167">
        <v>28</v>
      </c>
      <c r="E167">
        <v>91.38</v>
      </c>
      <c r="F167" t="s">
        <v>20</v>
      </c>
      <c r="G167" t="s">
        <v>24</v>
      </c>
      <c r="H167">
        <v>0</v>
      </c>
      <c r="I167">
        <v>37</v>
      </c>
      <c r="J167">
        <v>2</v>
      </c>
      <c r="K167">
        <v>2426.58</v>
      </c>
      <c r="L167">
        <v>0</v>
      </c>
      <c r="M167" t="s">
        <v>134</v>
      </c>
      <c r="N167" t="s">
        <v>136</v>
      </c>
      <c r="O167" t="s">
        <v>140</v>
      </c>
      <c r="P167" t="s">
        <v>147</v>
      </c>
      <c r="Q167" t="s">
        <v>145</v>
      </c>
      <c r="R167" t="s">
        <v>158</v>
      </c>
      <c r="S167" t="s">
        <v>174</v>
      </c>
      <c r="T167" t="s">
        <v>175</v>
      </c>
      <c r="U167" t="s">
        <v>176</v>
      </c>
      <c r="V167" t="s">
        <v>184</v>
      </c>
      <c r="W167">
        <v>3</v>
      </c>
      <c r="X167">
        <v>0</v>
      </c>
      <c r="Y167">
        <v>4</v>
      </c>
      <c r="Z167">
        <v>2</v>
      </c>
      <c r="AA167">
        <v>1</v>
      </c>
      <c r="AB167" s="51">
        <v>10</v>
      </c>
      <c r="AC167" t="s">
        <v>98</v>
      </c>
      <c r="AD167" t="s">
        <v>67</v>
      </c>
      <c r="AE167">
        <v>0</v>
      </c>
      <c r="AF167">
        <v>0.5</v>
      </c>
      <c r="AG167" t="s">
        <v>66</v>
      </c>
      <c r="AH167" t="s">
        <v>182</v>
      </c>
    </row>
    <row r="168" spans="1:34" x14ac:dyDescent="0.2">
      <c r="A168">
        <v>229</v>
      </c>
      <c r="B168">
        <v>19</v>
      </c>
      <c r="C168" t="s">
        <v>15</v>
      </c>
      <c r="D168">
        <v>8</v>
      </c>
      <c r="E168">
        <v>109.97</v>
      </c>
      <c r="F168" t="s">
        <v>20</v>
      </c>
      <c r="G168" t="s">
        <v>23</v>
      </c>
      <c r="H168">
        <v>1</v>
      </c>
      <c r="I168">
        <v>33.200000000000003</v>
      </c>
      <c r="J168">
        <v>9</v>
      </c>
      <c r="K168">
        <v>917.41</v>
      </c>
      <c r="L168">
        <v>1</v>
      </c>
      <c r="M168" t="s">
        <v>134</v>
      </c>
      <c r="N168" t="s">
        <v>138</v>
      </c>
      <c r="O168" t="s">
        <v>140</v>
      </c>
      <c r="P168" t="s">
        <v>149</v>
      </c>
      <c r="Q168" t="s">
        <v>145</v>
      </c>
      <c r="R168" t="s">
        <v>158</v>
      </c>
      <c r="S168" t="s">
        <v>186</v>
      </c>
      <c r="T168" t="s">
        <v>185</v>
      </c>
      <c r="U168" t="s">
        <v>176</v>
      </c>
      <c r="V168" t="s">
        <v>184</v>
      </c>
      <c r="W168">
        <v>3</v>
      </c>
      <c r="X168">
        <v>2</v>
      </c>
      <c r="Y168">
        <v>0</v>
      </c>
      <c r="Z168">
        <v>2</v>
      </c>
      <c r="AA168">
        <v>1</v>
      </c>
      <c r="AB168" s="51">
        <v>8</v>
      </c>
      <c r="AC168" t="s">
        <v>98</v>
      </c>
      <c r="AD168" t="s">
        <v>67</v>
      </c>
      <c r="AE168">
        <v>0</v>
      </c>
      <c r="AF168">
        <v>0.73684210526315785</v>
      </c>
      <c r="AG168" t="s">
        <v>66</v>
      </c>
      <c r="AH168" t="s">
        <v>98</v>
      </c>
    </row>
    <row r="169" spans="1:34" x14ac:dyDescent="0.2">
      <c r="A169">
        <v>230</v>
      </c>
      <c r="B169">
        <v>19</v>
      </c>
      <c r="C169" t="s">
        <v>16</v>
      </c>
      <c r="D169">
        <v>36</v>
      </c>
      <c r="E169">
        <v>82.41</v>
      </c>
      <c r="F169" t="s">
        <v>20</v>
      </c>
      <c r="G169" t="s">
        <v>22</v>
      </c>
      <c r="H169">
        <v>2</v>
      </c>
      <c r="I169">
        <v>92.2</v>
      </c>
      <c r="J169">
        <v>10</v>
      </c>
      <c r="K169">
        <v>3158.14</v>
      </c>
      <c r="L169">
        <v>1</v>
      </c>
      <c r="M169" t="s">
        <v>134</v>
      </c>
      <c r="N169" t="s">
        <v>136</v>
      </c>
      <c r="O169" t="s">
        <v>142</v>
      </c>
      <c r="P169" t="s">
        <v>149</v>
      </c>
      <c r="Q169" t="s">
        <v>144</v>
      </c>
      <c r="R169" t="s">
        <v>158</v>
      </c>
      <c r="S169" t="s">
        <v>174</v>
      </c>
      <c r="T169" t="s">
        <v>185</v>
      </c>
      <c r="U169" t="s">
        <v>181</v>
      </c>
      <c r="V169" t="s">
        <v>188</v>
      </c>
      <c r="W169">
        <v>3</v>
      </c>
      <c r="X169">
        <v>0</v>
      </c>
      <c r="Y169">
        <v>0</v>
      </c>
      <c r="Z169">
        <v>1</v>
      </c>
      <c r="AA169">
        <v>0</v>
      </c>
      <c r="AB169" s="51">
        <v>4</v>
      </c>
      <c r="AC169" t="s">
        <v>182</v>
      </c>
      <c r="AD169" t="s">
        <v>67</v>
      </c>
      <c r="AE169">
        <v>0</v>
      </c>
      <c r="AF169">
        <v>0.40740740740740738</v>
      </c>
      <c r="AG169" t="s">
        <v>67</v>
      </c>
      <c r="AH169" t="s">
        <v>182</v>
      </c>
    </row>
    <row r="170" spans="1:34" x14ac:dyDescent="0.2">
      <c r="A170">
        <v>231</v>
      </c>
      <c r="B170">
        <v>45</v>
      </c>
      <c r="C170" t="s">
        <v>15</v>
      </c>
      <c r="D170">
        <v>8</v>
      </c>
      <c r="E170">
        <v>73.98</v>
      </c>
      <c r="F170" t="s">
        <v>19</v>
      </c>
      <c r="G170" t="s">
        <v>23</v>
      </c>
      <c r="H170">
        <v>1</v>
      </c>
      <c r="I170">
        <v>15.5</v>
      </c>
      <c r="J170">
        <v>2</v>
      </c>
      <c r="K170">
        <v>627.82000000000005</v>
      </c>
      <c r="L170">
        <v>0</v>
      </c>
      <c r="M170" t="s">
        <v>134</v>
      </c>
      <c r="N170" t="s">
        <v>138</v>
      </c>
      <c r="O170" t="s">
        <v>142</v>
      </c>
      <c r="P170" t="s">
        <v>147</v>
      </c>
      <c r="Q170" t="s">
        <v>143</v>
      </c>
      <c r="R170" t="s">
        <v>160</v>
      </c>
      <c r="S170" t="s">
        <v>186</v>
      </c>
      <c r="T170" t="s">
        <v>175</v>
      </c>
      <c r="U170" t="s">
        <v>181</v>
      </c>
      <c r="V170" t="s">
        <v>177</v>
      </c>
      <c r="W170">
        <v>0</v>
      </c>
      <c r="X170">
        <v>2</v>
      </c>
      <c r="Y170">
        <v>4</v>
      </c>
      <c r="Z170">
        <v>1</v>
      </c>
      <c r="AA170">
        <v>2</v>
      </c>
      <c r="AB170" s="51">
        <v>9</v>
      </c>
      <c r="AC170" t="s">
        <v>98</v>
      </c>
      <c r="AD170" t="s">
        <v>67</v>
      </c>
      <c r="AE170">
        <v>0</v>
      </c>
      <c r="AF170">
        <v>0.54545454545454541</v>
      </c>
      <c r="AG170" t="s">
        <v>66</v>
      </c>
      <c r="AH170" t="s">
        <v>182</v>
      </c>
    </row>
    <row r="171" spans="1:34" x14ac:dyDescent="0.2">
      <c r="A171">
        <v>232</v>
      </c>
      <c r="B171">
        <v>40</v>
      </c>
      <c r="C171" t="s">
        <v>16</v>
      </c>
      <c r="D171">
        <v>58</v>
      </c>
      <c r="E171">
        <v>63.87</v>
      </c>
      <c r="F171" t="s">
        <v>20</v>
      </c>
      <c r="G171" t="s">
        <v>24</v>
      </c>
      <c r="H171">
        <v>3</v>
      </c>
      <c r="I171">
        <v>77.2</v>
      </c>
      <c r="J171">
        <v>3</v>
      </c>
      <c r="K171">
        <v>3743.36</v>
      </c>
      <c r="L171">
        <v>0</v>
      </c>
      <c r="M171" t="s">
        <v>134</v>
      </c>
      <c r="N171" t="s">
        <v>136</v>
      </c>
      <c r="O171" t="s">
        <v>142</v>
      </c>
      <c r="P171" t="s">
        <v>147</v>
      </c>
      <c r="Q171" t="s">
        <v>146</v>
      </c>
      <c r="R171" t="s">
        <v>158</v>
      </c>
      <c r="S171" t="s">
        <v>174</v>
      </c>
      <c r="T171" t="s">
        <v>175</v>
      </c>
      <c r="U171" t="s">
        <v>181</v>
      </c>
      <c r="V171" t="s">
        <v>180</v>
      </c>
      <c r="W171">
        <v>3</v>
      </c>
      <c r="X171">
        <v>0</v>
      </c>
      <c r="Y171">
        <v>4</v>
      </c>
      <c r="Z171">
        <v>1</v>
      </c>
      <c r="AA171">
        <v>0</v>
      </c>
      <c r="AB171" s="51">
        <v>8</v>
      </c>
      <c r="AC171" t="s">
        <v>98</v>
      </c>
      <c r="AD171" t="s">
        <v>67</v>
      </c>
      <c r="AE171">
        <v>0</v>
      </c>
      <c r="AF171">
        <v>0.73684210526315785</v>
      </c>
      <c r="AG171" t="s">
        <v>66</v>
      </c>
      <c r="AH171" t="s">
        <v>98</v>
      </c>
    </row>
    <row r="172" spans="1:34" x14ac:dyDescent="0.2">
      <c r="A172">
        <v>233</v>
      </c>
      <c r="B172">
        <v>54</v>
      </c>
      <c r="C172" t="s">
        <v>15</v>
      </c>
      <c r="D172">
        <v>60</v>
      </c>
      <c r="E172">
        <v>77.75</v>
      </c>
      <c r="F172" t="s">
        <v>20</v>
      </c>
      <c r="G172" t="s">
        <v>24</v>
      </c>
      <c r="H172">
        <v>4</v>
      </c>
      <c r="I172">
        <v>98.9</v>
      </c>
      <c r="J172">
        <v>10</v>
      </c>
      <c r="K172">
        <v>4683.82</v>
      </c>
      <c r="L172">
        <v>0</v>
      </c>
      <c r="M172" t="s">
        <v>134</v>
      </c>
      <c r="N172" t="s">
        <v>136</v>
      </c>
      <c r="O172" t="s">
        <v>142</v>
      </c>
      <c r="P172" t="s">
        <v>149</v>
      </c>
      <c r="Q172" t="s">
        <v>144</v>
      </c>
      <c r="R172" t="s">
        <v>158</v>
      </c>
      <c r="S172" t="s">
        <v>174</v>
      </c>
      <c r="T172" t="s">
        <v>185</v>
      </c>
      <c r="U172" t="s">
        <v>181</v>
      </c>
      <c r="V172" t="s">
        <v>188</v>
      </c>
      <c r="W172">
        <v>3</v>
      </c>
      <c r="X172">
        <v>0</v>
      </c>
      <c r="Y172">
        <v>0</v>
      </c>
      <c r="Z172">
        <v>1</v>
      </c>
      <c r="AA172">
        <v>0</v>
      </c>
      <c r="AB172" s="51">
        <v>4</v>
      </c>
      <c r="AC172" t="s">
        <v>182</v>
      </c>
      <c r="AD172" t="s">
        <v>67</v>
      </c>
      <c r="AE172">
        <v>0</v>
      </c>
      <c r="AF172">
        <v>0.40740740740740738</v>
      </c>
      <c r="AG172" t="s">
        <v>67</v>
      </c>
      <c r="AH172" t="s">
        <v>182</v>
      </c>
    </row>
    <row r="173" spans="1:34" x14ac:dyDescent="0.2">
      <c r="A173">
        <v>235</v>
      </c>
      <c r="B173">
        <v>50</v>
      </c>
      <c r="C173" t="s">
        <v>15</v>
      </c>
      <c r="D173">
        <v>28</v>
      </c>
      <c r="E173">
        <v>59.15</v>
      </c>
      <c r="F173" t="s">
        <v>18</v>
      </c>
      <c r="G173" t="s">
        <v>22</v>
      </c>
      <c r="H173">
        <v>3</v>
      </c>
      <c r="I173">
        <v>66.900000000000006</v>
      </c>
      <c r="J173">
        <v>3</v>
      </c>
      <c r="K173">
        <v>1747.41</v>
      </c>
      <c r="L173">
        <v>1</v>
      </c>
      <c r="M173" t="s">
        <v>134</v>
      </c>
      <c r="N173" t="s">
        <v>136</v>
      </c>
      <c r="O173" t="s">
        <v>141</v>
      </c>
      <c r="P173" t="s">
        <v>147</v>
      </c>
      <c r="Q173" t="s">
        <v>146</v>
      </c>
      <c r="R173" t="s">
        <v>159</v>
      </c>
      <c r="S173" t="s">
        <v>174</v>
      </c>
      <c r="T173" t="s">
        <v>175</v>
      </c>
      <c r="U173" t="s">
        <v>179</v>
      </c>
      <c r="V173" t="s">
        <v>180</v>
      </c>
      <c r="W173">
        <v>1</v>
      </c>
      <c r="X173">
        <v>0</v>
      </c>
      <c r="Y173">
        <v>4</v>
      </c>
      <c r="Z173">
        <v>0</v>
      </c>
      <c r="AA173">
        <v>0</v>
      </c>
      <c r="AB173" s="51">
        <v>5</v>
      </c>
      <c r="AC173" t="s">
        <v>182</v>
      </c>
      <c r="AD173" t="s">
        <v>67</v>
      </c>
      <c r="AE173">
        <v>0</v>
      </c>
      <c r="AF173">
        <v>0.33333333333333331</v>
      </c>
      <c r="AG173" t="s">
        <v>67</v>
      </c>
      <c r="AH173" t="s">
        <v>99</v>
      </c>
    </row>
    <row r="174" spans="1:34" x14ac:dyDescent="0.2">
      <c r="A174">
        <v>236</v>
      </c>
      <c r="B174">
        <v>18</v>
      </c>
      <c r="C174" t="s">
        <v>15</v>
      </c>
      <c r="D174">
        <v>41</v>
      </c>
      <c r="E174">
        <v>73.19</v>
      </c>
      <c r="F174" t="s">
        <v>19</v>
      </c>
      <c r="G174" t="s">
        <v>22</v>
      </c>
      <c r="H174">
        <v>0</v>
      </c>
      <c r="I174">
        <v>34.799999999999997</v>
      </c>
      <c r="J174">
        <v>6</v>
      </c>
      <c r="K174">
        <v>2863.6</v>
      </c>
      <c r="L174">
        <v>0</v>
      </c>
      <c r="M174" t="s">
        <v>134</v>
      </c>
      <c r="N174" t="s">
        <v>136</v>
      </c>
      <c r="O174" t="s">
        <v>142</v>
      </c>
      <c r="P174" t="s">
        <v>148</v>
      </c>
      <c r="Q174" t="s">
        <v>145</v>
      </c>
      <c r="R174" t="s">
        <v>160</v>
      </c>
      <c r="S174" t="s">
        <v>174</v>
      </c>
      <c r="T174" t="s">
        <v>183</v>
      </c>
      <c r="U174" t="s">
        <v>181</v>
      </c>
      <c r="V174" t="s">
        <v>184</v>
      </c>
      <c r="W174">
        <v>0</v>
      </c>
      <c r="X174">
        <v>0</v>
      </c>
      <c r="Y174">
        <v>2</v>
      </c>
      <c r="Z174">
        <v>1</v>
      </c>
      <c r="AA174">
        <v>1</v>
      </c>
      <c r="AB174" s="51">
        <v>4</v>
      </c>
      <c r="AC174" t="s">
        <v>182</v>
      </c>
      <c r="AD174" t="s">
        <v>67</v>
      </c>
      <c r="AE174">
        <v>0</v>
      </c>
      <c r="AF174">
        <v>0.40740740740740738</v>
      </c>
      <c r="AG174" t="s">
        <v>67</v>
      </c>
      <c r="AH174" t="s">
        <v>182</v>
      </c>
    </row>
    <row r="175" spans="1:34" x14ac:dyDescent="0.2">
      <c r="A175">
        <v>237</v>
      </c>
      <c r="B175">
        <v>36</v>
      </c>
      <c r="C175" t="s">
        <v>15</v>
      </c>
      <c r="D175">
        <v>64</v>
      </c>
      <c r="E175">
        <v>26.66</v>
      </c>
      <c r="F175" t="s">
        <v>18</v>
      </c>
      <c r="G175" t="s">
        <v>24</v>
      </c>
      <c r="H175">
        <v>2</v>
      </c>
      <c r="I175">
        <v>29.2</v>
      </c>
      <c r="J175">
        <v>9</v>
      </c>
      <c r="K175">
        <v>1705.11</v>
      </c>
      <c r="L175">
        <v>0</v>
      </c>
      <c r="M175" t="s">
        <v>134</v>
      </c>
      <c r="N175" t="s">
        <v>136</v>
      </c>
      <c r="O175" t="s">
        <v>139</v>
      </c>
      <c r="P175" t="s">
        <v>149</v>
      </c>
      <c r="Q175" t="s">
        <v>145</v>
      </c>
      <c r="R175" t="s">
        <v>159</v>
      </c>
      <c r="S175" t="s">
        <v>174</v>
      </c>
      <c r="T175" t="s">
        <v>185</v>
      </c>
      <c r="U175" t="s">
        <v>187</v>
      </c>
      <c r="V175" t="s">
        <v>184</v>
      </c>
      <c r="W175">
        <v>1</v>
      </c>
      <c r="X175">
        <v>0</v>
      </c>
      <c r="Y175">
        <v>0</v>
      </c>
      <c r="Z175">
        <v>0</v>
      </c>
      <c r="AA175">
        <v>1</v>
      </c>
      <c r="AB175" s="51">
        <v>2</v>
      </c>
      <c r="AC175" t="s">
        <v>99</v>
      </c>
      <c r="AD175" t="s">
        <v>67</v>
      </c>
      <c r="AE175">
        <v>0</v>
      </c>
      <c r="AF175">
        <v>0.6</v>
      </c>
      <c r="AG175" t="s">
        <v>66</v>
      </c>
      <c r="AH175" t="s">
        <v>98</v>
      </c>
    </row>
    <row r="176" spans="1:34" x14ac:dyDescent="0.2">
      <c r="A176">
        <v>239</v>
      </c>
      <c r="B176">
        <v>61</v>
      </c>
      <c r="C176" t="s">
        <v>16</v>
      </c>
      <c r="D176">
        <v>63</v>
      </c>
      <c r="E176">
        <v>74.28</v>
      </c>
      <c r="F176" t="s">
        <v>20</v>
      </c>
      <c r="G176" t="s">
        <v>22</v>
      </c>
      <c r="H176">
        <v>1</v>
      </c>
      <c r="I176">
        <v>88.6</v>
      </c>
      <c r="J176">
        <v>7</v>
      </c>
      <c r="K176">
        <v>4336.93</v>
      </c>
      <c r="L176">
        <v>1</v>
      </c>
      <c r="M176" t="s">
        <v>134</v>
      </c>
      <c r="N176" t="s">
        <v>136</v>
      </c>
      <c r="O176" t="s">
        <v>142</v>
      </c>
      <c r="P176" t="s">
        <v>149</v>
      </c>
      <c r="Q176" t="s">
        <v>144</v>
      </c>
      <c r="R176" t="s">
        <v>158</v>
      </c>
      <c r="S176" t="s">
        <v>174</v>
      </c>
      <c r="T176" t="s">
        <v>185</v>
      </c>
      <c r="U176" t="s">
        <v>181</v>
      </c>
      <c r="V176" t="s">
        <v>188</v>
      </c>
      <c r="W176">
        <v>3</v>
      </c>
      <c r="X176">
        <v>0</v>
      </c>
      <c r="Y176">
        <v>0</v>
      </c>
      <c r="Z176">
        <v>1</v>
      </c>
      <c r="AA176">
        <v>0</v>
      </c>
      <c r="AB176" s="51">
        <v>4</v>
      </c>
      <c r="AC176" t="s">
        <v>182</v>
      </c>
      <c r="AD176" t="s">
        <v>67</v>
      </c>
      <c r="AE176">
        <v>0</v>
      </c>
      <c r="AF176">
        <v>0.40740740740740738</v>
      </c>
      <c r="AG176" t="s">
        <v>67</v>
      </c>
      <c r="AH176" t="s">
        <v>182</v>
      </c>
    </row>
    <row r="177" spans="1:34" x14ac:dyDescent="0.2">
      <c r="A177">
        <v>240</v>
      </c>
      <c r="B177">
        <v>43</v>
      </c>
      <c r="C177" t="s">
        <v>16</v>
      </c>
      <c r="D177">
        <v>17</v>
      </c>
      <c r="E177">
        <v>63.15</v>
      </c>
      <c r="F177" t="s">
        <v>20</v>
      </c>
      <c r="G177" t="s">
        <v>24</v>
      </c>
      <c r="H177">
        <v>2</v>
      </c>
      <c r="I177">
        <v>54.9</v>
      </c>
      <c r="J177">
        <v>3</v>
      </c>
      <c r="K177">
        <v>1101.3699999999999</v>
      </c>
      <c r="L177">
        <v>0</v>
      </c>
      <c r="M177" t="s">
        <v>134</v>
      </c>
      <c r="N177" t="s">
        <v>137</v>
      </c>
      <c r="O177" t="s">
        <v>142</v>
      </c>
      <c r="P177" t="s">
        <v>147</v>
      </c>
      <c r="Q177" t="s">
        <v>146</v>
      </c>
      <c r="R177" t="s">
        <v>158</v>
      </c>
      <c r="S177" t="s">
        <v>178</v>
      </c>
      <c r="T177" t="s">
        <v>175</v>
      </c>
      <c r="U177" t="s">
        <v>181</v>
      </c>
      <c r="V177" t="s">
        <v>180</v>
      </c>
      <c r="W177">
        <v>3</v>
      </c>
      <c r="X177">
        <v>1</v>
      </c>
      <c r="Y177">
        <v>4</v>
      </c>
      <c r="Z177">
        <v>1</v>
      </c>
      <c r="AA177">
        <v>0</v>
      </c>
      <c r="AB177" s="51">
        <v>9</v>
      </c>
      <c r="AC177" t="s">
        <v>98</v>
      </c>
      <c r="AD177" t="s">
        <v>67</v>
      </c>
      <c r="AE177">
        <v>0</v>
      </c>
      <c r="AF177">
        <v>0.54545454545454541</v>
      </c>
      <c r="AG177" t="s">
        <v>66</v>
      </c>
      <c r="AH177" t="s">
        <v>182</v>
      </c>
    </row>
    <row r="178" spans="1:34" x14ac:dyDescent="0.2">
      <c r="A178">
        <v>242</v>
      </c>
      <c r="B178">
        <v>23</v>
      </c>
      <c r="C178" t="s">
        <v>15</v>
      </c>
      <c r="D178">
        <v>29</v>
      </c>
      <c r="E178">
        <v>93.05</v>
      </c>
      <c r="F178" t="s">
        <v>18</v>
      </c>
      <c r="G178" t="s">
        <v>22</v>
      </c>
      <c r="H178">
        <v>2</v>
      </c>
      <c r="I178">
        <v>15.7</v>
      </c>
      <c r="J178">
        <v>6</v>
      </c>
      <c r="K178">
        <v>2832.64</v>
      </c>
      <c r="L178">
        <v>1</v>
      </c>
      <c r="M178" t="s">
        <v>134</v>
      </c>
      <c r="N178" t="s">
        <v>136</v>
      </c>
      <c r="O178" t="s">
        <v>140</v>
      </c>
      <c r="P178" t="s">
        <v>148</v>
      </c>
      <c r="Q178" t="s">
        <v>143</v>
      </c>
      <c r="R178" t="s">
        <v>159</v>
      </c>
      <c r="S178" t="s">
        <v>174</v>
      </c>
      <c r="T178" t="s">
        <v>183</v>
      </c>
      <c r="U178" t="s">
        <v>176</v>
      </c>
      <c r="V178" t="s">
        <v>177</v>
      </c>
      <c r="W178">
        <v>1</v>
      </c>
      <c r="X178">
        <v>0</v>
      </c>
      <c r="Y178">
        <v>2</v>
      </c>
      <c r="Z178">
        <v>2</v>
      </c>
      <c r="AA178">
        <v>2</v>
      </c>
      <c r="AB178" s="51">
        <v>7</v>
      </c>
      <c r="AC178" t="s">
        <v>98</v>
      </c>
      <c r="AD178" t="s">
        <v>67</v>
      </c>
      <c r="AE178">
        <v>0</v>
      </c>
      <c r="AF178">
        <v>0.54166666666666663</v>
      </c>
      <c r="AG178" t="s">
        <v>66</v>
      </c>
      <c r="AH178" t="s">
        <v>182</v>
      </c>
    </row>
    <row r="179" spans="1:34" x14ac:dyDescent="0.2">
      <c r="A179">
        <v>243</v>
      </c>
      <c r="B179">
        <v>49</v>
      </c>
      <c r="C179" t="s">
        <v>15</v>
      </c>
      <c r="D179">
        <v>13</v>
      </c>
      <c r="E179">
        <v>89.37</v>
      </c>
      <c r="F179" t="s">
        <v>18</v>
      </c>
      <c r="G179" t="s">
        <v>22</v>
      </c>
      <c r="H179">
        <v>1</v>
      </c>
      <c r="I179">
        <v>13.3</v>
      </c>
      <c r="J179">
        <v>5</v>
      </c>
      <c r="K179">
        <v>1119.42</v>
      </c>
      <c r="L179">
        <v>0</v>
      </c>
      <c r="M179" t="s">
        <v>134</v>
      </c>
      <c r="N179" t="s">
        <v>137</v>
      </c>
      <c r="O179" t="s">
        <v>142</v>
      </c>
      <c r="P179" t="s">
        <v>148</v>
      </c>
      <c r="Q179" t="s">
        <v>143</v>
      </c>
      <c r="R179" t="s">
        <v>159</v>
      </c>
      <c r="S179" t="s">
        <v>178</v>
      </c>
      <c r="T179" t="s">
        <v>183</v>
      </c>
      <c r="U179" t="s">
        <v>181</v>
      </c>
      <c r="V179" t="s">
        <v>177</v>
      </c>
      <c r="W179">
        <v>1</v>
      </c>
      <c r="X179">
        <v>1</v>
      </c>
      <c r="Y179">
        <v>2</v>
      </c>
      <c r="Z179">
        <v>1</v>
      </c>
      <c r="AA179">
        <v>2</v>
      </c>
      <c r="AB179" s="51">
        <v>7</v>
      </c>
      <c r="AC179" t="s">
        <v>98</v>
      </c>
      <c r="AD179" t="s">
        <v>67</v>
      </c>
      <c r="AE179">
        <v>0</v>
      </c>
      <c r="AF179">
        <v>0.54166666666666663</v>
      </c>
      <c r="AG179" t="s">
        <v>66</v>
      </c>
      <c r="AH179" t="s">
        <v>182</v>
      </c>
    </row>
    <row r="180" spans="1:34" x14ac:dyDescent="0.2">
      <c r="A180">
        <v>244</v>
      </c>
      <c r="B180">
        <v>21</v>
      </c>
      <c r="C180" t="s">
        <v>15</v>
      </c>
      <c r="D180">
        <v>46</v>
      </c>
      <c r="E180">
        <v>36.67</v>
      </c>
      <c r="F180" t="s">
        <v>18</v>
      </c>
      <c r="G180" t="s">
        <v>22</v>
      </c>
      <c r="H180">
        <v>3</v>
      </c>
      <c r="I180">
        <v>73.3</v>
      </c>
      <c r="J180">
        <v>2</v>
      </c>
      <c r="K180">
        <v>1518.18</v>
      </c>
      <c r="L180">
        <v>1</v>
      </c>
      <c r="M180" t="s">
        <v>134</v>
      </c>
      <c r="N180" t="s">
        <v>136</v>
      </c>
      <c r="O180" t="s">
        <v>141</v>
      </c>
      <c r="P180" t="s">
        <v>147</v>
      </c>
      <c r="Q180" t="s">
        <v>146</v>
      </c>
      <c r="R180" t="s">
        <v>159</v>
      </c>
      <c r="S180" t="s">
        <v>174</v>
      </c>
      <c r="T180" t="s">
        <v>175</v>
      </c>
      <c r="U180" t="s">
        <v>179</v>
      </c>
      <c r="V180" t="s">
        <v>180</v>
      </c>
      <c r="W180">
        <v>1</v>
      </c>
      <c r="X180">
        <v>0</v>
      </c>
      <c r="Y180">
        <v>4</v>
      </c>
      <c r="Z180">
        <v>0</v>
      </c>
      <c r="AA180">
        <v>0</v>
      </c>
      <c r="AB180" s="51">
        <v>5</v>
      </c>
      <c r="AC180" t="s">
        <v>182</v>
      </c>
      <c r="AD180" t="s">
        <v>67</v>
      </c>
      <c r="AE180">
        <v>0</v>
      </c>
      <c r="AF180">
        <v>0.33333333333333331</v>
      </c>
      <c r="AG180" t="s">
        <v>67</v>
      </c>
      <c r="AH180" t="s">
        <v>99</v>
      </c>
    </row>
    <row r="181" spans="1:34" x14ac:dyDescent="0.2">
      <c r="A181">
        <v>245</v>
      </c>
      <c r="B181">
        <v>28</v>
      </c>
      <c r="C181" t="s">
        <v>15</v>
      </c>
      <c r="D181">
        <v>35</v>
      </c>
      <c r="E181">
        <v>107.86</v>
      </c>
      <c r="F181" t="s">
        <v>18</v>
      </c>
      <c r="G181" t="s">
        <v>23</v>
      </c>
      <c r="H181">
        <v>4</v>
      </c>
      <c r="I181">
        <v>44.9</v>
      </c>
      <c r="J181">
        <v>6</v>
      </c>
      <c r="K181">
        <v>3783.5</v>
      </c>
      <c r="L181">
        <v>0</v>
      </c>
      <c r="M181" t="s">
        <v>134</v>
      </c>
      <c r="N181" t="s">
        <v>136</v>
      </c>
      <c r="O181" t="s">
        <v>140</v>
      </c>
      <c r="P181" t="s">
        <v>148</v>
      </c>
      <c r="Q181" t="s">
        <v>146</v>
      </c>
      <c r="R181" t="s">
        <v>159</v>
      </c>
      <c r="S181" t="s">
        <v>174</v>
      </c>
      <c r="T181" t="s">
        <v>183</v>
      </c>
      <c r="U181" t="s">
        <v>176</v>
      </c>
      <c r="V181" t="s">
        <v>180</v>
      </c>
      <c r="W181">
        <v>1</v>
      </c>
      <c r="X181">
        <v>0</v>
      </c>
      <c r="Y181">
        <v>2</v>
      </c>
      <c r="Z181">
        <v>2</v>
      </c>
      <c r="AA181">
        <v>0</v>
      </c>
      <c r="AB181" s="51">
        <v>5</v>
      </c>
      <c r="AC181" t="s">
        <v>182</v>
      </c>
      <c r="AD181" t="s">
        <v>67</v>
      </c>
      <c r="AE181">
        <v>0</v>
      </c>
      <c r="AF181">
        <v>0.33333333333333331</v>
      </c>
      <c r="AG181" t="s">
        <v>67</v>
      </c>
      <c r="AH181" t="s">
        <v>99</v>
      </c>
    </row>
    <row r="182" spans="1:34" x14ac:dyDescent="0.2">
      <c r="A182">
        <v>246</v>
      </c>
      <c r="B182">
        <v>34</v>
      </c>
      <c r="C182" t="s">
        <v>16</v>
      </c>
      <c r="D182">
        <v>6</v>
      </c>
      <c r="E182">
        <v>69.540000000000006</v>
      </c>
      <c r="F182" t="s">
        <v>18</v>
      </c>
      <c r="G182" t="s">
        <v>23</v>
      </c>
      <c r="H182">
        <v>2</v>
      </c>
      <c r="I182">
        <v>91</v>
      </c>
      <c r="J182">
        <v>3</v>
      </c>
      <c r="K182">
        <v>379.43</v>
      </c>
      <c r="L182">
        <v>1</v>
      </c>
      <c r="M182" t="s">
        <v>134</v>
      </c>
      <c r="N182" t="s">
        <v>138</v>
      </c>
      <c r="O182" t="s">
        <v>142</v>
      </c>
      <c r="P182" t="s">
        <v>147</v>
      </c>
      <c r="Q182" t="s">
        <v>144</v>
      </c>
      <c r="R182" t="s">
        <v>159</v>
      </c>
      <c r="S182" t="s">
        <v>186</v>
      </c>
      <c r="T182" t="s">
        <v>175</v>
      </c>
      <c r="U182" t="s">
        <v>181</v>
      </c>
      <c r="V182" t="s">
        <v>188</v>
      </c>
      <c r="W182">
        <v>1</v>
      </c>
      <c r="X182">
        <v>2</v>
      </c>
      <c r="Y182">
        <v>4</v>
      </c>
      <c r="Z182">
        <v>1</v>
      </c>
      <c r="AA182">
        <v>0</v>
      </c>
      <c r="AB182" s="51">
        <v>8</v>
      </c>
      <c r="AC182" t="s">
        <v>98</v>
      </c>
      <c r="AD182" t="s">
        <v>67</v>
      </c>
      <c r="AE182">
        <v>0</v>
      </c>
      <c r="AF182">
        <v>0.73684210526315785</v>
      </c>
      <c r="AG182" t="s">
        <v>66</v>
      </c>
      <c r="AH182" t="s">
        <v>98</v>
      </c>
    </row>
    <row r="183" spans="1:34" x14ac:dyDescent="0.2">
      <c r="A183">
        <v>248</v>
      </c>
      <c r="B183">
        <v>41</v>
      </c>
      <c r="C183" t="s">
        <v>15</v>
      </c>
      <c r="D183">
        <v>47</v>
      </c>
      <c r="E183">
        <v>77.319999999999993</v>
      </c>
      <c r="F183" t="s">
        <v>19</v>
      </c>
      <c r="G183" t="s">
        <v>22</v>
      </c>
      <c r="H183">
        <v>3</v>
      </c>
      <c r="I183">
        <v>23.2</v>
      </c>
      <c r="J183">
        <v>2</v>
      </c>
      <c r="K183">
        <v>3784.47</v>
      </c>
      <c r="L183">
        <v>1</v>
      </c>
      <c r="M183" t="s">
        <v>134</v>
      </c>
      <c r="N183" t="s">
        <v>136</v>
      </c>
      <c r="O183" t="s">
        <v>142</v>
      </c>
      <c r="P183" t="s">
        <v>147</v>
      </c>
      <c r="Q183" t="s">
        <v>145</v>
      </c>
      <c r="R183" t="s">
        <v>160</v>
      </c>
      <c r="S183" t="s">
        <v>174</v>
      </c>
      <c r="T183" t="s">
        <v>175</v>
      </c>
      <c r="U183" t="s">
        <v>181</v>
      </c>
      <c r="V183" t="s">
        <v>184</v>
      </c>
      <c r="W183">
        <v>0</v>
      </c>
      <c r="X183">
        <v>0</v>
      </c>
      <c r="Y183">
        <v>4</v>
      </c>
      <c r="Z183">
        <v>1</v>
      </c>
      <c r="AA183">
        <v>1</v>
      </c>
      <c r="AB183" s="51">
        <v>6</v>
      </c>
      <c r="AC183" t="s">
        <v>182</v>
      </c>
      <c r="AD183" t="s">
        <v>67</v>
      </c>
      <c r="AE183">
        <v>0</v>
      </c>
      <c r="AF183">
        <v>0.33333333333333331</v>
      </c>
      <c r="AG183" t="s">
        <v>67</v>
      </c>
      <c r="AH183" t="s">
        <v>99</v>
      </c>
    </row>
    <row r="184" spans="1:34" x14ac:dyDescent="0.2">
      <c r="A184">
        <v>249</v>
      </c>
      <c r="B184">
        <v>22</v>
      </c>
      <c r="C184" t="s">
        <v>16</v>
      </c>
      <c r="D184">
        <v>25</v>
      </c>
      <c r="E184">
        <v>119.77</v>
      </c>
      <c r="F184" t="s">
        <v>18</v>
      </c>
      <c r="G184" t="s">
        <v>23</v>
      </c>
      <c r="H184">
        <v>3</v>
      </c>
      <c r="I184">
        <v>63.3</v>
      </c>
      <c r="J184">
        <v>1</v>
      </c>
      <c r="K184">
        <v>2732.37</v>
      </c>
      <c r="L184">
        <v>1</v>
      </c>
      <c r="M184" t="s">
        <v>134</v>
      </c>
      <c r="N184" t="s">
        <v>136</v>
      </c>
      <c r="O184" t="s">
        <v>140</v>
      </c>
      <c r="P184" t="s">
        <v>147</v>
      </c>
      <c r="Q184" t="s">
        <v>146</v>
      </c>
      <c r="R184" t="s">
        <v>159</v>
      </c>
      <c r="S184" t="s">
        <v>174</v>
      </c>
      <c r="T184" t="s">
        <v>175</v>
      </c>
      <c r="U184" t="s">
        <v>176</v>
      </c>
      <c r="V184" t="s">
        <v>180</v>
      </c>
      <c r="W184">
        <v>1</v>
      </c>
      <c r="X184">
        <v>0</v>
      </c>
      <c r="Y184">
        <v>4</v>
      </c>
      <c r="Z184">
        <v>2</v>
      </c>
      <c r="AA184">
        <v>0</v>
      </c>
      <c r="AB184" s="51">
        <v>7</v>
      </c>
      <c r="AC184" t="s">
        <v>98</v>
      </c>
      <c r="AD184" t="s">
        <v>67</v>
      </c>
      <c r="AE184">
        <v>0</v>
      </c>
      <c r="AF184">
        <v>0.54166666666666663</v>
      </c>
      <c r="AG184" t="s">
        <v>66</v>
      </c>
      <c r="AH184" t="s">
        <v>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A0BF-1D1D-DC40-8BF0-E6171C23CA97}">
  <dimension ref="A1:S33"/>
  <sheetViews>
    <sheetView workbookViewId="0">
      <selection activeCell="E34" sqref="E34"/>
    </sheetView>
  </sheetViews>
  <sheetFormatPr baseColWidth="10" defaultRowHeight="15" x14ac:dyDescent="0.2"/>
  <sheetData>
    <row r="1" spans="1:11" x14ac:dyDescent="0.2">
      <c r="A1" s="52" t="s">
        <v>172</v>
      </c>
      <c r="B1" s="52" t="s">
        <v>61</v>
      </c>
      <c r="C1" s="52" t="s">
        <v>62</v>
      </c>
      <c r="D1" s="52" t="s">
        <v>63</v>
      </c>
      <c r="E1" s="52" t="s">
        <v>64</v>
      </c>
      <c r="F1" s="52" t="s">
        <v>169</v>
      </c>
      <c r="G1" s="52" t="s">
        <v>170</v>
      </c>
      <c r="H1" s="52" t="s">
        <v>65</v>
      </c>
      <c r="I1" s="52" t="s">
        <v>171</v>
      </c>
    </row>
    <row r="2" spans="1:11" x14ac:dyDescent="0.2">
      <c r="A2" s="34">
        <v>0</v>
      </c>
      <c r="B2" s="34">
        <v>30</v>
      </c>
      <c r="C2" s="34">
        <v>37</v>
      </c>
      <c r="D2" s="34">
        <v>0</v>
      </c>
      <c r="E2" s="34">
        <v>0</v>
      </c>
      <c r="F2" s="34">
        <v>0.45</v>
      </c>
      <c r="G2" s="34">
        <v>0.45</v>
      </c>
      <c r="H2" s="34">
        <v>1</v>
      </c>
      <c r="I2" s="34">
        <v>0.6</v>
      </c>
    </row>
    <row r="3" spans="1:11" x14ac:dyDescent="0.2">
      <c r="A3" s="34">
        <v>1</v>
      </c>
      <c r="B3" s="34">
        <v>30</v>
      </c>
      <c r="C3" s="34">
        <v>37</v>
      </c>
      <c r="D3" s="34">
        <v>0</v>
      </c>
      <c r="E3" s="34">
        <v>0</v>
      </c>
      <c r="F3" s="34">
        <v>0.45</v>
      </c>
      <c r="G3" s="34">
        <v>0.45</v>
      </c>
      <c r="H3" s="34">
        <v>1</v>
      </c>
      <c r="I3" s="34">
        <v>0.62</v>
      </c>
    </row>
    <row r="4" spans="1:11" x14ac:dyDescent="0.2">
      <c r="A4" s="34">
        <v>2</v>
      </c>
      <c r="B4" s="34">
        <v>30</v>
      </c>
      <c r="C4" s="34">
        <v>35</v>
      </c>
      <c r="D4" s="34">
        <v>2</v>
      </c>
      <c r="E4" s="34">
        <v>0</v>
      </c>
      <c r="F4" s="34">
        <v>0.47</v>
      </c>
      <c r="G4" s="34">
        <v>0.46</v>
      </c>
      <c r="H4" s="34">
        <v>1</v>
      </c>
      <c r="I4" s="34">
        <v>0.63</v>
      </c>
    </row>
    <row r="5" spans="1:11" x14ac:dyDescent="0.2">
      <c r="A5" s="34">
        <v>3</v>
      </c>
      <c r="B5" s="34">
        <v>28</v>
      </c>
      <c r="C5" s="34">
        <v>32</v>
      </c>
      <c r="D5" s="34">
        <v>5</v>
      </c>
      <c r="E5" s="34">
        <v>2</v>
      </c>
      <c r="F5" s="34">
        <v>0.49</v>
      </c>
      <c r="G5" s="34">
        <v>0.46</v>
      </c>
      <c r="H5" s="34">
        <v>0.93</v>
      </c>
      <c r="I5" s="34">
        <v>0.62</v>
      </c>
    </row>
    <row r="6" spans="1:11" x14ac:dyDescent="0.2">
      <c r="A6" s="34">
        <v>4</v>
      </c>
      <c r="B6" s="34">
        <v>23</v>
      </c>
      <c r="C6" s="34">
        <v>27</v>
      </c>
      <c r="D6" s="34">
        <v>10</v>
      </c>
      <c r="E6" s="34">
        <v>7</v>
      </c>
      <c r="F6" s="34">
        <v>0.49</v>
      </c>
      <c r="G6" s="34">
        <v>0.46</v>
      </c>
      <c r="H6" s="34">
        <v>0.76</v>
      </c>
      <c r="I6" s="34">
        <v>0.56999999999999995</v>
      </c>
    </row>
    <row r="7" spans="1:11" x14ac:dyDescent="0.2">
      <c r="A7" s="34">
        <v>5</v>
      </c>
      <c r="B7" s="34">
        <v>21</v>
      </c>
      <c r="C7" s="34">
        <v>22</v>
      </c>
      <c r="D7" s="34">
        <v>15</v>
      </c>
      <c r="E7" s="34">
        <v>9</v>
      </c>
      <c r="F7" s="34">
        <v>0.54</v>
      </c>
      <c r="G7" s="34">
        <v>0.48</v>
      </c>
      <c r="H7" s="34">
        <v>0.7</v>
      </c>
      <c r="I7" s="34">
        <v>0.56999999999999995</v>
      </c>
      <c r="K7" t="s">
        <v>213</v>
      </c>
    </row>
    <row r="8" spans="1:11" x14ac:dyDescent="0.2">
      <c r="A8" s="34">
        <v>6</v>
      </c>
      <c r="B8" s="34">
        <v>19</v>
      </c>
      <c r="C8" s="34">
        <v>19</v>
      </c>
      <c r="D8" s="34">
        <v>18</v>
      </c>
      <c r="E8" s="34">
        <v>11</v>
      </c>
      <c r="F8" s="34">
        <v>0.55000000000000004</v>
      </c>
      <c r="G8" s="34">
        <v>0.5</v>
      </c>
      <c r="H8" s="34">
        <v>0.63</v>
      </c>
      <c r="I8" s="34">
        <v>0.56000000000000005</v>
      </c>
    </row>
    <row r="9" spans="1:11" x14ac:dyDescent="0.2">
      <c r="A9" s="34">
        <v>7</v>
      </c>
      <c r="B9" s="34">
        <v>16</v>
      </c>
      <c r="C9" s="34">
        <v>11</v>
      </c>
      <c r="D9" s="34">
        <v>26</v>
      </c>
      <c r="E9" s="34">
        <v>14</v>
      </c>
      <c r="F9" s="34">
        <v>0.63</v>
      </c>
      <c r="G9" s="34">
        <v>0.59</v>
      </c>
      <c r="H9" s="34">
        <v>0.53</v>
      </c>
      <c r="I9" s="34">
        <v>0.56000000000000005</v>
      </c>
    </row>
    <row r="10" spans="1:11" x14ac:dyDescent="0.2">
      <c r="A10" s="34">
        <v>8</v>
      </c>
      <c r="B10" s="34">
        <v>9</v>
      </c>
      <c r="C10" s="34">
        <v>8</v>
      </c>
      <c r="D10" s="34">
        <v>29</v>
      </c>
      <c r="E10" s="34">
        <v>21</v>
      </c>
      <c r="F10" s="34">
        <v>0.56000000000000005</v>
      </c>
      <c r="G10" s="34">
        <v>0.53</v>
      </c>
      <c r="H10" s="34">
        <v>0.3</v>
      </c>
      <c r="I10" s="34">
        <v>0.38</v>
      </c>
    </row>
    <row r="11" spans="1:11" x14ac:dyDescent="0.2">
      <c r="A11" s="34">
        <v>9</v>
      </c>
      <c r="B11" s="34">
        <v>6</v>
      </c>
      <c r="C11" s="34">
        <v>6</v>
      </c>
      <c r="D11" s="34">
        <v>31</v>
      </c>
      <c r="E11" s="34">
        <v>24</v>
      </c>
      <c r="F11" s="34">
        <v>0.55000000000000004</v>
      </c>
      <c r="G11" s="34">
        <v>0.5</v>
      </c>
      <c r="H11" s="34">
        <v>0.2</v>
      </c>
      <c r="I11" s="34">
        <v>0.28999999999999998</v>
      </c>
    </row>
    <row r="12" spans="1:11" x14ac:dyDescent="0.2">
      <c r="A12" s="34">
        <v>10</v>
      </c>
      <c r="B12" s="34">
        <v>2</v>
      </c>
      <c r="C12" s="34">
        <v>1</v>
      </c>
      <c r="D12" s="34">
        <v>36</v>
      </c>
      <c r="E12" s="34">
        <v>28</v>
      </c>
      <c r="F12" s="34">
        <v>0.56999999999999995</v>
      </c>
      <c r="G12" s="34">
        <v>0.67</v>
      </c>
      <c r="H12" s="34">
        <v>6.7000000000000004E-2</v>
      </c>
      <c r="I12" s="34">
        <v>0.12</v>
      </c>
    </row>
    <row r="13" spans="1:11" x14ac:dyDescent="0.2">
      <c r="A13" s="34">
        <v>11</v>
      </c>
      <c r="B13" s="34">
        <v>1</v>
      </c>
      <c r="C13" s="34">
        <v>1</v>
      </c>
      <c r="D13" s="34">
        <v>36</v>
      </c>
      <c r="E13" s="34">
        <v>29</v>
      </c>
      <c r="F13" s="34">
        <v>0.55000000000000004</v>
      </c>
      <c r="G13" s="34">
        <v>0.5</v>
      </c>
      <c r="H13" s="34">
        <v>0.03</v>
      </c>
      <c r="I13" s="34">
        <v>6.5000000000000002E-2</v>
      </c>
    </row>
    <row r="14" spans="1:11" x14ac:dyDescent="0.2">
      <c r="A14" s="34">
        <v>12</v>
      </c>
      <c r="B14" s="34">
        <v>1</v>
      </c>
      <c r="C14" s="34">
        <v>1</v>
      </c>
      <c r="D14" s="34">
        <v>36</v>
      </c>
      <c r="E14" s="34">
        <v>29</v>
      </c>
      <c r="F14" s="34">
        <v>0.55000000000000004</v>
      </c>
      <c r="G14" s="34">
        <v>0.5</v>
      </c>
      <c r="H14" s="34">
        <v>0.03</v>
      </c>
      <c r="I14" s="34">
        <v>6.5000000000000002E-2</v>
      </c>
    </row>
    <row r="15" spans="1:11" x14ac:dyDescent="0.2">
      <c r="A15" s="34">
        <v>13</v>
      </c>
      <c r="B15" s="34">
        <v>0</v>
      </c>
      <c r="C15" s="34">
        <v>0</v>
      </c>
      <c r="D15" s="34">
        <v>37</v>
      </c>
      <c r="E15" s="34">
        <v>30</v>
      </c>
      <c r="F15" s="34">
        <v>0.55000000000000004</v>
      </c>
      <c r="G15" s="34"/>
      <c r="H15" s="34">
        <v>0</v>
      </c>
      <c r="I15" s="34"/>
    </row>
    <row r="18" spans="1:19" x14ac:dyDescent="0.2">
      <c r="S18" t="s">
        <v>171</v>
      </c>
    </row>
    <row r="19" spans="1:19" x14ac:dyDescent="0.2">
      <c r="B19" t="s">
        <v>170</v>
      </c>
      <c r="J19" t="s">
        <v>65</v>
      </c>
      <c r="R19">
        <v>0</v>
      </c>
      <c r="S19">
        <v>0.6</v>
      </c>
    </row>
    <row r="20" spans="1:19" x14ac:dyDescent="0.2">
      <c r="A20">
        <v>0</v>
      </c>
      <c r="B20">
        <v>0.45</v>
      </c>
      <c r="I20">
        <v>0</v>
      </c>
      <c r="J20">
        <v>1</v>
      </c>
      <c r="R20">
        <v>1</v>
      </c>
      <c r="S20">
        <v>0.62</v>
      </c>
    </row>
    <row r="21" spans="1:19" x14ac:dyDescent="0.2">
      <c r="A21">
        <v>1</v>
      </c>
      <c r="B21">
        <v>0.45</v>
      </c>
      <c r="I21">
        <v>1</v>
      </c>
      <c r="J21">
        <v>1</v>
      </c>
      <c r="R21">
        <v>2</v>
      </c>
      <c r="S21">
        <v>0.63</v>
      </c>
    </row>
    <row r="22" spans="1:19" x14ac:dyDescent="0.2">
      <c r="A22">
        <v>2</v>
      </c>
      <c r="B22">
        <v>0.46</v>
      </c>
      <c r="I22">
        <v>2</v>
      </c>
      <c r="J22">
        <v>1</v>
      </c>
      <c r="R22">
        <v>3</v>
      </c>
      <c r="S22">
        <v>0.62</v>
      </c>
    </row>
    <row r="23" spans="1:19" x14ac:dyDescent="0.2">
      <c r="A23">
        <v>3</v>
      </c>
      <c r="B23">
        <v>0.46</v>
      </c>
      <c r="I23">
        <v>3</v>
      </c>
      <c r="J23">
        <v>0.93</v>
      </c>
      <c r="R23">
        <v>4</v>
      </c>
      <c r="S23">
        <v>0.56999999999999995</v>
      </c>
    </row>
    <row r="24" spans="1:19" x14ac:dyDescent="0.2">
      <c r="A24">
        <v>4</v>
      </c>
      <c r="B24">
        <v>0.46</v>
      </c>
      <c r="I24">
        <v>4</v>
      </c>
      <c r="J24">
        <v>0.76</v>
      </c>
      <c r="R24">
        <v>5</v>
      </c>
      <c r="S24">
        <v>0.56999999999999995</v>
      </c>
    </row>
    <row r="25" spans="1:19" x14ac:dyDescent="0.2">
      <c r="A25">
        <v>5</v>
      </c>
      <c r="B25">
        <v>0.48</v>
      </c>
      <c r="I25">
        <v>5</v>
      </c>
      <c r="J25">
        <v>0.7</v>
      </c>
      <c r="R25">
        <v>6</v>
      </c>
      <c r="S25">
        <v>0.56000000000000005</v>
      </c>
    </row>
    <row r="26" spans="1:19" x14ac:dyDescent="0.2">
      <c r="A26">
        <v>6</v>
      </c>
      <c r="B26">
        <v>0.5</v>
      </c>
      <c r="I26">
        <v>6</v>
      </c>
      <c r="J26">
        <v>0.63</v>
      </c>
      <c r="R26">
        <v>7</v>
      </c>
      <c r="S26">
        <v>0.56000000000000005</v>
      </c>
    </row>
    <row r="27" spans="1:19" x14ac:dyDescent="0.2">
      <c r="A27">
        <v>7</v>
      </c>
      <c r="B27">
        <v>0.59</v>
      </c>
      <c r="I27">
        <v>7</v>
      </c>
      <c r="J27">
        <v>0.53</v>
      </c>
      <c r="R27">
        <v>8</v>
      </c>
      <c r="S27">
        <v>0.38</v>
      </c>
    </row>
    <row r="28" spans="1:19" x14ac:dyDescent="0.2">
      <c r="A28">
        <v>8</v>
      </c>
      <c r="B28">
        <v>0.53</v>
      </c>
      <c r="I28">
        <v>8</v>
      </c>
      <c r="J28">
        <v>0.3</v>
      </c>
      <c r="R28">
        <v>9</v>
      </c>
      <c r="S28">
        <v>0.28999999999999998</v>
      </c>
    </row>
    <row r="29" spans="1:19" x14ac:dyDescent="0.2">
      <c r="A29">
        <v>9</v>
      </c>
      <c r="B29">
        <v>0.5</v>
      </c>
      <c r="I29">
        <v>9</v>
      </c>
      <c r="J29">
        <v>0.2</v>
      </c>
      <c r="R29">
        <v>10</v>
      </c>
      <c r="S29">
        <v>0.12</v>
      </c>
    </row>
    <row r="30" spans="1:19" x14ac:dyDescent="0.2">
      <c r="A30">
        <v>10</v>
      </c>
      <c r="B30">
        <v>0.67</v>
      </c>
      <c r="I30">
        <v>10</v>
      </c>
      <c r="J30">
        <v>6.7000000000000004E-2</v>
      </c>
      <c r="R30">
        <v>11</v>
      </c>
      <c r="S30">
        <v>6.5000000000000002E-2</v>
      </c>
    </row>
    <row r="31" spans="1:19" x14ac:dyDescent="0.2">
      <c r="A31">
        <v>11</v>
      </c>
      <c r="B31">
        <v>0.5</v>
      </c>
      <c r="I31">
        <v>11</v>
      </c>
      <c r="J31">
        <v>0.03</v>
      </c>
      <c r="R31">
        <v>12</v>
      </c>
      <c r="S31">
        <v>6.5000000000000002E-2</v>
      </c>
    </row>
    <row r="32" spans="1:19" x14ac:dyDescent="0.2">
      <c r="A32">
        <v>12</v>
      </c>
      <c r="B32">
        <v>0.5</v>
      </c>
      <c r="I32">
        <v>12</v>
      </c>
      <c r="J32">
        <v>0.03</v>
      </c>
      <c r="R32">
        <v>13</v>
      </c>
    </row>
    <row r="33" spans="1:10" x14ac:dyDescent="0.2">
      <c r="A33">
        <v>13</v>
      </c>
      <c r="I33">
        <v>13</v>
      </c>
      <c r="J33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A8DB9-CFFB-3B40-A61E-DB9767F349FF}">
  <dimension ref="A1:J14"/>
  <sheetViews>
    <sheetView workbookViewId="0">
      <selection sqref="A1:B133"/>
    </sheetView>
  </sheetViews>
  <sheetFormatPr baseColWidth="10" defaultRowHeight="15" x14ac:dyDescent="0.2"/>
  <cols>
    <col min="6" max="6" width="15" customWidth="1"/>
  </cols>
  <sheetData>
    <row r="1" spans="1:10" x14ac:dyDescent="0.2">
      <c r="A1" s="32" t="s">
        <v>156</v>
      </c>
      <c r="B1" s="32" t="s">
        <v>191</v>
      </c>
      <c r="C1" s="32" t="s">
        <v>192</v>
      </c>
      <c r="D1" s="32" t="s">
        <v>193</v>
      </c>
      <c r="E1" s="32" t="s">
        <v>194</v>
      </c>
      <c r="F1" s="32" t="s">
        <v>195</v>
      </c>
      <c r="G1" s="32" t="s">
        <v>196</v>
      </c>
      <c r="H1" s="32" t="s">
        <v>197</v>
      </c>
      <c r="I1" s="32" t="s">
        <v>198</v>
      </c>
      <c r="J1" s="32" t="s">
        <v>199</v>
      </c>
    </row>
    <row r="2" spans="1:10" x14ac:dyDescent="0.2">
      <c r="A2" s="36" cm="1">
        <f t="array" ref="A2:A14">_xlfn._xlws.SORT(_xlfn.UNIQUE(_xlfn._xlws.FILTER('3. Predictive'!AB2:AB251, '3. Predictive'!M2:M251="Train")))</f>
        <v>1</v>
      </c>
      <c r="B2" s="34">
        <f>COUNTIFS('3. Predictive'!M2:M251,"Train", '3. Predictive'!AB2:AB251,'3.3 Calibration'!A2)</f>
        <v>6</v>
      </c>
      <c r="C2" s="34">
        <f>SUMIFS('3. Predictive'!L2:L251, '3. Predictive'!M2:M251,"Train", '3. Predictive'!AB2:AB251,'3.3 Calibration'!A2)</f>
        <v>1</v>
      </c>
      <c r="D2" s="34">
        <f>AVERAGEIFS('3. Predictive'!L2:L251, '3. Predictive'!M2:M251,"Train")</f>
        <v>0.48087431693989069</v>
      </c>
      <c r="E2" s="34">
        <f xml:space="preserve"> IF(B2=0, $D$2, C2/B2)</f>
        <v>0.16666666666666666</v>
      </c>
      <c r="F2" s="34">
        <f xml:space="preserve"> (C2 + 1) / (B2+ 2)</f>
        <v>0.25</v>
      </c>
      <c r="G2" s="34" t="str">
        <f>IF(A2&lt;=2,"0-2", IF(A2&lt;=4,"3-4", IF(A2&lt;=6,"5-6", "&gt;=7")))</f>
        <v>0-2</v>
      </c>
      <c r="H2" s="34">
        <f>SUM(B2:B14)</f>
        <v>179</v>
      </c>
      <c r="I2" s="34">
        <f>SUM(C2:C14)</f>
        <v>84</v>
      </c>
      <c r="J2" s="34">
        <f>H2/I2</f>
        <v>2.1309523809523809</v>
      </c>
    </row>
    <row r="3" spans="1:10" x14ac:dyDescent="0.2">
      <c r="A3" s="36">
        <v>2</v>
      </c>
      <c r="B3" s="34">
        <f>COUNTIFS('3. Predictive'!M3:M252,"Train", '3. Predictive'!AB3:AB252,'3.3 Calibration'!A3)</f>
        <v>8</v>
      </c>
      <c r="C3" s="34">
        <f>SUMIFS('3. Predictive'!L3:L252, '3. Predictive'!M3:M252,"Train", '3. Predictive'!AB3:AB252,'3.3 Calibration'!A3)</f>
        <v>5</v>
      </c>
      <c r="D3" s="34"/>
      <c r="E3" s="34"/>
      <c r="F3" s="34">
        <f t="shared" ref="F3:F14" si="0" xml:space="preserve"> (C3 + 1) / (B3+ 2)</f>
        <v>0.6</v>
      </c>
      <c r="G3" s="34" t="str">
        <f t="shared" ref="G3:G14" si="1">IF(A3&lt;=2,"0-2", IF(A3&lt;=4,"3-4", IF(A3&lt;=6,"5-6", "&gt;=7")))</f>
        <v>0-2</v>
      </c>
      <c r="H3" s="34"/>
      <c r="I3" s="34"/>
      <c r="J3" s="34"/>
    </row>
    <row r="4" spans="1:10" x14ac:dyDescent="0.2">
      <c r="A4" s="36">
        <v>3</v>
      </c>
      <c r="B4" s="34">
        <f>COUNTIFS('3. Predictive'!M4:M253,"Train", '3. Predictive'!AB4:AB253,'3.3 Calibration'!A4)</f>
        <v>17</v>
      </c>
      <c r="C4" s="34">
        <f>SUMIFS('3. Predictive'!L4:L253, '3. Predictive'!M4:M253,"Train", '3. Predictive'!AB4:AB253,'3.3 Calibration'!A4)</f>
        <v>7</v>
      </c>
      <c r="D4" s="34"/>
      <c r="E4" s="34"/>
      <c r="F4" s="34">
        <f t="shared" si="0"/>
        <v>0.42105263157894735</v>
      </c>
      <c r="G4" s="34" t="str">
        <f t="shared" si="1"/>
        <v>3-4</v>
      </c>
      <c r="H4" s="34"/>
      <c r="I4" s="34"/>
      <c r="J4" s="34"/>
    </row>
    <row r="5" spans="1:10" x14ac:dyDescent="0.2">
      <c r="A5" s="36">
        <v>4</v>
      </c>
      <c r="B5" s="34">
        <f>COUNTIFS('3. Predictive'!M5:M254,"Train", '3. Predictive'!AB5:AB254,'3.3 Calibration'!A5)</f>
        <v>25</v>
      </c>
      <c r="C5" s="34">
        <f>SUMIFS('3. Predictive'!L5:L254, '3. Predictive'!M5:M254,"Train", '3. Predictive'!AB5:AB254,'3.3 Calibration'!A5)</f>
        <v>10</v>
      </c>
      <c r="D5" s="34"/>
      <c r="E5" s="34"/>
      <c r="F5" s="34">
        <f t="shared" si="0"/>
        <v>0.40740740740740738</v>
      </c>
      <c r="G5" s="34" t="str">
        <f t="shared" si="1"/>
        <v>3-4</v>
      </c>
      <c r="H5" s="34"/>
      <c r="I5" s="34"/>
      <c r="J5" s="34"/>
    </row>
    <row r="6" spans="1:10" x14ac:dyDescent="0.2">
      <c r="A6" s="36">
        <v>5</v>
      </c>
      <c r="B6" s="34">
        <f>COUNTIFS('3. Predictive'!M6:M255,"Train", '3. Predictive'!AB6:AB255,'3.3 Calibration'!A6)</f>
        <v>28</v>
      </c>
      <c r="C6" s="34">
        <f>SUMIFS('3. Predictive'!L6:L255, '3. Predictive'!M6:M255,"Train", '3. Predictive'!AB6:AB255,'3.3 Calibration'!A6)</f>
        <v>9</v>
      </c>
      <c r="D6" s="34"/>
      <c r="E6" s="34"/>
      <c r="F6" s="34">
        <f t="shared" si="0"/>
        <v>0.33333333333333331</v>
      </c>
      <c r="G6" s="34" t="str">
        <f t="shared" si="1"/>
        <v>5-6</v>
      </c>
      <c r="H6" s="34"/>
      <c r="I6" s="34"/>
      <c r="J6" s="34"/>
    </row>
    <row r="7" spans="1:10" x14ac:dyDescent="0.2">
      <c r="A7" s="36">
        <v>6</v>
      </c>
      <c r="B7" s="34">
        <f>COUNTIFS('3. Predictive'!M7:M256,"Train", '3. Predictive'!AB7:AB256,'3.3 Calibration'!A7)</f>
        <v>22</v>
      </c>
      <c r="C7" s="34">
        <f>SUMIFS('3. Predictive'!L7:L256, '3. Predictive'!M7:M256,"Train", '3. Predictive'!AB7:AB256,'3.3 Calibration'!A7)</f>
        <v>7</v>
      </c>
      <c r="D7" s="34"/>
      <c r="E7" s="34"/>
      <c r="F7" s="34">
        <f t="shared" si="0"/>
        <v>0.33333333333333331</v>
      </c>
      <c r="G7" s="34" t="str">
        <f t="shared" si="1"/>
        <v>5-6</v>
      </c>
      <c r="H7" s="34"/>
      <c r="I7" s="34"/>
      <c r="J7" s="34"/>
    </row>
    <row r="8" spans="1:10" x14ac:dyDescent="0.2">
      <c r="A8" s="36">
        <v>7</v>
      </c>
      <c r="B8" s="34">
        <f>COUNTIFS('3. Predictive'!M8:M257,"Train", '3. Predictive'!AB8:AB257,'3.3 Calibration'!A8)</f>
        <v>22</v>
      </c>
      <c r="C8" s="34">
        <f>SUMIFS('3. Predictive'!L8:L257, '3. Predictive'!M8:M257,"Train", '3. Predictive'!AB8:AB257,'3.3 Calibration'!A8)</f>
        <v>12</v>
      </c>
      <c r="D8" s="34"/>
      <c r="E8" s="34"/>
      <c r="F8" s="34">
        <f t="shared" si="0"/>
        <v>0.54166666666666663</v>
      </c>
      <c r="G8" s="34" t="str">
        <f t="shared" si="1"/>
        <v>&gt;=7</v>
      </c>
      <c r="H8" s="34"/>
      <c r="I8" s="34"/>
      <c r="J8" s="34"/>
    </row>
    <row r="9" spans="1:10" x14ac:dyDescent="0.2">
      <c r="A9" s="36">
        <v>8</v>
      </c>
      <c r="B9" s="34">
        <f>COUNTIFS('3. Predictive'!M9:M258,"Train", '3. Predictive'!AB9:AB258,'3.3 Calibration'!A9)</f>
        <v>17</v>
      </c>
      <c r="C9" s="34">
        <f>SUMIFS('3. Predictive'!L9:L258, '3. Predictive'!M9:M258,"Train", '3. Predictive'!AB9:AB258,'3.3 Calibration'!A9)</f>
        <v>13</v>
      </c>
      <c r="D9" s="34"/>
      <c r="E9" s="34"/>
      <c r="F9" s="34">
        <f t="shared" si="0"/>
        <v>0.73684210526315785</v>
      </c>
      <c r="G9" s="34" t="str">
        <f t="shared" si="1"/>
        <v>&gt;=7</v>
      </c>
      <c r="H9" s="34"/>
      <c r="I9" s="34"/>
      <c r="J9" s="34"/>
    </row>
    <row r="10" spans="1:10" x14ac:dyDescent="0.2">
      <c r="A10" s="36">
        <v>9</v>
      </c>
      <c r="B10" s="34">
        <f>COUNTIFS('3. Predictive'!M10:M259,"Train", '3. Predictive'!AB10:AB259,'3.3 Calibration'!A10)</f>
        <v>20</v>
      </c>
      <c r="C10" s="34">
        <f>SUMIFS('3. Predictive'!L10:L259, '3. Predictive'!M10:M259,"Train", '3. Predictive'!AB10:AB259,'3.3 Calibration'!A10)</f>
        <v>11</v>
      </c>
      <c r="D10" s="34"/>
      <c r="E10" s="34"/>
      <c r="F10" s="34">
        <f t="shared" si="0"/>
        <v>0.54545454545454541</v>
      </c>
      <c r="G10" s="34" t="str">
        <f t="shared" si="1"/>
        <v>&gt;=7</v>
      </c>
      <c r="H10" s="34"/>
      <c r="I10" s="34"/>
      <c r="J10" s="34"/>
    </row>
    <row r="11" spans="1:10" x14ac:dyDescent="0.2">
      <c r="A11" s="36">
        <v>10</v>
      </c>
      <c r="B11" s="34">
        <f>COUNTIFS('3. Predictive'!M11:M260,"Train", '3. Predictive'!AB11:AB260,'3.3 Calibration'!A11)</f>
        <v>6</v>
      </c>
      <c r="C11" s="34">
        <f>SUMIFS('3. Predictive'!L11:L260, '3. Predictive'!M11:M260,"Train", '3. Predictive'!AB11:AB260,'3.3 Calibration'!A11)</f>
        <v>3</v>
      </c>
      <c r="D11" s="34"/>
      <c r="E11" s="34"/>
      <c r="F11" s="34">
        <f t="shared" si="0"/>
        <v>0.5</v>
      </c>
      <c r="G11" s="34" t="str">
        <f t="shared" si="1"/>
        <v>&gt;=7</v>
      </c>
      <c r="H11" s="34"/>
      <c r="I11" s="34"/>
      <c r="J11" s="34"/>
    </row>
    <row r="12" spans="1:10" x14ac:dyDescent="0.2">
      <c r="A12" s="36">
        <v>11</v>
      </c>
      <c r="B12" s="34">
        <f>COUNTIFS('3. Predictive'!M12:M261,"Train", '3. Predictive'!AB12:AB261,'3.3 Calibration'!A12)</f>
        <v>3</v>
      </c>
      <c r="C12" s="34">
        <f>SUMIFS('3. Predictive'!L12:L261, '3. Predictive'!M12:M261,"Train", '3. Predictive'!AB12:AB261,'3.3 Calibration'!A12)</f>
        <v>2</v>
      </c>
      <c r="D12" s="34"/>
      <c r="E12" s="34"/>
      <c r="F12" s="34">
        <f t="shared" si="0"/>
        <v>0.6</v>
      </c>
      <c r="G12" s="34" t="str">
        <f t="shared" si="1"/>
        <v>&gt;=7</v>
      </c>
      <c r="H12" s="34"/>
      <c r="I12" s="34"/>
      <c r="J12" s="34"/>
    </row>
    <row r="13" spans="1:10" x14ac:dyDescent="0.2">
      <c r="A13" s="36">
        <v>12</v>
      </c>
      <c r="B13" s="34">
        <f>COUNTIFS('3. Predictive'!M13:M262,"Train", '3. Predictive'!AB13:AB262,'3.3 Calibration'!A13)</f>
        <v>3</v>
      </c>
      <c r="C13" s="34">
        <f>SUMIFS('3. Predictive'!L13:L262, '3. Predictive'!M13:M262,"Train", '3. Predictive'!AB13:AB262,'3.3 Calibration'!A13)</f>
        <v>3</v>
      </c>
      <c r="D13" s="34"/>
      <c r="E13" s="34"/>
      <c r="F13" s="34">
        <f t="shared" si="0"/>
        <v>0.8</v>
      </c>
      <c r="G13" s="34" t="str">
        <f t="shared" si="1"/>
        <v>&gt;=7</v>
      </c>
      <c r="H13" s="34"/>
      <c r="I13" s="34"/>
      <c r="J13" s="34"/>
    </row>
    <row r="14" spans="1:10" x14ac:dyDescent="0.2">
      <c r="A14" s="36">
        <v>13</v>
      </c>
      <c r="B14" s="34">
        <f>COUNTIFS('3. Predictive'!M14:M263,"Train", '3. Predictive'!AB14:AB263,'3.3 Calibration'!A14)</f>
        <v>2</v>
      </c>
      <c r="C14" s="34">
        <f>SUMIFS('3. Predictive'!L14:L263, '3. Predictive'!M14:M263,"Train", '3. Predictive'!AB14:AB263,'3.3 Calibration'!A14)</f>
        <v>1</v>
      </c>
      <c r="D14" s="34"/>
      <c r="E14" s="34"/>
      <c r="F14" s="34">
        <f t="shared" si="0"/>
        <v>0.5</v>
      </c>
      <c r="G14" s="34" t="str">
        <f t="shared" si="1"/>
        <v>&gt;=7</v>
      </c>
      <c r="H14" s="34"/>
      <c r="I14" s="34"/>
      <c r="J14" s="3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2C249-3E39-9B43-9070-57C9211BEF11}">
  <dimension ref="A1:G251"/>
  <sheetViews>
    <sheetView workbookViewId="0">
      <selection sqref="A1:B133"/>
    </sheetView>
  </sheetViews>
  <sheetFormatPr baseColWidth="10" defaultRowHeight="15" x14ac:dyDescent="0.2"/>
  <cols>
    <col min="2" max="2" width="18" customWidth="1"/>
  </cols>
  <sheetData>
    <row r="1" spans="1:7" x14ac:dyDescent="0.2">
      <c r="A1" t="s">
        <v>7</v>
      </c>
      <c r="B1" t="s">
        <v>11</v>
      </c>
      <c r="C1" t="s">
        <v>13</v>
      </c>
      <c r="D1" t="s">
        <v>26</v>
      </c>
      <c r="E1" t="s">
        <v>28</v>
      </c>
      <c r="F1" t="s">
        <v>27</v>
      </c>
      <c r="G1" t="s">
        <v>13</v>
      </c>
    </row>
    <row r="2" spans="1:7" x14ac:dyDescent="0.2">
      <c r="A2">
        <v>58</v>
      </c>
      <c r="B2">
        <v>6</v>
      </c>
      <c r="C2">
        <v>1</v>
      </c>
      <c r="D2" t="e">
        <f xml:space="preserve"> IF($C2=0, $A2, NA())</f>
        <v>#N/A</v>
      </c>
      <c r="E2" t="e">
        <f xml:space="preserve"> IF($C2=0, B2, NA())</f>
        <v>#N/A</v>
      </c>
      <c r="F2">
        <f xml:space="preserve"> IF($C2=1, A2, NA())</f>
        <v>58</v>
      </c>
      <c r="G2">
        <f xml:space="preserve"> IF($C2=1, $B2, NA())</f>
        <v>6</v>
      </c>
    </row>
    <row r="3" spans="1:7" x14ac:dyDescent="0.2">
      <c r="A3">
        <v>63</v>
      </c>
      <c r="B3">
        <v>1</v>
      </c>
      <c r="C3">
        <v>1</v>
      </c>
      <c r="D3" t="e">
        <f t="shared" ref="D3:D66" si="0" xml:space="preserve"> IF($C3=0, $A3, NA())</f>
        <v>#N/A</v>
      </c>
      <c r="E3" t="e">
        <f t="shared" ref="E3:E66" si="1" xml:space="preserve"> IF($C3=0, B3, NA())</f>
        <v>#N/A</v>
      </c>
      <c r="F3">
        <f t="shared" ref="F3:F66" si="2" xml:space="preserve"> IF($C3=1, A3, NA())</f>
        <v>63</v>
      </c>
      <c r="G3">
        <f t="shared" ref="G3:G66" si="3" xml:space="preserve"> IF($C3=1, $B3, NA())</f>
        <v>1</v>
      </c>
    </row>
    <row r="4" spans="1:7" x14ac:dyDescent="0.2">
      <c r="A4">
        <v>62</v>
      </c>
      <c r="B4">
        <v>5</v>
      </c>
      <c r="C4">
        <v>0</v>
      </c>
      <c r="D4">
        <f t="shared" si="0"/>
        <v>62</v>
      </c>
      <c r="E4">
        <f t="shared" si="1"/>
        <v>5</v>
      </c>
      <c r="F4" t="e">
        <f t="shared" si="2"/>
        <v>#N/A</v>
      </c>
      <c r="G4" t="e">
        <f t="shared" si="3"/>
        <v>#N/A</v>
      </c>
    </row>
    <row r="5" spans="1:7" x14ac:dyDescent="0.2">
      <c r="A5">
        <v>22</v>
      </c>
      <c r="B5">
        <v>3</v>
      </c>
      <c r="C5">
        <v>1</v>
      </c>
      <c r="D5" t="e">
        <f t="shared" si="0"/>
        <v>#N/A</v>
      </c>
      <c r="E5" t="e">
        <f t="shared" si="1"/>
        <v>#N/A</v>
      </c>
      <c r="F5">
        <f t="shared" si="2"/>
        <v>22</v>
      </c>
      <c r="G5">
        <f t="shared" si="3"/>
        <v>3</v>
      </c>
    </row>
    <row r="6" spans="1:7" x14ac:dyDescent="0.2">
      <c r="A6">
        <v>58</v>
      </c>
      <c r="B6">
        <v>1</v>
      </c>
      <c r="C6">
        <v>1</v>
      </c>
      <c r="D6" t="e">
        <f t="shared" si="0"/>
        <v>#N/A</v>
      </c>
      <c r="E6" t="e">
        <f t="shared" si="1"/>
        <v>#N/A</v>
      </c>
      <c r="F6">
        <f t="shared" si="2"/>
        <v>58</v>
      </c>
      <c r="G6">
        <f t="shared" si="3"/>
        <v>1</v>
      </c>
    </row>
    <row r="7" spans="1:7" x14ac:dyDescent="0.2">
      <c r="A7">
        <v>58</v>
      </c>
      <c r="B7">
        <v>4</v>
      </c>
      <c r="C7">
        <v>1</v>
      </c>
      <c r="D7" t="e">
        <f t="shared" si="0"/>
        <v>#N/A</v>
      </c>
      <c r="E7" t="e">
        <f t="shared" si="1"/>
        <v>#N/A</v>
      </c>
      <c r="F7">
        <f t="shared" si="2"/>
        <v>58</v>
      </c>
      <c r="G7">
        <f t="shared" si="3"/>
        <v>4</v>
      </c>
    </row>
    <row r="8" spans="1:7" x14ac:dyDescent="0.2">
      <c r="A8">
        <v>49</v>
      </c>
      <c r="B8">
        <v>2</v>
      </c>
      <c r="C8">
        <v>1</v>
      </c>
      <c r="D8" t="e">
        <f t="shared" si="0"/>
        <v>#N/A</v>
      </c>
      <c r="E8" t="e">
        <f t="shared" si="1"/>
        <v>#N/A</v>
      </c>
      <c r="F8">
        <f t="shared" si="2"/>
        <v>49</v>
      </c>
      <c r="G8">
        <f t="shared" si="3"/>
        <v>2</v>
      </c>
    </row>
    <row r="9" spans="1:7" x14ac:dyDescent="0.2">
      <c r="A9">
        <v>52</v>
      </c>
      <c r="B9">
        <v>2</v>
      </c>
      <c r="C9">
        <v>0</v>
      </c>
      <c r="D9">
        <f t="shared" si="0"/>
        <v>52</v>
      </c>
      <c r="E9">
        <f t="shared" si="1"/>
        <v>2</v>
      </c>
      <c r="F9" t="e">
        <f t="shared" si="2"/>
        <v>#N/A</v>
      </c>
      <c r="G9" t="e">
        <f t="shared" si="3"/>
        <v>#N/A</v>
      </c>
    </row>
    <row r="10" spans="1:7" x14ac:dyDescent="0.2">
      <c r="A10">
        <v>42</v>
      </c>
      <c r="B10">
        <v>3</v>
      </c>
      <c r="C10">
        <v>1</v>
      </c>
      <c r="D10" t="e">
        <f t="shared" si="0"/>
        <v>#N/A</v>
      </c>
      <c r="E10" t="e">
        <f t="shared" si="1"/>
        <v>#N/A</v>
      </c>
      <c r="F10">
        <f t="shared" si="2"/>
        <v>42</v>
      </c>
      <c r="G10">
        <f t="shared" si="3"/>
        <v>3</v>
      </c>
    </row>
    <row r="11" spans="1:7" x14ac:dyDescent="0.2">
      <c r="A11">
        <v>70</v>
      </c>
      <c r="B11">
        <v>8</v>
      </c>
      <c r="C11">
        <v>0</v>
      </c>
      <c r="D11">
        <f t="shared" si="0"/>
        <v>70</v>
      </c>
      <c r="E11">
        <f t="shared" si="1"/>
        <v>8</v>
      </c>
      <c r="F11" t="e">
        <f t="shared" si="2"/>
        <v>#N/A</v>
      </c>
      <c r="G11" t="e">
        <f t="shared" si="3"/>
        <v>#N/A</v>
      </c>
    </row>
    <row r="12" spans="1:7" x14ac:dyDescent="0.2">
      <c r="A12">
        <v>15</v>
      </c>
      <c r="B12">
        <v>8</v>
      </c>
      <c r="C12">
        <v>0</v>
      </c>
      <c r="D12">
        <f t="shared" si="0"/>
        <v>15</v>
      </c>
      <c r="E12">
        <f t="shared" si="1"/>
        <v>8</v>
      </c>
      <c r="F12" t="e">
        <f t="shared" si="2"/>
        <v>#N/A</v>
      </c>
      <c r="G12" t="e">
        <f t="shared" si="3"/>
        <v>#N/A</v>
      </c>
    </row>
    <row r="13" spans="1:7" x14ac:dyDescent="0.2">
      <c r="A13">
        <v>54</v>
      </c>
      <c r="B13">
        <v>7</v>
      </c>
      <c r="C13">
        <v>0</v>
      </c>
      <c r="D13">
        <f t="shared" si="0"/>
        <v>54</v>
      </c>
      <c r="E13">
        <f t="shared" si="1"/>
        <v>7</v>
      </c>
      <c r="F13" t="e">
        <f t="shared" si="2"/>
        <v>#N/A</v>
      </c>
      <c r="G13" t="e">
        <f t="shared" si="3"/>
        <v>#N/A</v>
      </c>
    </row>
    <row r="14" spans="1:7" x14ac:dyDescent="0.2">
      <c r="A14">
        <v>60</v>
      </c>
      <c r="B14">
        <v>6</v>
      </c>
      <c r="C14">
        <v>0</v>
      </c>
      <c r="D14">
        <f t="shared" si="0"/>
        <v>60</v>
      </c>
      <c r="E14">
        <f t="shared" si="1"/>
        <v>6</v>
      </c>
      <c r="F14" t="e">
        <f t="shared" si="2"/>
        <v>#N/A</v>
      </c>
      <c r="G14" t="e">
        <f t="shared" si="3"/>
        <v>#N/A</v>
      </c>
    </row>
    <row r="15" spans="1:7" x14ac:dyDescent="0.2">
      <c r="A15">
        <v>8</v>
      </c>
      <c r="B15">
        <v>9</v>
      </c>
      <c r="C15">
        <v>1</v>
      </c>
      <c r="D15" t="e">
        <f t="shared" si="0"/>
        <v>#N/A</v>
      </c>
      <c r="E15" t="e">
        <f t="shared" si="1"/>
        <v>#N/A</v>
      </c>
      <c r="F15">
        <f t="shared" si="2"/>
        <v>8</v>
      </c>
      <c r="G15">
        <f t="shared" si="3"/>
        <v>9</v>
      </c>
    </row>
    <row r="16" spans="1:7" x14ac:dyDescent="0.2">
      <c r="A16">
        <v>53</v>
      </c>
      <c r="B16">
        <v>4</v>
      </c>
      <c r="C16">
        <v>0</v>
      </c>
      <c r="D16">
        <f t="shared" si="0"/>
        <v>53</v>
      </c>
      <c r="E16">
        <f t="shared" si="1"/>
        <v>4</v>
      </c>
      <c r="F16" t="e">
        <f t="shared" si="2"/>
        <v>#N/A</v>
      </c>
      <c r="G16" t="e">
        <f t="shared" si="3"/>
        <v>#N/A</v>
      </c>
    </row>
    <row r="17" spans="1:7" x14ac:dyDescent="0.2">
      <c r="A17">
        <v>60</v>
      </c>
      <c r="B17">
        <v>1</v>
      </c>
      <c r="C17">
        <v>1</v>
      </c>
      <c r="D17" t="e">
        <f t="shared" si="0"/>
        <v>#N/A</v>
      </c>
      <c r="E17" t="e">
        <f t="shared" si="1"/>
        <v>#N/A</v>
      </c>
      <c r="F17">
        <f t="shared" si="2"/>
        <v>60</v>
      </c>
      <c r="G17">
        <f t="shared" si="3"/>
        <v>1</v>
      </c>
    </row>
    <row r="18" spans="1:7" x14ac:dyDescent="0.2">
      <c r="A18">
        <v>5</v>
      </c>
      <c r="B18">
        <v>8</v>
      </c>
      <c r="C18">
        <v>0</v>
      </c>
      <c r="D18">
        <f t="shared" si="0"/>
        <v>5</v>
      </c>
      <c r="E18">
        <f t="shared" si="1"/>
        <v>8</v>
      </c>
      <c r="F18" t="e">
        <f t="shared" si="2"/>
        <v>#N/A</v>
      </c>
      <c r="G18" t="e">
        <f t="shared" si="3"/>
        <v>#N/A</v>
      </c>
    </row>
    <row r="19" spans="1:7" x14ac:dyDescent="0.2">
      <c r="A19">
        <v>68</v>
      </c>
      <c r="B19">
        <v>7</v>
      </c>
      <c r="C19">
        <v>0</v>
      </c>
      <c r="D19">
        <f t="shared" si="0"/>
        <v>68</v>
      </c>
      <c r="E19">
        <f t="shared" si="1"/>
        <v>7</v>
      </c>
      <c r="F19" t="e">
        <f t="shared" si="2"/>
        <v>#N/A</v>
      </c>
      <c r="G19" t="e">
        <f t="shared" si="3"/>
        <v>#N/A</v>
      </c>
    </row>
    <row r="20" spans="1:7" x14ac:dyDescent="0.2">
      <c r="A20">
        <v>6</v>
      </c>
      <c r="B20">
        <v>7</v>
      </c>
      <c r="C20">
        <v>1</v>
      </c>
      <c r="D20" t="e">
        <f t="shared" si="0"/>
        <v>#N/A</v>
      </c>
      <c r="E20" t="e">
        <f t="shared" si="1"/>
        <v>#N/A</v>
      </c>
      <c r="F20">
        <f t="shared" si="2"/>
        <v>6</v>
      </c>
      <c r="G20">
        <f t="shared" si="3"/>
        <v>7</v>
      </c>
    </row>
    <row r="21" spans="1:7" x14ac:dyDescent="0.2">
      <c r="A21">
        <v>47</v>
      </c>
      <c r="B21">
        <v>3</v>
      </c>
      <c r="C21">
        <v>1</v>
      </c>
      <c r="D21" t="e">
        <f t="shared" si="0"/>
        <v>#N/A</v>
      </c>
      <c r="E21" t="e">
        <f t="shared" si="1"/>
        <v>#N/A</v>
      </c>
      <c r="F21">
        <f t="shared" si="2"/>
        <v>47</v>
      </c>
      <c r="G21">
        <f t="shared" si="3"/>
        <v>3</v>
      </c>
    </row>
    <row r="22" spans="1:7" x14ac:dyDescent="0.2">
      <c r="A22">
        <v>55</v>
      </c>
      <c r="B22">
        <v>4</v>
      </c>
      <c r="C22">
        <v>0</v>
      </c>
      <c r="D22">
        <f t="shared" si="0"/>
        <v>55</v>
      </c>
      <c r="E22">
        <f t="shared" si="1"/>
        <v>4</v>
      </c>
      <c r="F22" t="e">
        <f t="shared" si="2"/>
        <v>#N/A</v>
      </c>
      <c r="G22" t="e">
        <f t="shared" si="3"/>
        <v>#N/A</v>
      </c>
    </row>
    <row r="23" spans="1:7" x14ac:dyDescent="0.2">
      <c r="A23">
        <v>40</v>
      </c>
      <c r="B23">
        <v>10</v>
      </c>
      <c r="C23">
        <v>1</v>
      </c>
      <c r="D23" t="e">
        <f t="shared" si="0"/>
        <v>#N/A</v>
      </c>
      <c r="E23" t="e">
        <f t="shared" si="1"/>
        <v>#N/A</v>
      </c>
      <c r="F23">
        <f t="shared" si="2"/>
        <v>40</v>
      </c>
      <c r="G23">
        <f t="shared" si="3"/>
        <v>10</v>
      </c>
    </row>
    <row r="24" spans="1:7" x14ac:dyDescent="0.2">
      <c r="A24">
        <v>52</v>
      </c>
      <c r="B24">
        <v>9</v>
      </c>
      <c r="C24">
        <v>1</v>
      </c>
      <c r="D24" t="e">
        <f t="shared" si="0"/>
        <v>#N/A</v>
      </c>
      <c r="E24" t="e">
        <f t="shared" si="1"/>
        <v>#N/A</v>
      </c>
      <c r="F24">
        <f t="shared" si="2"/>
        <v>52</v>
      </c>
      <c r="G24">
        <f t="shared" si="3"/>
        <v>9</v>
      </c>
    </row>
    <row r="25" spans="1:7" x14ac:dyDescent="0.2">
      <c r="A25">
        <v>16</v>
      </c>
      <c r="B25">
        <v>6</v>
      </c>
      <c r="C25">
        <v>0</v>
      </c>
      <c r="D25">
        <f t="shared" si="0"/>
        <v>16</v>
      </c>
      <c r="E25">
        <f t="shared" si="1"/>
        <v>6</v>
      </c>
      <c r="F25" t="e">
        <f t="shared" si="2"/>
        <v>#N/A</v>
      </c>
      <c r="G25" t="e">
        <f t="shared" si="3"/>
        <v>#N/A</v>
      </c>
    </row>
    <row r="26" spans="1:7" x14ac:dyDescent="0.2">
      <c r="A26">
        <v>13</v>
      </c>
      <c r="B26">
        <v>5</v>
      </c>
      <c r="C26">
        <v>0</v>
      </c>
      <c r="D26">
        <f t="shared" si="0"/>
        <v>13</v>
      </c>
      <c r="E26">
        <f t="shared" si="1"/>
        <v>5</v>
      </c>
      <c r="F26" t="e">
        <f t="shared" si="2"/>
        <v>#N/A</v>
      </c>
      <c r="G26" t="e">
        <f t="shared" si="3"/>
        <v>#N/A</v>
      </c>
    </row>
    <row r="27" spans="1:7" x14ac:dyDescent="0.2">
      <c r="A27">
        <v>30</v>
      </c>
      <c r="B27">
        <v>3</v>
      </c>
      <c r="C27">
        <v>0</v>
      </c>
      <c r="D27">
        <f t="shared" si="0"/>
        <v>30</v>
      </c>
      <c r="E27">
        <f t="shared" si="1"/>
        <v>3</v>
      </c>
      <c r="F27" t="e">
        <f t="shared" si="2"/>
        <v>#N/A</v>
      </c>
      <c r="G27" t="e">
        <f t="shared" si="3"/>
        <v>#N/A</v>
      </c>
    </row>
    <row r="28" spans="1:7" x14ac:dyDescent="0.2">
      <c r="A28">
        <v>19</v>
      </c>
      <c r="B28">
        <v>9</v>
      </c>
      <c r="C28">
        <v>0</v>
      </c>
      <c r="D28">
        <f t="shared" si="0"/>
        <v>19</v>
      </c>
      <c r="E28">
        <f t="shared" si="1"/>
        <v>9</v>
      </c>
      <c r="F28" t="e">
        <f t="shared" si="2"/>
        <v>#N/A</v>
      </c>
      <c r="G28" t="e">
        <f t="shared" si="3"/>
        <v>#N/A</v>
      </c>
    </row>
    <row r="29" spans="1:7" x14ac:dyDescent="0.2">
      <c r="A29">
        <v>17</v>
      </c>
      <c r="B29">
        <v>5</v>
      </c>
      <c r="C29">
        <v>0</v>
      </c>
      <c r="D29">
        <f t="shared" si="0"/>
        <v>17</v>
      </c>
      <c r="E29">
        <f t="shared" si="1"/>
        <v>5</v>
      </c>
      <c r="F29" t="e">
        <f t="shared" si="2"/>
        <v>#N/A</v>
      </c>
      <c r="G29" t="e">
        <f t="shared" si="3"/>
        <v>#N/A</v>
      </c>
    </row>
    <row r="30" spans="1:7" x14ac:dyDescent="0.2">
      <c r="A30">
        <v>63</v>
      </c>
      <c r="B30">
        <v>5</v>
      </c>
      <c r="C30">
        <v>0</v>
      </c>
      <c r="D30">
        <f t="shared" si="0"/>
        <v>63</v>
      </c>
      <c r="E30">
        <f t="shared" si="1"/>
        <v>5</v>
      </c>
      <c r="F30" t="e">
        <f t="shared" si="2"/>
        <v>#N/A</v>
      </c>
      <c r="G30" t="e">
        <f t="shared" si="3"/>
        <v>#N/A</v>
      </c>
    </row>
    <row r="31" spans="1:7" x14ac:dyDescent="0.2">
      <c r="A31">
        <v>19</v>
      </c>
      <c r="B31">
        <v>4</v>
      </c>
      <c r="C31">
        <v>1</v>
      </c>
      <c r="D31" t="e">
        <f t="shared" si="0"/>
        <v>#N/A</v>
      </c>
      <c r="E31" t="e">
        <f t="shared" si="1"/>
        <v>#N/A</v>
      </c>
      <c r="F31">
        <f t="shared" si="2"/>
        <v>19</v>
      </c>
      <c r="G31">
        <f t="shared" si="3"/>
        <v>4</v>
      </c>
    </row>
    <row r="32" spans="1:7" x14ac:dyDescent="0.2">
      <c r="A32">
        <v>58</v>
      </c>
      <c r="B32">
        <v>4</v>
      </c>
      <c r="C32">
        <v>1</v>
      </c>
      <c r="D32" t="e">
        <f t="shared" si="0"/>
        <v>#N/A</v>
      </c>
      <c r="E32" t="e">
        <f t="shared" si="1"/>
        <v>#N/A</v>
      </c>
      <c r="F32">
        <f t="shared" si="2"/>
        <v>58</v>
      </c>
      <c r="G32">
        <f t="shared" si="3"/>
        <v>4</v>
      </c>
    </row>
    <row r="33" spans="1:7" x14ac:dyDescent="0.2">
      <c r="A33">
        <v>55</v>
      </c>
      <c r="B33">
        <v>1</v>
      </c>
      <c r="C33">
        <v>0</v>
      </c>
      <c r="D33">
        <f t="shared" si="0"/>
        <v>55</v>
      </c>
      <c r="E33">
        <f t="shared" si="1"/>
        <v>1</v>
      </c>
      <c r="F33" t="e">
        <f t="shared" si="2"/>
        <v>#N/A</v>
      </c>
      <c r="G33" t="e">
        <f t="shared" si="3"/>
        <v>#N/A</v>
      </c>
    </row>
    <row r="34" spans="1:7" x14ac:dyDescent="0.2">
      <c r="A34">
        <v>62</v>
      </c>
      <c r="B34">
        <v>7</v>
      </c>
      <c r="C34">
        <v>0</v>
      </c>
      <c r="D34">
        <f t="shared" si="0"/>
        <v>62</v>
      </c>
      <c r="E34">
        <f t="shared" si="1"/>
        <v>7</v>
      </c>
      <c r="F34" t="e">
        <f t="shared" si="2"/>
        <v>#N/A</v>
      </c>
      <c r="G34" t="e">
        <f t="shared" si="3"/>
        <v>#N/A</v>
      </c>
    </row>
    <row r="35" spans="1:7" x14ac:dyDescent="0.2">
      <c r="A35">
        <v>23</v>
      </c>
      <c r="B35">
        <v>9</v>
      </c>
      <c r="C35">
        <v>1</v>
      </c>
      <c r="D35" t="e">
        <f t="shared" si="0"/>
        <v>#N/A</v>
      </c>
      <c r="E35" t="e">
        <f t="shared" si="1"/>
        <v>#N/A</v>
      </c>
      <c r="F35">
        <f t="shared" si="2"/>
        <v>23</v>
      </c>
      <c r="G35">
        <f t="shared" si="3"/>
        <v>9</v>
      </c>
    </row>
    <row r="36" spans="1:7" x14ac:dyDescent="0.2">
      <c r="A36">
        <v>9</v>
      </c>
      <c r="B36">
        <v>3</v>
      </c>
      <c r="C36">
        <v>1</v>
      </c>
      <c r="D36" t="e">
        <f t="shared" si="0"/>
        <v>#N/A</v>
      </c>
      <c r="E36" t="e">
        <f t="shared" si="1"/>
        <v>#N/A</v>
      </c>
      <c r="F36">
        <f t="shared" si="2"/>
        <v>9</v>
      </c>
      <c r="G36">
        <f t="shared" si="3"/>
        <v>3</v>
      </c>
    </row>
    <row r="37" spans="1:7" x14ac:dyDescent="0.2">
      <c r="A37">
        <v>12</v>
      </c>
      <c r="B37">
        <v>2</v>
      </c>
      <c r="C37">
        <v>0</v>
      </c>
      <c r="D37">
        <f t="shared" si="0"/>
        <v>12</v>
      </c>
      <c r="E37">
        <f t="shared" si="1"/>
        <v>2</v>
      </c>
      <c r="F37" t="e">
        <f t="shared" si="2"/>
        <v>#N/A</v>
      </c>
      <c r="G37" t="e">
        <f t="shared" si="3"/>
        <v>#N/A</v>
      </c>
    </row>
    <row r="38" spans="1:7" x14ac:dyDescent="0.2">
      <c r="A38">
        <v>1</v>
      </c>
      <c r="B38">
        <v>3</v>
      </c>
      <c r="C38">
        <v>0</v>
      </c>
      <c r="D38">
        <f t="shared" si="0"/>
        <v>1</v>
      </c>
      <c r="E38">
        <f t="shared" si="1"/>
        <v>3</v>
      </c>
      <c r="F38" t="e">
        <f t="shared" si="2"/>
        <v>#N/A</v>
      </c>
      <c r="G38" t="e">
        <f t="shared" si="3"/>
        <v>#N/A</v>
      </c>
    </row>
    <row r="39" spans="1:7" x14ac:dyDescent="0.2">
      <c r="A39">
        <v>58</v>
      </c>
      <c r="B39">
        <v>1</v>
      </c>
      <c r="C39">
        <v>0</v>
      </c>
      <c r="D39">
        <f t="shared" si="0"/>
        <v>58</v>
      </c>
      <c r="E39">
        <f t="shared" si="1"/>
        <v>1</v>
      </c>
      <c r="F39" t="e">
        <f t="shared" si="2"/>
        <v>#N/A</v>
      </c>
      <c r="G39" t="e">
        <f t="shared" si="3"/>
        <v>#N/A</v>
      </c>
    </row>
    <row r="40" spans="1:7" x14ac:dyDescent="0.2">
      <c r="A40">
        <v>1</v>
      </c>
      <c r="B40">
        <v>6</v>
      </c>
      <c r="C40">
        <v>1</v>
      </c>
      <c r="D40" t="e">
        <f t="shared" si="0"/>
        <v>#N/A</v>
      </c>
      <c r="E40" t="e">
        <f t="shared" si="1"/>
        <v>#N/A</v>
      </c>
      <c r="F40">
        <f t="shared" si="2"/>
        <v>1</v>
      </c>
      <c r="G40">
        <f t="shared" si="3"/>
        <v>6</v>
      </c>
    </row>
    <row r="41" spans="1:7" x14ac:dyDescent="0.2">
      <c r="A41">
        <v>34</v>
      </c>
      <c r="B41">
        <v>7</v>
      </c>
      <c r="C41">
        <v>0</v>
      </c>
      <c r="D41">
        <f t="shared" si="0"/>
        <v>34</v>
      </c>
      <c r="E41">
        <f t="shared" si="1"/>
        <v>7</v>
      </c>
      <c r="F41" t="e">
        <f t="shared" si="2"/>
        <v>#N/A</v>
      </c>
      <c r="G41" t="e">
        <f t="shared" si="3"/>
        <v>#N/A</v>
      </c>
    </row>
    <row r="42" spans="1:7" x14ac:dyDescent="0.2">
      <c r="A42">
        <v>48</v>
      </c>
      <c r="B42">
        <v>2</v>
      </c>
      <c r="C42">
        <v>1</v>
      </c>
      <c r="D42" t="e">
        <f t="shared" si="0"/>
        <v>#N/A</v>
      </c>
      <c r="E42" t="e">
        <f t="shared" si="1"/>
        <v>#N/A</v>
      </c>
      <c r="F42">
        <f t="shared" si="2"/>
        <v>48</v>
      </c>
      <c r="G42">
        <f t="shared" si="3"/>
        <v>2</v>
      </c>
    </row>
    <row r="43" spans="1:7" x14ac:dyDescent="0.2">
      <c r="A43">
        <v>1</v>
      </c>
      <c r="B43">
        <v>8</v>
      </c>
      <c r="C43">
        <v>1</v>
      </c>
      <c r="D43" t="e">
        <f t="shared" si="0"/>
        <v>#N/A</v>
      </c>
      <c r="E43" t="e">
        <f t="shared" si="1"/>
        <v>#N/A</v>
      </c>
      <c r="F43">
        <f t="shared" si="2"/>
        <v>1</v>
      </c>
      <c r="G43">
        <f t="shared" si="3"/>
        <v>8</v>
      </c>
    </row>
    <row r="44" spans="1:7" x14ac:dyDescent="0.2">
      <c r="A44">
        <v>16</v>
      </c>
      <c r="B44">
        <v>6</v>
      </c>
      <c r="C44">
        <v>1</v>
      </c>
      <c r="D44" t="e">
        <f t="shared" si="0"/>
        <v>#N/A</v>
      </c>
      <c r="E44" t="e">
        <f t="shared" si="1"/>
        <v>#N/A</v>
      </c>
      <c r="F44">
        <f t="shared" si="2"/>
        <v>16</v>
      </c>
      <c r="G44">
        <f t="shared" si="3"/>
        <v>6</v>
      </c>
    </row>
    <row r="45" spans="1:7" x14ac:dyDescent="0.2">
      <c r="A45">
        <v>61</v>
      </c>
      <c r="B45">
        <v>4</v>
      </c>
      <c r="C45">
        <v>0</v>
      </c>
      <c r="D45">
        <f t="shared" si="0"/>
        <v>61</v>
      </c>
      <c r="E45">
        <f t="shared" si="1"/>
        <v>4</v>
      </c>
      <c r="F45" t="e">
        <f t="shared" si="2"/>
        <v>#N/A</v>
      </c>
      <c r="G45" t="e">
        <f t="shared" si="3"/>
        <v>#N/A</v>
      </c>
    </row>
    <row r="46" spans="1:7" x14ac:dyDescent="0.2">
      <c r="A46">
        <v>64</v>
      </c>
      <c r="B46">
        <v>5</v>
      </c>
      <c r="C46">
        <v>1</v>
      </c>
      <c r="D46" t="e">
        <f t="shared" si="0"/>
        <v>#N/A</v>
      </c>
      <c r="E46" t="e">
        <f t="shared" si="1"/>
        <v>#N/A</v>
      </c>
      <c r="F46">
        <f t="shared" si="2"/>
        <v>64</v>
      </c>
      <c r="G46">
        <f t="shared" si="3"/>
        <v>5</v>
      </c>
    </row>
    <row r="47" spans="1:7" x14ac:dyDescent="0.2">
      <c r="A47">
        <v>63</v>
      </c>
      <c r="B47">
        <v>8</v>
      </c>
      <c r="C47">
        <v>0</v>
      </c>
      <c r="D47">
        <f t="shared" si="0"/>
        <v>63</v>
      </c>
      <c r="E47">
        <f t="shared" si="1"/>
        <v>8</v>
      </c>
      <c r="F47" t="e">
        <f t="shared" si="2"/>
        <v>#N/A</v>
      </c>
      <c r="G47" t="e">
        <f t="shared" si="3"/>
        <v>#N/A</v>
      </c>
    </row>
    <row r="48" spans="1:7" x14ac:dyDescent="0.2">
      <c r="A48">
        <v>69</v>
      </c>
      <c r="B48">
        <v>3</v>
      </c>
      <c r="C48">
        <v>0</v>
      </c>
      <c r="D48">
        <f t="shared" si="0"/>
        <v>69</v>
      </c>
      <c r="E48">
        <f t="shared" si="1"/>
        <v>3</v>
      </c>
      <c r="F48" t="e">
        <f t="shared" si="2"/>
        <v>#N/A</v>
      </c>
      <c r="G48" t="e">
        <f t="shared" si="3"/>
        <v>#N/A</v>
      </c>
    </row>
    <row r="49" spans="1:7" x14ac:dyDescent="0.2">
      <c r="A49">
        <v>22</v>
      </c>
      <c r="B49">
        <v>3</v>
      </c>
      <c r="C49">
        <v>1</v>
      </c>
      <c r="D49" t="e">
        <f t="shared" si="0"/>
        <v>#N/A</v>
      </c>
      <c r="E49" t="e">
        <f t="shared" si="1"/>
        <v>#N/A</v>
      </c>
      <c r="F49">
        <f t="shared" si="2"/>
        <v>22</v>
      </c>
      <c r="G49">
        <f t="shared" si="3"/>
        <v>3</v>
      </c>
    </row>
    <row r="50" spans="1:7" x14ac:dyDescent="0.2">
      <c r="A50">
        <v>67</v>
      </c>
      <c r="B50">
        <v>4</v>
      </c>
      <c r="C50">
        <v>0</v>
      </c>
      <c r="D50">
        <f t="shared" si="0"/>
        <v>67</v>
      </c>
      <c r="E50">
        <f t="shared" si="1"/>
        <v>4</v>
      </c>
      <c r="F50" t="e">
        <f t="shared" si="2"/>
        <v>#N/A</v>
      </c>
      <c r="G50" t="e">
        <f t="shared" si="3"/>
        <v>#N/A</v>
      </c>
    </row>
    <row r="51" spans="1:7" x14ac:dyDescent="0.2">
      <c r="A51">
        <v>26</v>
      </c>
      <c r="B51">
        <v>1</v>
      </c>
      <c r="C51">
        <v>1</v>
      </c>
      <c r="D51" t="e">
        <f t="shared" si="0"/>
        <v>#N/A</v>
      </c>
      <c r="E51" t="e">
        <f t="shared" si="1"/>
        <v>#N/A</v>
      </c>
      <c r="F51">
        <f t="shared" si="2"/>
        <v>26</v>
      </c>
      <c r="G51">
        <f t="shared" si="3"/>
        <v>1</v>
      </c>
    </row>
    <row r="52" spans="1:7" x14ac:dyDescent="0.2">
      <c r="A52">
        <v>16</v>
      </c>
      <c r="B52">
        <v>9</v>
      </c>
      <c r="C52">
        <v>0</v>
      </c>
      <c r="D52">
        <f t="shared" si="0"/>
        <v>16</v>
      </c>
      <c r="E52">
        <f t="shared" si="1"/>
        <v>9</v>
      </c>
      <c r="F52" t="e">
        <f t="shared" si="2"/>
        <v>#N/A</v>
      </c>
      <c r="G52" t="e">
        <f t="shared" si="3"/>
        <v>#N/A</v>
      </c>
    </row>
    <row r="53" spans="1:7" x14ac:dyDescent="0.2">
      <c r="A53">
        <v>51</v>
      </c>
      <c r="B53">
        <v>8</v>
      </c>
      <c r="C53">
        <v>0</v>
      </c>
      <c r="D53">
        <f t="shared" si="0"/>
        <v>51</v>
      </c>
      <c r="E53">
        <f t="shared" si="1"/>
        <v>8</v>
      </c>
      <c r="F53" t="e">
        <f t="shared" si="2"/>
        <v>#N/A</v>
      </c>
      <c r="G53" t="e">
        <f t="shared" si="3"/>
        <v>#N/A</v>
      </c>
    </row>
    <row r="54" spans="1:7" x14ac:dyDescent="0.2">
      <c r="A54">
        <v>57</v>
      </c>
      <c r="B54">
        <v>8</v>
      </c>
      <c r="C54">
        <v>0</v>
      </c>
      <c r="D54">
        <f t="shared" si="0"/>
        <v>57</v>
      </c>
      <c r="E54">
        <f t="shared" si="1"/>
        <v>8</v>
      </c>
      <c r="F54" t="e">
        <f t="shared" si="2"/>
        <v>#N/A</v>
      </c>
      <c r="G54" t="e">
        <f t="shared" si="3"/>
        <v>#N/A</v>
      </c>
    </row>
    <row r="55" spans="1:7" x14ac:dyDescent="0.2">
      <c r="A55">
        <v>29</v>
      </c>
      <c r="B55">
        <v>10</v>
      </c>
      <c r="C55">
        <v>0</v>
      </c>
      <c r="D55">
        <f t="shared" si="0"/>
        <v>29</v>
      </c>
      <c r="E55">
        <f t="shared" si="1"/>
        <v>10</v>
      </c>
      <c r="F55" t="e">
        <f t="shared" si="2"/>
        <v>#N/A</v>
      </c>
      <c r="G55" t="e">
        <f t="shared" si="3"/>
        <v>#N/A</v>
      </c>
    </row>
    <row r="56" spans="1:7" x14ac:dyDescent="0.2">
      <c r="A56">
        <v>69</v>
      </c>
      <c r="B56">
        <v>6</v>
      </c>
      <c r="C56">
        <v>1</v>
      </c>
      <c r="D56" t="e">
        <f t="shared" si="0"/>
        <v>#N/A</v>
      </c>
      <c r="E56" t="e">
        <f t="shared" si="1"/>
        <v>#N/A</v>
      </c>
      <c r="F56">
        <f t="shared" si="2"/>
        <v>69</v>
      </c>
      <c r="G56">
        <f t="shared" si="3"/>
        <v>6</v>
      </c>
    </row>
    <row r="57" spans="1:7" x14ac:dyDescent="0.2">
      <c r="A57">
        <v>47</v>
      </c>
      <c r="B57">
        <v>7</v>
      </c>
      <c r="C57">
        <v>1</v>
      </c>
      <c r="D57" t="e">
        <f t="shared" si="0"/>
        <v>#N/A</v>
      </c>
      <c r="E57" t="e">
        <f t="shared" si="1"/>
        <v>#N/A</v>
      </c>
      <c r="F57">
        <f t="shared" si="2"/>
        <v>47</v>
      </c>
      <c r="G57">
        <f t="shared" si="3"/>
        <v>7</v>
      </c>
    </row>
    <row r="58" spans="1:7" x14ac:dyDescent="0.2">
      <c r="A58">
        <v>62</v>
      </c>
      <c r="B58">
        <v>6</v>
      </c>
      <c r="C58">
        <v>0</v>
      </c>
      <c r="D58">
        <f t="shared" si="0"/>
        <v>62</v>
      </c>
      <c r="E58">
        <f t="shared" si="1"/>
        <v>6</v>
      </c>
      <c r="F58" t="e">
        <f t="shared" si="2"/>
        <v>#N/A</v>
      </c>
      <c r="G58" t="e">
        <f t="shared" si="3"/>
        <v>#N/A</v>
      </c>
    </row>
    <row r="59" spans="1:7" x14ac:dyDescent="0.2">
      <c r="A59">
        <v>69</v>
      </c>
      <c r="B59">
        <v>9</v>
      </c>
      <c r="C59">
        <v>0</v>
      </c>
      <c r="D59">
        <f t="shared" si="0"/>
        <v>69</v>
      </c>
      <c r="E59">
        <f t="shared" si="1"/>
        <v>9</v>
      </c>
      <c r="F59" t="e">
        <f t="shared" si="2"/>
        <v>#N/A</v>
      </c>
      <c r="G59" t="e">
        <f t="shared" si="3"/>
        <v>#N/A</v>
      </c>
    </row>
    <row r="60" spans="1:7" x14ac:dyDescent="0.2">
      <c r="A60">
        <v>16</v>
      </c>
      <c r="B60">
        <v>3</v>
      </c>
      <c r="C60">
        <v>1</v>
      </c>
      <c r="D60" t="e">
        <f t="shared" si="0"/>
        <v>#N/A</v>
      </c>
      <c r="E60" t="e">
        <f t="shared" si="1"/>
        <v>#N/A</v>
      </c>
      <c r="F60">
        <f t="shared" si="2"/>
        <v>16</v>
      </c>
      <c r="G60">
        <f t="shared" si="3"/>
        <v>3</v>
      </c>
    </row>
    <row r="61" spans="1:7" x14ac:dyDescent="0.2">
      <c r="A61">
        <v>48</v>
      </c>
      <c r="B61">
        <v>3</v>
      </c>
      <c r="C61">
        <v>0</v>
      </c>
      <c r="D61">
        <f t="shared" si="0"/>
        <v>48</v>
      </c>
      <c r="E61">
        <f t="shared" si="1"/>
        <v>3</v>
      </c>
      <c r="F61" t="e">
        <f t="shared" si="2"/>
        <v>#N/A</v>
      </c>
      <c r="G61" t="e">
        <f t="shared" si="3"/>
        <v>#N/A</v>
      </c>
    </row>
    <row r="62" spans="1:7" x14ac:dyDescent="0.2">
      <c r="A62">
        <v>39</v>
      </c>
      <c r="B62">
        <v>3</v>
      </c>
      <c r="C62">
        <v>1</v>
      </c>
      <c r="D62" t="e">
        <f t="shared" si="0"/>
        <v>#N/A</v>
      </c>
      <c r="E62" t="e">
        <f t="shared" si="1"/>
        <v>#N/A</v>
      </c>
      <c r="F62">
        <f t="shared" si="2"/>
        <v>39</v>
      </c>
      <c r="G62">
        <f t="shared" si="3"/>
        <v>3</v>
      </c>
    </row>
    <row r="63" spans="1:7" x14ac:dyDescent="0.2">
      <c r="A63">
        <v>33</v>
      </c>
      <c r="B63">
        <v>10</v>
      </c>
      <c r="C63">
        <v>0</v>
      </c>
      <c r="D63">
        <f t="shared" si="0"/>
        <v>33</v>
      </c>
      <c r="E63">
        <f t="shared" si="1"/>
        <v>10</v>
      </c>
      <c r="F63" t="e">
        <f t="shared" si="2"/>
        <v>#N/A</v>
      </c>
      <c r="G63" t="e">
        <f t="shared" si="3"/>
        <v>#N/A</v>
      </c>
    </row>
    <row r="64" spans="1:7" x14ac:dyDescent="0.2">
      <c r="A64">
        <v>23</v>
      </c>
      <c r="B64">
        <v>3</v>
      </c>
      <c r="C64">
        <v>1</v>
      </c>
      <c r="D64" t="e">
        <f t="shared" si="0"/>
        <v>#N/A</v>
      </c>
      <c r="E64" t="e">
        <f t="shared" si="1"/>
        <v>#N/A</v>
      </c>
      <c r="F64">
        <f t="shared" si="2"/>
        <v>23</v>
      </c>
      <c r="G64">
        <f t="shared" si="3"/>
        <v>3</v>
      </c>
    </row>
    <row r="65" spans="1:7" x14ac:dyDescent="0.2">
      <c r="A65">
        <v>10</v>
      </c>
      <c r="B65">
        <v>9</v>
      </c>
      <c r="C65">
        <v>0</v>
      </c>
      <c r="D65">
        <f t="shared" si="0"/>
        <v>10</v>
      </c>
      <c r="E65">
        <f t="shared" si="1"/>
        <v>9</v>
      </c>
      <c r="F65" t="e">
        <f t="shared" si="2"/>
        <v>#N/A</v>
      </c>
      <c r="G65" t="e">
        <f t="shared" si="3"/>
        <v>#N/A</v>
      </c>
    </row>
    <row r="66" spans="1:7" x14ac:dyDescent="0.2">
      <c r="A66">
        <v>69</v>
      </c>
      <c r="B66">
        <v>4</v>
      </c>
      <c r="C66">
        <v>1</v>
      </c>
      <c r="D66" t="e">
        <f t="shared" si="0"/>
        <v>#N/A</v>
      </c>
      <c r="E66" t="e">
        <f t="shared" si="1"/>
        <v>#N/A</v>
      </c>
      <c r="F66">
        <f t="shared" si="2"/>
        <v>69</v>
      </c>
      <c r="G66">
        <f t="shared" si="3"/>
        <v>4</v>
      </c>
    </row>
    <row r="67" spans="1:7" x14ac:dyDescent="0.2">
      <c r="A67">
        <v>34</v>
      </c>
      <c r="B67">
        <v>7</v>
      </c>
      <c r="C67">
        <v>1</v>
      </c>
      <c r="D67" t="e">
        <f t="shared" ref="D67:D130" si="4" xml:space="preserve"> IF($C67=0, $A67, NA())</f>
        <v>#N/A</v>
      </c>
      <c r="E67" t="e">
        <f t="shared" ref="E67:E130" si="5" xml:space="preserve"> IF($C67=0, B67, NA())</f>
        <v>#N/A</v>
      </c>
      <c r="F67">
        <f t="shared" ref="F67:F130" si="6" xml:space="preserve"> IF($C67=1, A67, NA())</f>
        <v>34</v>
      </c>
      <c r="G67">
        <f t="shared" ref="G67:G130" si="7" xml:space="preserve"> IF($C67=1, $B67, NA())</f>
        <v>7</v>
      </c>
    </row>
    <row r="68" spans="1:7" x14ac:dyDescent="0.2">
      <c r="A68">
        <v>52</v>
      </c>
      <c r="B68">
        <v>9</v>
      </c>
      <c r="C68">
        <v>1</v>
      </c>
      <c r="D68" t="e">
        <f t="shared" si="4"/>
        <v>#N/A</v>
      </c>
      <c r="E68" t="e">
        <f t="shared" si="5"/>
        <v>#N/A</v>
      </c>
      <c r="F68">
        <f t="shared" si="6"/>
        <v>52</v>
      </c>
      <c r="G68">
        <f t="shared" si="7"/>
        <v>9</v>
      </c>
    </row>
    <row r="69" spans="1:7" x14ac:dyDescent="0.2">
      <c r="A69">
        <v>10</v>
      </c>
      <c r="B69">
        <v>7</v>
      </c>
      <c r="C69">
        <v>1</v>
      </c>
      <c r="D69" t="e">
        <f t="shared" si="4"/>
        <v>#N/A</v>
      </c>
      <c r="E69" t="e">
        <f t="shared" si="5"/>
        <v>#N/A</v>
      </c>
      <c r="F69">
        <f t="shared" si="6"/>
        <v>10</v>
      </c>
      <c r="G69">
        <f t="shared" si="7"/>
        <v>7</v>
      </c>
    </row>
    <row r="70" spans="1:7" x14ac:dyDescent="0.2">
      <c r="A70">
        <v>19</v>
      </c>
      <c r="B70">
        <v>9</v>
      </c>
      <c r="C70">
        <v>0</v>
      </c>
      <c r="D70">
        <f t="shared" si="4"/>
        <v>19</v>
      </c>
      <c r="E70">
        <f t="shared" si="5"/>
        <v>9</v>
      </c>
      <c r="F70" t="e">
        <f t="shared" si="6"/>
        <v>#N/A</v>
      </c>
      <c r="G70" t="e">
        <f t="shared" si="7"/>
        <v>#N/A</v>
      </c>
    </row>
    <row r="71" spans="1:7" x14ac:dyDescent="0.2">
      <c r="A71">
        <v>58</v>
      </c>
      <c r="B71">
        <v>3</v>
      </c>
      <c r="C71">
        <v>1</v>
      </c>
      <c r="D71" t="e">
        <f t="shared" si="4"/>
        <v>#N/A</v>
      </c>
      <c r="E71" t="e">
        <f t="shared" si="5"/>
        <v>#N/A</v>
      </c>
      <c r="F71">
        <f t="shared" si="6"/>
        <v>58</v>
      </c>
      <c r="G71">
        <f t="shared" si="7"/>
        <v>3</v>
      </c>
    </row>
    <row r="72" spans="1:7" x14ac:dyDescent="0.2">
      <c r="A72">
        <v>1</v>
      </c>
      <c r="B72">
        <v>4</v>
      </c>
      <c r="C72">
        <v>0</v>
      </c>
      <c r="D72">
        <f t="shared" si="4"/>
        <v>1</v>
      </c>
      <c r="E72">
        <f t="shared" si="5"/>
        <v>4</v>
      </c>
      <c r="F72" t="e">
        <f t="shared" si="6"/>
        <v>#N/A</v>
      </c>
      <c r="G72" t="e">
        <f t="shared" si="7"/>
        <v>#N/A</v>
      </c>
    </row>
    <row r="73" spans="1:7" x14ac:dyDescent="0.2">
      <c r="A73">
        <v>69</v>
      </c>
      <c r="B73">
        <v>8</v>
      </c>
      <c r="C73">
        <v>1</v>
      </c>
      <c r="D73" t="e">
        <f t="shared" si="4"/>
        <v>#N/A</v>
      </c>
      <c r="E73" t="e">
        <f t="shared" si="5"/>
        <v>#N/A</v>
      </c>
      <c r="F73">
        <f t="shared" si="6"/>
        <v>69</v>
      </c>
      <c r="G73">
        <f t="shared" si="7"/>
        <v>8</v>
      </c>
    </row>
    <row r="74" spans="1:7" x14ac:dyDescent="0.2">
      <c r="A74">
        <v>4</v>
      </c>
      <c r="B74">
        <v>6</v>
      </c>
      <c r="C74">
        <v>1</v>
      </c>
      <c r="D74" t="e">
        <f t="shared" si="4"/>
        <v>#N/A</v>
      </c>
      <c r="E74" t="e">
        <f t="shared" si="5"/>
        <v>#N/A</v>
      </c>
      <c r="F74">
        <f t="shared" si="6"/>
        <v>4</v>
      </c>
      <c r="G74">
        <f t="shared" si="7"/>
        <v>6</v>
      </c>
    </row>
    <row r="75" spans="1:7" x14ac:dyDescent="0.2">
      <c r="A75">
        <v>16</v>
      </c>
      <c r="B75">
        <v>5</v>
      </c>
      <c r="C75">
        <v>1</v>
      </c>
      <c r="D75" t="e">
        <f t="shared" si="4"/>
        <v>#N/A</v>
      </c>
      <c r="E75" t="e">
        <f t="shared" si="5"/>
        <v>#N/A</v>
      </c>
      <c r="F75">
        <f t="shared" si="6"/>
        <v>16</v>
      </c>
      <c r="G75">
        <f t="shared" si="7"/>
        <v>5</v>
      </c>
    </row>
    <row r="76" spans="1:7" x14ac:dyDescent="0.2">
      <c r="A76">
        <v>24</v>
      </c>
      <c r="B76">
        <v>4</v>
      </c>
      <c r="C76">
        <v>1</v>
      </c>
      <c r="D76" t="e">
        <f t="shared" si="4"/>
        <v>#N/A</v>
      </c>
      <c r="E76" t="e">
        <f t="shared" si="5"/>
        <v>#N/A</v>
      </c>
      <c r="F76">
        <f t="shared" si="6"/>
        <v>24</v>
      </c>
      <c r="G76">
        <f t="shared" si="7"/>
        <v>4</v>
      </c>
    </row>
    <row r="77" spans="1:7" x14ac:dyDescent="0.2">
      <c r="A77">
        <v>2</v>
      </c>
      <c r="B77">
        <v>8</v>
      </c>
      <c r="C77">
        <v>1</v>
      </c>
      <c r="D77" t="e">
        <f t="shared" si="4"/>
        <v>#N/A</v>
      </c>
      <c r="E77" t="e">
        <f t="shared" si="5"/>
        <v>#N/A</v>
      </c>
      <c r="F77">
        <f t="shared" si="6"/>
        <v>2</v>
      </c>
      <c r="G77">
        <f t="shared" si="7"/>
        <v>8</v>
      </c>
    </row>
    <row r="78" spans="1:7" x14ac:dyDescent="0.2">
      <c r="A78">
        <v>32</v>
      </c>
      <c r="B78">
        <v>1</v>
      </c>
      <c r="C78">
        <v>0</v>
      </c>
      <c r="D78">
        <f t="shared" si="4"/>
        <v>32</v>
      </c>
      <c r="E78">
        <f t="shared" si="5"/>
        <v>1</v>
      </c>
      <c r="F78" t="e">
        <f t="shared" si="6"/>
        <v>#N/A</v>
      </c>
      <c r="G78" t="e">
        <f t="shared" si="7"/>
        <v>#N/A</v>
      </c>
    </row>
    <row r="79" spans="1:7" x14ac:dyDescent="0.2">
      <c r="A79">
        <v>24</v>
      </c>
      <c r="B79">
        <v>9</v>
      </c>
      <c r="C79">
        <v>0</v>
      </c>
      <c r="D79">
        <f t="shared" si="4"/>
        <v>24</v>
      </c>
      <c r="E79">
        <f t="shared" si="5"/>
        <v>9</v>
      </c>
      <c r="F79" t="e">
        <f t="shared" si="6"/>
        <v>#N/A</v>
      </c>
      <c r="G79" t="e">
        <f t="shared" si="7"/>
        <v>#N/A</v>
      </c>
    </row>
    <row r="80" spans="1:7" x14ac:dyDescent="0.2">
      <c r="A80">
        <v>12</v>
      </c>
      <c r="B80">
        <v>1</v>
      </c>
      <c r="C80">
        <v>1</v>
      </c>
      <c r="D80" t="e">
        <f t="shared" si="4"/>
        <v>#N/A</v>
      </c>
      <c r="E80" t="e">
        <f t="shared" si="5"/>
        <v>#N/A</v>
      </c>
      <c r="F80">
        <f t="shared" si="6"/>
        <v>12</v>
      </c>
      <c r="G80">
        <f t="shared" si="7"/>
        <v>1</v>
      </c>
    </row>
    <row r="81" spans="1:7" x14ac:dyDescent="0.2">
      <c r="A81">
        <v>50</v>
      </c>
      <c r="B81">
        <v>8</v>
      </c>
      <c r="C81">
        <v>0</v>
      </c>
      <c r="D81">
        <f t="shared" si="4"/>
        <v>50</v>
      </c>
      <c r="E81">
        <f t="shared" si="5"/>
        <v>8</v>
      </c>
      <c r="F81" t="e">
        <f t="shared" si="6"/>
        <v>#N/A</v>
      </c>
      <c r="G81" t="e">
        <f t="shared" si="7"/>
        <v>#N/A</v>
      </c>
    </row>
    <row r="82" spans="1:7" x14ac:dyDescent="0.2">
      <c r="A82">
        <v>35</v>
      </c>
      <c r="B82">
        <v>4</v>
      </c>
      <c r="C82">
        <v>1</v>
      </c>
      <c r="D82" t="e">
        <f t="shared" si="4"/>
        <v>#N/A</v>
      </c>
      <c r="E82" t="e">
        <f t="shared" si="5"/>
        <v>#N/A</v>
      </c>
      <c r="F82">
        <f t="shared" si="6"/>
        <v>35</v>
      </c>
      <c r="G82">
        <f t="shared" si="7"/>
        <v>4</v>
      </c>
    </row>
    <row r="83" spans="1:7" x14ac:dyDescent="0.2">
      <c r="A83">
        <v>33</v>
      </c>
      <c r="B83">
        <v>9</v>
      </c>
      <c r="C83">
        <v>1</v>
      </c>
      <c r="D83" t="e">
        <f t="shared" si="4"/>
        <v>#N/A</v>
      </c>
      <c r="E83" t="e">
        <f t="shared" si="5"/>
        <v>#N/A</v>
      </c>
      <c r="F83">
        <f t="shared" si="6"/>
        <v>33</v>
      </c>
      <c r="G83">
        <f t="shared" si="7"/>
        <v>9</v>
      </c>
    </row>
    <row r="84" spans="1:7" x14ac:dyDescent="0.2">
      <c r="A84">
        <v>33</v>
      </c>
      <c r="B84">
        <v>5</v>
      </c>
      <c r="C84">
        <v>0</v>
      </c>
      <c r="D84">
        <f t="shared" si="4"/>
        <v>33</v>
      </c>
      <c r="E84">
        <f t="shared" si="5"/>
        <v>5</v>
      </c>
      <c r="F84" t="e">
        <f t="shared" si="6"/>
        <v>#N/A</v>
      </c>
      <c r="G84" t="e">
        <f t="shared" si="7"/>
        <v>#N/A</v>
      </c>
    </row>
    <row r="85" spans="1:7" x14ac:dyDescent="0.2">
      <c r="A85">
        <v>61</v>
      </c>
      <c r="B85">
        <v>3</v>
      </c>
      <c r="C85">
        <v>0</v>
      </c>
      <c r="D85">
        <f t="shared" si="4"/>
        <v>61</v>
      </c>
      <c r="E85">
        <f t="shared" si="5"/>
        <v>3</v>
      </c>
      <c r="F85" t="e">
        <f t="shared" si="6"/>
        <v>#N/A</v>
      </c>
      <c r="G85" t="e">
        <f t="shared" si="7"/>
        <v>#N/A</v>
      </c>
    </row>
    <row r="86" spans="1:7" x14ac:dyDescent="0.2">
      <c r="A86">
        <v>51</v>
      </c>
      <c r="B86">
        <v>9</v>
      </c>
      <c r="C86">
        <v>0</v>
      </c>
      <c r="D86">
        <f t="shared" si="4"/>
        <v>51</v>
      </c>
      <c r="E86">
        <f t="shared" si="5"/>
        <v>9</v>
      </c>
      <c r="F86" t="e">
        <f t="shared" si="6"/>
        <v>#N/A</v>
      </c>
      <c r="G86" t="e">
        <f t="shared" si="7"/>
        <v>#N/A</v>
      </c>
    </row>
    <row r="87" spans="1:7" x14ac:dyDescent="0.2">
      <c r="A87">
        <v>43</v>
      </c>
      <c r="B87">
        <v>9</v>
      </c>
      <c r="C87">
        <v>0</v>
      </c>
      <c r="D87">
        <f t="shared" si="4"/>
        <v>43</v>
      </c>
      <c r="E87">
        <f t="shared" si="5"/>
        <v>9</v>
      </c>
      <c r="F87" t="e">
        <f t="shared" si="6"/>
        <v>#N/A</v>
      </c>
      <c r="G87" t="e">
        <f t="shared" si="7"/>
        <v>#N/A</v>
      </c>
    </row>
    <row r="88" spans="1:7" x14ac:dyDescent="0.2">
      <c r="A88">
        <v>12</v>
      </c>
      <c r="B88">
        <v>4</v>
      </c>
      <c r="C88">
        <v>1</v>
      </c>
      <c r="D88" t="e">
        <f t="shared" si="4"/>
        <v>#N/A</v>
      </c>
      <c r="E88" t="e">
        <f t="shared" si="5"/>
        <v>#N/A</v>
      </c>
      <c r="F88">
        <f t="shared" si="6"/>
        <v>12</v>
      </c>
      <c r="G88">
        <f t="shared" si="7"/>
        <v>4</v>
      </c>
    </row>
    <row r="89" spans="1:7" x14ac:dyDescent="0.2">
      <c r="A89">
        <v>67</v>
      </c>
      <c r="B89">
        <v>4</v>
      </c>
      <c r="C89">
        <v>0</v>
      </c>
      <c r="D89">
        <f t="shared" si="4"/>
        <v>67</v>
      </c>
      <c r="E89">
        <f t="shared" si="5"/>
        <v>4</v>
      </c>
      <c r="F89" t="e">
        <f t="shared" si="6"/>
        <v>#N/A</v>
      </c>
      <c r="G89" t="e">
        <f t="shared" si="7"/>
        <v>#N/A</v>
      </c>
    </row>
    <row r="90" spans="1:7" x14ac:dyDescent="0.2">
      <c r="A90">
        <v>65</v>
      </c>
      <c r="B90">
        <v>8</v>
      </c>
      <c r="C90">
        <v>0</v>
      </c>
      <c r="D90">
        <f t="shared" si="4"/>
        <v>65</v>
      </c>
      <c r="E90">
        <f t="shared" si="5"/>
        <v>8</v>
      </c>
      <c r="F90" t="e">
        <f t="shared" si="6"/>
        <v>#N/A</v>
      </c>
      <c r="G90" t="e">
        <f t="shared" si="7"/>
        <v>#N/A</v>
      </c>
    </row>
    <row r="91" spans="1:7" x14ac:dyDescent="0.2">
      <c r="A91">
        <v>33</v>
      </c>
      <c r="B91">
        <v>2</v>
      </c>
      <c r="C91">
        <v>1</v>
      </c>
      <c r="D91" t="e">
        <f t="shared" si="4"/>
        <v>#N/A</v>
      </c>
      <c r="E91" t="e">
        <f t="shared" si="5"/>
        <v>#N/A</v>
      </c>
      <c r="F91">
        <f t="shared" si="6"/>
        <v>33</v>
      </c>
      <c r="G91">
        <f t="shared" si="7"/>
        <v>2</v>
      </c>
    </row>
    <row r="92" spans="1:7" x14ac:dyDescent="0.2">
      <c r="A92">
        <v>40</v>
      </c>
      <c r="B92">
        <v>9</v>
      </c>
      <c r="C92">
        <v>0</v>
      </c>
      <c r="D92">
        <f t="shared" si="4"/>
        <v>40</v>
      </c>
      <c r="E92">
        <f t="shared" si="5"/>
        <v>9</v>
      </c>
      <c r="F92" t="e">
        <f t="shared" si="6"/>
        <v>#N/A</v>
      </c>
      <c r="G92" t="e">
        <f t="shared" si="7"/>
        <v>#N/A</v>
      </c>
    </row>
    <row r="93" spans="1:7" x14ac:dyDescent="0.2">
      <c r="A93">
        <v>43</v>
      </c>
      <c r="B93">
        <v>6</v>
      </c>
      <c r="C93">
        <v>1</v>
      </c>
      <c r="D93" t="e">
        <f t="shared" si="4"/>
        <v>#N/A</v>
      </c>
      <c r="E93" t="e">
        <f t="shared" si="5"/>
        <v>#N/A</v>
      </c>
      <c r="F93">
        <f t="shared" si="6"/>
        <v>43</v>
      </c>
      <c r="G93">
        <f t="shared" si="7"/>
        <v>6</v>
      </c>
    </row>
    <row r="94" spans="1:7" x14ac:dyDescent="0.2">
      <c r="A94">
        <v>44</v>
      </c>
      <c r="B94">
        <v>9</v>
      </c>
      <c r="C94">
        <v>1</v>
      </c>
      <c r="D94" t="e">
        <f t="shared" si="4"/>
        <v>#N/A</v>
      </c>
      <c r="E94" t="e">
        <f t="shared" si="5"/>
        <v>#N/A</v>
      </c>
      <c r="F94">
        <f t="shared" si="6"/>
        <v>44</v>
      </c>
      <c r="G94">
        <f t="shared" si="7"/>
        <v>9</v>
      </c>
    </row>
    <row r="95" spans="1:7" x14ac:dyDescent="0.2">
      <c r="A95">
        <v>29</v>
      </c>
      <c r="B95">
        <v>8</v>
      </c>
      <c r="C95">
        <v>0</v>
      </c>
      <c r="D95">
        <f t="shared" si="4"/>
        <v>29</v>
      </c>
      <c r="E95">
        <f t="shared" si="5"/>
        <v>8</v>
      </c>
      <c r="F95" t="e">
        <f t="shared" si="6"/>
        <v>#N/A</v>
      </c>
      <c r="G95" t="e">
        <f t="shared" si="7"/>
        <v>#N/A</v>
      </c>
    </row>
    <row r="96" spans="1:7" x14ac:dyDescent="0.2">
      <c r="A96">
        <v>13</v>
      </c>
      <c r="B96">
        <v>7</v>
      </c>
      <c r="C96">
        <v>0</v>
      </c>
      <c r="D96">
        <f t="shared" si="4"/>
        <v>13</v>
      </c>
      <c r="E96">
        <f t="shared" si="5"/>
        <v>7</v>
      </c>
      <c r="F96" t="e">
        <f t="shared" si="6"/>
        <v>#N/A</v>
      </c>
      <c r="G96" t="e">
        <f t="shared" si="7"/>
        <v>#N/A</v>
      </c>
    </row>
    <row r="97" spans="1:7" x14ac:dyDescent="0.2">
      <c r="A97">
        <v>12</v>
      </c>
      <c r="B97">
        <v>1</v>
      </c>
      <c r="C97">
        <v>1</v>
      </c>
      <c r="D97" t="e">
        <f t="shared" si="4"/>
        <v>#N/A</v>
      </c>
      <c r="E97" t="e">
        <f t="shared" si="5"/>
        <v>#N/A</v>
      </c>
      <c r="F97">
        <f t="shared" si="6"/>
        <v>12</v>
      </c>
      <c r="G97">
        <f t="shared" si="7"/>
        <v>1</v>
      </c>
    </row>
    <row r="98" spans="1:7" x14ac:dyDescent="0.2">
      <c r="A98">
        <v>46</v>
      </c>
      <c r="B98">
        <v>3</v>
      </c>
      <c r="C98">
        <v>1</v>
      </c>
      <c r="D98" t="e">
        <f t="shared" si="4"/>
        <v>#N/A</v>
      </c>
      <c r="E98" t="e">
        <f t="shared" si="5"/>
        <v>#N/A</v>
      </c>
      <c r="F98">
        <f t="shared" si="6"/>
        <v>46</v>
      </c>
      <c r="G98">
        <f t="shared" si="7"/>
        <v>3</v>
      </c>
    </row>
    <row r="99" spans="1:7" x14ac:dyDescent="0.2">
      <c r="A99">
        <v>2</v>
      </c>
      <c r="B99">
        <v>2</v>
      </c>
      <c r="C99">
        <v>1</v>
      </c>
      <c r="D99" t="e">
        <f t="shared" si="4"/>
        <v>#N/A</v>
      </c>
      <c r="E99" t="e">
        <f t="shared" si="5"/>
        <v>#N/A</v>
      </c>
      <c r="F99">
        <f t="shared" si="6"/>
        <v>2</v>
      </c>
      <c r="G99">
        <f t="shared" si="7"/>
        <v>2</v>
      </c>
    </row>
    <row r="100" spans="1:7" x14ac:dyDescent="0.2">
      <c r="A100">
        <v>35</v>
      </c>
      <c r="B100">
        <v>5</v>
      </c>
      <c r="C100">
        <v>1</v>
      </c>
      <c r="D100" t="e">
        <f t="shared" si="4"/>
        <v>#N/A</v>
      </c>
      <c r="E100" t="e">
        <f t="shared" si="5"/>
        <v>#N/A</v>
      </c>
      <c r="F100">
        <f t="shared" si="6"/>
        <v>35</v>
      </c>
      <c r="G100">
        <f t="shared" si="7"/>
        <v>5</v>
      </c>
    </row>
    <row r="101" spans="1:7" x14ac:dyDescent="0.2">
      <c r="A101">
        <v>8</v>
      </c>
      <c r="B101">
        <v>5</v>
      </c>
      <c r="C101">
        <v>0</v>
      </c>
      <c r="D101">
        <f t="shared" si="4"/>
        <v>8</v>
      </c>
      <c r="E101">
        <f t="shared" si="5"/>
        <v>5</v>
      </c>
      <c r="F101" t="e">
        <f t="shared" si="6"/>
        <v>#N/A</v>
      </c>
      <c r="G101" t="e">
        <f t="shared" si="7"/>
        <v>#N/A</v>
      </c>
    </row>
    <row r="102" spans="1:7" x14ac:dyDescent="0.2">
      <c r="A102">
        <v>26</v>
      </c>
      <c r="B102">
        <v>5</v>
      </c>
      <c r="C102">
        <v>0</v>
      </c>
      <c r="D102">
        <f t="shared" si="4"/>
        <v>26</v>
      </c>
      <c r="E102">
        <f t="shared" si="5"/>
        <v>5</v>
      </c>
      <c r="F102" t="e">
        <f t="shared" si="6"/>
        <v>#N/A</v>
      </c>
      <c r="G102" t="e">
        <f t="shared" si="7"/>
        <v>#N/A</v>
      </c>
    </row>
    <row r="103" spans="1:7" x14ac:dyDescent="0.2">
      <c r="A103">
        <v>34</v>
      </c>
      <c r="B103">
        <v>4</v>
      </c>
      <c r="C103">
        <v>1</v>
      </c>
      <c r="D103" t="e">
        <f t="shared" si="4"/>
        <v>#N/A</v>
      </c>
      <c r="E103" t="e">
        <f t="shared" si="5"/>
        <v>#N/A</v>
      </c>
      <c r="F103">
        <f t="shared" si="6"/>
        <v>34</v>
      </c>
      <c r="G103">
        <f t="shared" si="7"/>
        <v>4</v>
      </c>
    </row>
    <row r="104" spans="1:7" x14ac:dyDescent="0.2">
      <c r="A104">
        <v>7</v>
      </c>
      <c r="B104">
        <v>5</v>
      </c>
      <c r="C104">
        <v>1</v>
      </c>
      <c r="D104" t="e">
        <f t="shared" si="4"/>
        <v>#N/A</v>
      </c>
      <c r="E104" t="e">
        <f t="shared" si="5"/>
        <v>#N/A</v>
      </c>
      <c r="F104">
        <f t="shared" si="6"/>
        <v>7</v>
      </c>
      <c r="G104">
        <f t="shared" si="7"/>
        <v>5</v>
      </c>
    </row>
    <row r="105" spans="1:7" x14ac:dyDescent="0.2">
      <c r="A105">
        <v>68</v>
      </c>
      <c r="B105">
        <v>3</v>
      </c>
      <c r="C105">
        <v>1</v>
      </c>
      <c r="D105" t="e">
        <f t="shared" si="4"/>
        <v>#N/A</v>
      </c>
      <c r="E105" t="e">
        <f t="shared" si="5"/>
        <v>#N/A</v>
      </c>
      <c r="F105">
        <f t="shared" si="6"/>
        <v>68</v>
      </c>
      <c r="G105">
        <f t="shared" si="7"/>
        <v>3</v>
      </c>
    </row>
    <row r="106" spans="1:7" x14ac:dyDescent="0.2">
      <c r="A106">
        <v>58</v>
      </c>
      <c r="B106">
        <v>1</v>
      </c>
      <c r="C106">
        <v>1</v>
      </c>
      <c r="D106" t="e">
        <f t="shared" si="4"/>
        <v>#N/A</v>
      </c>
      <c r="E106" t="e">
        <f t="shared" si="5"/>
        <v>#N/A</v>
      </c>
      <c r="F106">
        <f t="shared" si="6"/>
        <v>58</v>
      </c>
      <c r="G106">
        <f t="shared" si="7"/>
        <v>1</v>
      </c>
    </row>
    <row r="107" spans="1:7" x14ac:dyDescent="0.2">
      <c r="A107">
        <v>29</v>
      </c>
      <c r="B107">
        <v>5</v>
      </c>
      <c r="C107">
        <v>0</v>
      </c>
      <c r="D107">
        <f t="shared" si="4"/>
        <v>29</v>
      </c>
      <c r="E107">
        <f t="shared" si="5"/>
        <v>5</v>
      </c>
      <c r="F107" t="e">
        <f t="shared" si="6"/>
        <v>#N/A</v>
      </c>
      <c r="G107" t="e">
        <f t="shared" si="7"/>
        <v>#N/A</v>
      </c>
    </row>
    <row r="108" spans="1:7" x14ac:dyDescent="0.2">
      <c r="A108">
        <v>36</v>
      </c>
      <c r="B108">
        <v>9</v>
      </c>
      <c r="C108">
        <v>0</v>
      </c>
      <c r="D108">
        <f t="shared" si="4"/>
        <v>36</v>
      </c>
      <c r="E108">
        <f t="shared" si="5"/>
        <v>9</v>
      </c>
      <c r="F108" t="e">
        <f t="shared" si="6"/>
        <v>#N/A</v>
      </c>
      <c r="G108" t="e">
        <f t="shared" si="7"/>
        <v>#N/A</v>
      </c>
    </row>
    <row r="109" spans="1:7" x14ac:dyDescent="0.2">
      <c r="A109">
        <v>21</v>
      </c>
      <c r="B109">
        <v>9</v>
      </c>
      <c r="C109">
        <v>0</v>
      </c>
      <c r="D109">
        <f t="shared" si="4"/>
        <v>21</v>
      </c>
      <c r="E109">
        <f t="shared" si="5"/>
        <v>9</v>
      </c>
      <c r="F109" t="e">
        <f t="shared" si="6"/>
        <v>#N/A</v>
      </c>
      <c r="G109" t="e">
        <f t="shared" si="7"/>
        <v>#N/A</v>
      </c>
    </row>
    <row r="110" spans="1:7" x14ac:dyDescent="0.2">
      <c r="A110">
        <v>36</v>
      </c>
      <c r="B110">
        <v>4</v>
      </c>
      <c r="C110">
        <v>1</v>
      </c>
      <c r="D110" t="e">
        <f t="shared" si="4"/>
        <v>#N/A</v>
      </c>
      <c r="E110" t="e">
        <f t="shared" si="5"/>
        <v>#N/A</v>
      </c>
      <c r="F110">
        <f t="shared" si="6"/>
        <v>36</v>
      </c>
      <c r="G110">
        <f t="shared" si="7"/>
        <v>4</v>
      </c>
    </row>
    <row r="111" spans="1:7" x14ac:dyDescent="0.2">
      <c r="A111">
        <v>10</v>
      </c>
      <c r="B111">
        <v>3</v>
      </c>
      <c r="C111">
        <v>0</v>
      </c>
      <c r="D111">
        <f t="shared" si="4"/>
        <v>10</v>
      </c>
      <c r="E111">
        <f t="shared" si="5"/>
        <v>3</v>
      </c>
      <c r="F111" t="e">
        <f t="shared" si="6"/>
        <v>#N/A</v>
      </c>
      <c r="G111" t="e">
        <f t="shared" si="7"/>
        <v>#N/A</v>
      </c>
    </row>
    <row r="112" spans="1:7" x14ac:dyDescent="0.2">
      <c r="A112">
        <v>24</v>
      </c>
      <c r="B112">
        <v>1</v>
      </c>
      <c r="C112">
        <v>0</v>
      </c>
      <c r="D112">
        <f t="shared" si="4"/>
        <v>24</v>
      </c>
      <c r="E112">
        <f t="shared" si="5"/>
        <v>1</v>
      </c>
      <c r="F112" t="e">
        <f t="shared" si="6"/>
        <v>#N/A</v>
      </c>
      <c r="G112" t="e">
        <f t="shared" si="7"/>
        <v>#N/A</v>
      </c>
    </row>
    <row r="113" spans="1:7" x14ac:dyDescent="0.2">
      <c r="A113">
        <v>64</v>
      </c>
      <c r="B113">
        <v>2</v>
      </c>
      <c r="C113">
        <v>0</v>
      </c>
      <c r="D113">
        <f t="shared" si="4"/>
        <v>64</v>
      </c>
      <c r="E113">
        <f t="shared" si="5"/>
        <v>2</v>
      </c>
      <c r="F113" t="e">
        <f t="shared" si="6"/>
        <v>#N/A</v>
      </c>
      <c r="G113" t="e">
        <f t="shared" si="7"/>
        <v>#N/A</v>
      </c>
    </row>
    <row r="114" spans="1:7" x14ac:dyDescent="0.2">
      <c r="A114">
        <v>49</v>
      </c>
      <c r="B114">
        <v>8</v>
      </c>
      <c r="C114">
        <v>0</v>
      </c>
      <c r="D114">
        <f t="shared" si="4"/>
        <v>49</v>
      </c>
      <c r="E114">
        <f t="shared" si="5"/>
        <v>8</v>
      </c>
      <c r="F114" t="e">
        <f t="shared" si="6"/>
        <v>#N/A</v>
      </c>
      <c r="G114" t="e">
        <f t="shared" si="7"/>
        <v>#N/A</v>
      </c>
    </row>
    <row r="115" spans="1:7" x14ac:dyDescent="0.2">
      <c r="A115">
        <v>36</v>
      </c>
      <c r="B115">
        <v>1</v>
      </c>
      <c r="C115">
        <v>1</v>
      </c>
      <c r="D115" t="e">
        <f t="shared" si="4"/>
        <v>#N/A</v>
      </c>
      <c r="E115" t="e">
        <f t="shared" si="5"/>
        <v>#N/A</v>
      </c>
      <c r="F115">
        <f t="shared" si="6"/>
        <v>36</v>
      </c>
      <c r="G115">
        <f t="shared" si="7"/>
        <v>1</v>
      </c>
    </row>
    <row r="116" spans="1:7" x14ac:dyDescent="0.2">
      <c r="A116">
        <v>24</v>
      </c>
      <c r="B116">
        <v>8</v>
      </c>
      <c r="C116">
        <v>0</v>
      </c>
      <c r="D116">
        <f t="shared" si="4"/>
        <v>24</v>
      </c>
      <c r="E116">
        <f t="shared" si="5"/>
        <v>8</v>
      </c>
      <c r="F116" t="e">
        <f t="shared" si="6"/>
        <v>#N/A</v>
      </c>
      <c r="G116" t="e">
        <f t="shared" si="7"/>
        <v>#N/A</v>
      </c>
    </row>
    <row r="117" spans="1:7" x14ac:dyDescent="0.2">
      <c r="A117">
        <v>23</v>
      </c>
      <c r="B117">
        <v>7</v>
      </c>
      <c r="C117">
        <v>1</v>
      </c>
      <c r="D117" t="e">
        <f t="shared" si="4"/>
        <v>#N/A</v>
      </c>
      <c r="E117" t="e">
        <f t="shared" si="5"/>
        <v>#N/A</v>
      </c>
      <c r="F117">
        <f t="shared" si="6"/>
        <v>23</v>
      </c>
      <c r="G117">
        <f t="shared" si="7"/>
        <v>7</v>
      </c>
    </row>
    <row r="118" spans="1:7" x14ac:dyDescent="0.2">
      <c r="A118">
        <v>62</v>
      </c>
      <c r="B118">
        <v>8</v>
      </c>
      <c r="C118">
        <v>1</v>
      </c>
      <c r="D118" t="e">
        <f t="shared" si="4"/>
        <v>#N/A</v>
      </c>
      <c r="E118" t="e">
        <f t="shared" si="5"/>
        <v>#N/A</v>
      </c>
      <c r="F118">
        <f t="shared" si="6"/>
        <v>62</v>
      </c>
      <c r="G118">
        <f t="shared" si="7"/>
        <v>8</v>
      </c>
    </row>
    <row r="119" spans="1:7" x14ac:dyDescent="0.2">
      <c r="A119">
        <v>37</v>
      </c>
      <c r="B119">
        <v>6</v>
      </c>
      <c r="C119">
        <v>1</v>
      </c>
      <c r="D119" t="e">
        <f t="shared" si="4"/>
        <v>#N/A</v>
      </c>
      <c r="E119" t="e">
        <f t="shared" si="5"/>
        <v>#N/A</v>
      </c>
      <c r="F119">
        <f t="shared" si="6"/>
        <v>37</v>
      </c>
      <c r="G119">
        <f t="shared" si="7"/>
        <v>6</v>
      </c>
    </row>
    <row r="120" spans="1:7" x14ac:dyDescent="0.2">
      <c r="A120">
        <v>12</v>
      </c>
      <c r="B120">
        <v>9</v>
      </c>
      <c r="C120">
        <v>0</v>
      </c>
      <c r="D120">
        <f t="shared" si="4"/>
        <v>12</v>
      </c>
      <c r="E120">
        <f t="shared" si="5"/>
        <v>9</v>
      </c>
      <c r="F120" t="e">
        <f t="shared" si="6"/>
        <v>#N/A</v>
      </c>
      <c r="G120" t="e">
        <f t="shared" si="7"/>
        <v>#N/A</v>
      </c>
    </row>
    <row r="121" spans="1:7" x14ac:dyDescent="0.2">
      <c r="A121">
        <v>55</v>
      </c>
      <c r="B121">
        <v>3</v>
      </c>
      <c r="C121">
        <v>0</v>
      </c>
      <c r="D121">
        <f t="shared" si="4"/>
        <v>55</v>
      </c>
      <c r="E121">
        <f t="shared" si="5"/>
        <v>3</v>
      </c>
      <c r="F121" t="e">
        <f t="shared" si="6"/>
        <v>#N/A</v>
      </c>
      <c r="G121" t="e">
        <f t="shared" si="7"/>
        <v>#N/A</v>
      </c>
    </row>
    <row r="122" spans="1:7" x14ac:dyDescent="0.2">
      <c r="A122">
        <v>13</v>
      </c>
      <c r="B122">
        <v>10</v>
      </c>
      <c r="C122">
        <v>0</v>
      </c>
      <c r="D122">
        <f t="shared" si="4"/>
        <v>13</v>
      </c>
      <c r="E122">
        <f t="shared" si="5"/>
        <v>10</v>
      </c>
      <c r="F122" t="e">
        <f t="shared" si="6"/>
        <v>#N/A</v>
      </c>
      <c r="G122" t="e">
        <f t="shared" si="7"/>
        <v>#N/A</v>
      </c>
    </row>
    <row r="123" spans="1:7" x14ac:dyDescent="0.2">
      <c r="A123">
        <v>23</v>
      </c>
      <c r="B123">
        <v>4</v>
      </c>
      <c r="C123">
        <v>1</v>
      </c>
      <c r="D123" t="e">
        <f t="shared" si="4"/>
        <v>#N/A</v>
      </c>
      <c r="E123" t="e">
        <f t="shared" si="5"/>
        <v>#N/A</v>
      </c>
      <c r="F123">
        <f t="shared" si="6"/>
        <v>23</v>
      </c>
      <c r="G123">
        <f t="shared" si="7"/>
        <v>4</v>
      </c>
    </row>
    <row r="124" spans="1:7" x14ac:dyDescent="0.2">
      <c r="A124">
        <v>30</v>
      </c>
      <c r="B124">
        <v>6</v>
      </c>
      <c r="C124">
        <v>0</v>
      </c>
      <c r="D124">
        <f t="shared" si="4"/>
        <v>30</v>
      </c>
      <c r="E124">
        <f t="shared" si="5"/>
        <v>6</v>
      </c>
      <c r="F124" t="e">
        <f t="shared" si="6"/>
        <v>#N/A</v>
      </c>
      <c r="G124" t="e">
        <f t="shared" si="7"/>
        <v>#N/A</v>
      </c>
    </row>
    <row r="125" spans="1:7" x14ac:dyDescent="0.2">
      <c r="A125">
        <v>17</v>
      </c>
      <c r="B125">
        <v>8</v>
      </c>
      <c r="C125">
        <v>0</v>
      </c>
      <c r="D125">
        <f t="shared" si="4"/>
        <v>17</v>
      </c>
      <c r="E125">
        <f t="shared" si="5"/>
        <v>8</v>
      </c>
      <c r="F125" t="e">
        <f t="shared" si="6"/>
        <v>#N/A</v>
      </c>
      <c r="G125" t="e">
        <f t="shared" si="7"/>
        <v>#N/A</v>
      </c>
    </row>
    <row r="126" spans="1:7" x14ac:dyDescent="0.2">
      <c r="A126">
        <v>62</v>
      </c>
      <c r="B126">
        <v>5</v>
      </c>
      <c r="C126">
        <v>0</v>
      </c>
      <c r="D126">
        <f t="shared" si="4"/>
        <v>62</v>
      </c>
      <c r="E126">
        <f t="shared" si="5"/>
        <v>5</v>
      </c>
      <c r="F126" t="e">
        <f t="shared" si="6"/>
        <v>#N/A</v>
      </c>
      <c r="G126" t="e">
        <f t="shared" si="7"/>
        <v>#N/A</v>
      </c>
    </row>
    <row r="127" spans="1:7" x14ac:dyDescent="0.2">
      <c r="A127">
        <v>13</v>
      </c>
      <c r="B127">
        <v>3</v>
      </c>
      <c r="C127">
        <v>0</v>
      </c>
      <c r="D127">
        <f t="shared" si="4"/>
        <v>13</v>
      </c>
      <c r="E127">
        <f t="shared" si="5"/>
        <v>3</v>
      </c>
      <c r="F127" t="e">
        <f t="shared" si="6"/>
        <v>#N/A</v>
      </c>
      <c r="G127" t="e">
        <f t="shared" si="7"/>
        <v>#N/A</v>
      </c>
    </row>
    <row r="128" spans="1:7" x14ac:dyDescent="0.2">
      <c r="A128">
        <v>59</v>
      </c>
      <c r="B128">
        <v>6</v>
      </c>
      <c r="C128">
        <v>0</v>
      </c>
      <c r="D128">
        <f t="shared" si="4"/>
        <v>59</v>
      </c>
      <c r="E128">
        <f t="shared" si="5"/>
        <v>6</v>
      </c>
      <c r="F128" t="e">
        <f t="shared" si="6"/>
        <v>#N/A</v>
      </c>
      <c r="G128" t="e">
        <f t="shared" si="7"/>
        <v>#N/A</v>
      </c>
    </row>
    <row r="129" spans="1:7" x14ac:dyDescent="0.2">
      <c r="A129">
        <v>19</v>
      </c>
      <c r="B129">
        <v>4</v>
      </c>
      <c r="C129">
        <v>0</v>
      </c>
      <c r="D129">
        <f t="shared" si="4"/>
        <v>19</v>
      </c>
      <c r="E129">
        <f t="shared" si="5"/>
        <v>4</v>
      </c>
      <c r="F129" t="e">
        <f t="shared" si="6"/>
        <v>#N/A</v>
      </c>
      <c r="G129" t="e">
        <f t="shared" si="7"/>
        <v>#N/A</v>
      </c>
    </row>
    <row r="130" spans="1:7" x14ac:dyDescent="0.2">
      <c r="A130">
        <v>49</v>
      </c>
      <c r="B130">
        <v>9</v>
      </c>
      <c r="C130">
        <v>1</v>
      </c>
      <c r="D130" t="e">
        <f t="shared" si="4"/>
        <v>#N/A</v>
      </c>
      <c r="E130" t="e">
        <f t="shared" si="5"/>
        <v>#N/A</v>
      </c>
      <c r="F130">
        <f t="shared" si="6"/>
        <v>49</v>
      </c>
      <c r="G130">
        <f t="shared" si="7"/>
        <v>9</v>
      </c>
    </row>
    <row r="131" spans="1:7" x14ac:dyDescent="0.2">
      <c r="A131">
        <v>12</v>
      </c>
      <c r="B131">
        <v>3</v>
      </c>
      <c r="C131">
        <v>1</v>
      </c>
      <c r="D131" t="e">
        <f t="shared" ref="D131:D194" si="8" xml:space="preserve"> IF($C131=0, $A131, NA())</f>
        <v>#N/A</v>
      </c>
      <c r="E131" t="e">
        <f t="shared" ref="E131:E194" si="9" xml:space="preserve"> IF($C131=0, B131, NA())</f>
        <v>#N/A</v>
      </c>
      <c r="F131">
        <f t="shared" ref="F131:F194" si="10" xml:space="preserve"> IF($C131=1, A131, NA())</f>
        <v>12</v>
      </c>
      <c r="G131">
        <f t="shared" ref="G131:G194" si="11" xml:space="preserve"> IF($C131=1, $B131, NA())</f>
        <v>3</v>
      </c>
    </row>
    <row r="132" spans="1:7" x14ac:dyDescent="0.2">
      <c r="A132">
        <v>61</v>
      </c>
      <c r="B132">
        <v>4</v>
      </c>
      <c r="C132">
        <v>1</v>
      </c>
      <c r="D132" t="e">
        <f t="shared" si="8"/>
        <v>#N/A</v>
      </c>
      <c r="E132" t="e">
        <f t="shared" si="9"/>
        <v>#N/A</v>
      </c>
      <c r="F132">
        <f t="shared" si="10"/>
        <v>61</v>
      </c>
      <c r="G132">
        <f t="shared" si="11"/>
        <v>4</v>
      </c>
    </row>
    <row r="133" spans="1:7" x14ac:dyDescent="0.2">
      <c r="A133">
        <v>19</v>
      </c>
      <c r="B133">
        <v>7</v>
      </c>
      <c r="C133">
        <v>1</v>
      </c>
      <c r="D133" t="e">
        <f t="shared" si="8"/>
        <v>#N/A</v>
      </c>
      <c r="E133" t="e">
        <f t="shared" si="9"/>
        <v>#N/A</v>
      </c>
      <c r="F133">
        <f t="shared" si="10"/>
        <v>19</v>
      </c>
      <c r="G133">
        <f t="shared" si="11"/>
        <v>7</v>
      </c>
    </row>
    <row r="134" spans="1:7" x14ac:dyDescent="0.2">
      <c r="A134">
        <v>9</v>
      </c>
      <c r="B134">
        <v>7</v>
      </c>
      <c r="C134">
        <v>1</v>
      </c>
      <c r="D134" t="e">
        <f t="shared" si="8"/>
        <v>#N/A</v>
      </c>
      <c r="E134" t="e">
        <f t="shared" si="9"/>
        <v>#N/A</v>
      </c>
      <c r="F134">
        <f t="shared" si="10"/>
        <v>9</v>
      </c>
      <c r="G134">
        <f t="shared" si="11"/>
        <v>7</v>
      </c>
    </row>
    <row r="135" spans="1:7" x14ac:dyDescent="0.2">
      <c r="A135">
        <v>71</v>
      </c>
      <c r="B135">
        <v>4</v>
      </c>
      <c r="C135">
        <v>1</v>
      </c>
      <c r="D135" t="e">
        <f t="shared" si="8"/>
        <v>#N/A</v>
      </c>
      <c r="E135" t="e">
        <f t="shared" si="9"/>
        <v>#N/A</v>
      </c>
      <c r="F135">
        <f t="shared" si="10"/>
        <v>71</v>
      </c>
      <c r="G135">
        <f t="shared" si="11"/>
        <v>4</v>
      </c>
    </row>
    <row r="136" spans="1:7" x14ac:dyDescent="0.2">
      <c r="A136">
        <v>28</v>
      </c>
      <c r="B136">
        <v>6</v>
      </c>
      <c r="C136">
        <v>0</v>
      </c>
      <c r="D136">
        <f t="shared" si="8"/>
        <v>28</v>
      </c>
      <c r="E136">
        <f t="shared" si="9"/>
        <v>6</v>
      </c>
      <c r="F136" t="e">
        <f t="shared" si="10"/>
        <v>#N/A</v>
      </c>
      <c r="G136" t="e">
        <f t="shared" si="11"/>
        <v>#N/A</v>
      </c>
    </row>
    <row r="137" spans="1:7" x14ac:dyDescent="0.2">
      <c r="A137">
        <v>52</v>
      </c>
      <c r="B137">
        <v>3</v>
      </c>
      <c r="C137">
        <v>1</v>
      </c>
      <c r="D137" t="e">
        <f t="shared" si="8"/>
        <v>#N/A</v>
      </c>
      <c r="E137" t="e">
        <f t="shared" si="9"/>
        <v>#N/A</v>
      </c>
      <c r="F137">
        <f t="shared" si="10"/>
        <v>52</v>
      </c>
      <c r="G137">
        <f t="shared" si="11"/>
        <v>3</v>
      </c>
    </row>
    <row r="138" spans="1:7" x14ac:dyDescent="0.2">
      <c r="A138">
        <v>16</v>
      </c>
      <c r="B138">
        <v>6</v>
      </c>
      <c r="C138">
        <v>1</v>
      </c>
      <c r="D138" t="e">
        <f t="shared" si="8"/>
        <v>#N/A</v>
      </c>
      <c r="E138" t="e">
        <f t="shared" si="9"/>
        <v>#N/A</v>
      </c>
      <c r="F138">
        <f t="shared" si="10"/>
        <v>16</v>
      </c>
      <c r="G138">
        <f t="shared" si="11"/>
        <v>6</v>
      </c>
    </row>
    <row r="139" spans="1:7" x14ac:dyDescent="0.2">
      <c r="A139">
        <v>69</v>
      </c>
      <c r="B139">
        <v>2</v>
      </c>
      <c r="C139">
        <v>0</v>
      </c>
      <c r="D139">
        <f t="shared" si="8"/>
        <v>69</v>
      </c>
      <c r="E139">
        <f t="shared" si="9"/>
        <v>2</v>
      </c>
      <c r="F139" t="e">
        <f t="shared" si="10"/>
        <v>#N/A</v>
      </c>
      <c r="G139" t="e">
        <f t="shared" si="11"/>
        <v>#N/A</v>
      </c>
    </row>
    <row r="140" spans="1:7" x14ac:dyDescent="0.2">
      <c r="A140">
        <v>12</v>
      </c>
      <c r="B140">
        <v>8</v>
      </c>
      <c r="C140">
        <v>0</v>
      </c>
      <c r="D140">
        <f t="shared" si="8"/>
        <v>12</v>
      </c>
      <c r="E140">
        <f t="shared" si="9"/>
        <v>8</v>
      </c>
      <c r="F140" t="e">
        <f t="shared" si="10"/>
        <v>#N/A</v>
      </c>
      <c r="G140" t="e">
        <f t="shared" si="11"/>
        <v>#N/A</v>
      </c>
    </row>
    <row r="141" spans="1:7" x14ac:dyDescent="0.2">
      <c r="A141">
        <v>25</v>
      </c>
      <c r="B141">
        <v>2</v>
      </c>
      <c r="C141">
        <v>1</v>
      </c>
      <c r="D141" t="e">
        <f t="shared" si="8"/>
        <v>#N/A</v>
      </c>
      <c r="E141" t="e">
        <f t="shared" si="9"/>
        <v>#N/A</v>
      </c>
      <c r="F141">
        <f t="shared" si="10"/>
        <v>25</v>
      </c>
      <c r="G141">
        <f t="shared" si="11"/>
        <v>2</v>
      </c>
    </row>
    <row r="142" spans="1:7" x14ac:dyDescent="0.2">
      <c r="A142">
        <v>52</v>
      </c>
      <c r="B142">
        <v>7</v>
      </c>
      <c r="C142">
        <v>0</v>
      </c>
      <c r="D142">
        <f t="shared" si="8"/>
        <v>52</v>
      </c>
      <c r="E142">
        <f t="shared" si="9"/>
        <v>7</v>
      </c>
      <c r="F142" t="e">
        <f t="shared" si="10"/>
        <v>#N/A</v>
      </c>
      <c r="G142" t="e">
        <f t="shared" si="11"/>
        <v>#N/A</v>
      </c>
    </row>
    <row r="143" spans="1:7" x14ac:dyDescent="0.2">
      <c r="A143">
        <v>53</v>
      </c>
      <c r="B143">
        <v>9</v>
      </c>
      <c r="C143">
        <v>0</v>
      </c>
      <c r="D143">
        <f t="shared" si="8"/>
        <v>53</v>
      </c>
      <c r="E143">
        <f t="shared" si="9"/>
        <v>9</v>
      </c>
      <c r="F143" t="e">
        <f t="shared" si="10"/>
        <v>#N/A</v>
      </c>
      <c r="G143" t="e">
        <f t="shared" si="11"/>
        <v>#N/A</v>
      </c>
    </row>
    <row r="144" spans="1:7" x14ac:dyDescent="0.2">
      <c r="A144">
        <v>23</v>
      </c>
      <c r="B144">
        <v>1</v>
      </c>
      <c r="C144">
        <v>1</v>
      </c>
      <c r="D144" t="e">
        <f t="shared" si="8"/>
        <v>#N/A</v>
      </c>
      <c r="E144" t="e">
        <f t="shared" si="9"/>
        <v>#N/A</v>
      </c>
      <c r="F144">
        <f t="shared" si="10"/>
        <v>23</v>
      </c>
      <c r="G144">
        <f t="shared" si="11"/>
        <v>1</v>
      </c>
    </row>
    <row r="145" spans="1:7" x14ac:dyDescent="0.2">
      <c r="A145">
        <v>16</v>
      </c>
      <c r="B145">
        <v>8</v>
      </c>
      <c r="C145">
        <v>0</v>
      </c>
      <c r="D145">
        <f t="shared" si="8"/>
        <v>16</v>
      </c>
      <c r="E145">
        <f t="shared" si="9"/>
        <v>8</v>
      </c>
      <c r="F145" t="e">
        <f t="shared" si="10"/>
        <v>#N/A</v>
      </c>
      <c r="G145" t="e">
        <f t="shared" si="11"/>
        <v>#N/A</v>
      </c>
    </row>
    <row r="146" spans="1:7" x14ac:dyDescent="0.2">
      <c r="A146">
        <v>57</v>
      </c>
      <c r="B146">
        <v>7</v>
      </c>
      <c r="C146">
        <v>0</v>
      </c>
      <c r="D146">
        <f t="shared" si="8"/>
        <v>57</v>
      </c>
      <c r="E146">
        <f t="shared" si="9"/>
        <v>7</v>
      </c>
      <c r="F146" t="e">
        <f t="shared" si="10"/>
        <v>#N/A</v>
      </c>
      <c r="G146" t="e">
        <f t="shared" si="11"/>
        <v>#N/A</v>
      </c>
    </row>
    <row r="147" spans="1:7" x14ac:dyDescent="0.2">
      <c r="A147">
        <v>39</v>
      </c>
      <c r="B147">
        <v>6</v>
      </c>
      <c r="C147">
        <v>0</v>
      </c>
      <c r="D147">
        <f t="shared" si="8"/>
        <v>39</v>
      </c>
      <c r="E147">
        <f t="shared" si="9"/>
        <v>6</v>
      </c>
      <c r="F147" t="e">
        <f t="shared" si="10"/>
        <v>#N/A</v>
      </c>
      <c r="G147" t="e">
        <f t="shared" si="11"/>
        <v>#N/A</v>
      </c>
    </row>
    <row r="148" spans="1:7" x14ac:dyDescent="0.2">
      <c r="A148">
        <v>53</v>
      </c>
      <c r="B148">
        <v>6</v>
      </c>
      <c r="C148">
        <v>0</v>
      </c>
      <c r="D148">
        <f t="shared" si="8"/>
        <v>53</v>
      </c>
      <c r="E148">
        <f t="shared" si="9"/>
        <v>6</v>
      </c>
      <c r="F148" t="e">
        <f t="shared" si="10"/>
        <v>#N/A</v>
      </c>
      <c r="G148" t="e">
        <f t="shared" si="11"/>
        <v>#N/A</v>
      </c>
    </row>
    <row r="149" spans="1:7" x14ac:dyDescent="0.2">
      <c r="A149">
        <v>42</v>
      </c>
      <c r="B149">
        <v>6</v>
      </c>
      <c r="C149">
        <v>0</v>
      </c>
      <c r="D149">
        <f t="shared" si="8"/>
        <v>42</v>
      </c>
      <c r="E149">
        <f t="shared" si="9"/>
        <v>6</v>
      </c>
      <c r="F149" t="e">
        <f t="shared" si="10"/>
        <v>#N/A</v>
      </c>
      <c r="G149" t="e">
        <f t="shared" si="11"/>
        <v>#N/A</v>
      </c>
    </row>
    <row r="150" spans="1:7" x14ac:dyDescent="0.2">
      <c r="A150">
        <v>58</v>
      </c>
      <c r="B150">
        <v>9</v>
      </c>
      <c r="C150">
        <v>1</v>
      </c>
      <c r="D150" t="e">
        <f t="shared" si="8"/>
        <v>#N/A</v>
      </c>
      <c r="E150" t="e">
        <f t="shared" si="9"/>
        <v>#N/A</v>
      </c>
      <c r="F150">
        <f t="shared" si="10"/>
        <v>58</v>
      </c>
      <c r="G150">
        <f t="shared" si="11"/>
        <v>9</v>
      </c>
    </row>
    <row r="151" spans="1:7" x14ac:dyDescent="0.2">
      <c r="A151">
        <v>39</v>
      </c>
      <c r="B151">
        <v>2</v>
      </c>
      <c r="C151">
        <v>1</v>
      </c>
      <c r="D151" t="e">
        <f t="shared" si="8"/>
        <v>#N/A</v>
      </c>
      <c r="E151" t="e">
        <f t="shared" si="9"/>
        <v>#N/A</v>
      </c>
      <c r="F151">
        <f t="shared" si="10"/>
        <v>39</v>
      </c>
      <c r="G151">
        <f t="shared" si="11"/>
        <v>2</v>
      </c>
    </row>
    <row r="152" spans="1:7" x14ac:dyDescent="0.2">
      <c r="A152">
        <v>14</v>
      </c>
      <c r="B152">
        <v>1</v>
      </c>
      <c r="C152">
        <v>1</v>
      </c>
      <c r="D152" t="e">
        <f t="shared" si="8"/>
        <v>#N/A</v>
      </c>
      <c r="E152" t="e">
        <f t="shared" si="9"/>
        <v>#N/A</v>
      </c>
      <c r="F152">
        <f t="shared" si="10"/>
        <v>14</v>
      </c>
      <c r="G152">
        <f t="shared" si="11"/>
        <v>1</v>
      </c>
    </row>
    <row r="153" spans="1:7" x14ac:dyDescent="0.2">
      <c r="A153">
        <v>5</v>
      </c>
      <c r="B153">
        <v>6</v>
      </c>
      <c r="C153">
        <v>0</v>
      </c>
      <c r="D153">
        <f t="shared" si="8"/>
        <v>5</v>
      </c>
      <c r="E153">
        <f t="shared" si="9"/>
        <v>6</v>
      </c>
      <c r="F153" t="e">
        <f t="shared" si="10"/>
        <v>#N/A</v>
      </c>
      <c r="G153" t="e">
        <f t="shared" si="11"/>
        <v>#N/A</v>
      </c>
    </row>
    <row r="154" spans="1:7" x14ac:dyDescent="0.2">
      <c r="A154">
        <v>35</v>
      </c>
      <c r="B154">
        <v>10</v>
      </c>
      <c r="C154">
        <v>0</v>
      </c>
      <c r="D154">
        <f t="shared" si="8"/>
        <v>35</v>
      </c>
      <c r="E154">
        <f t="shared" si="9"/>
        <v>10</v>
      </c>
      <c r="F154" t="e">
        <f t="shared" si="10"/>
        <v>#N/A</v>
      </c>
      <c r="G154" t="e">
        <f t="shared" si="11"/>
        <v>#N/A</v>
      </c>
    </row>
    <row r="155" spans="1:7" x14ac:dyDescent="0.2">
      <c r="A155">
        <v>18</v>
      </c>
      <c r="B155">
        <v>8</v>
      </c>
      <c r="C155">
        <v>1</v>
      </c>
      <c r="D155" t="e">
        <f t="shared" si="8"/>
        <v>#N/A</v>
      </c>
      <c r="E155" t="e">
        <f t="shared" si="9"/>
        <v>#N/A</v>
      </c>
      <c r="F155">
        <f t="shared" si="10"/>
        <v>18</v>
      </c>
      <c r="G155">
        <f t="shared" si="11"/>
        <v>8</v>
      </c>
    </row>
    <row r="156" spans="1:7" x14ac:dyDescent="0.2">
      <c r="A156">
        <v>9</v>
      </c>
      <c r="B156">
        <v>3</v>
      </c>
      <c r="C156">
        <v>0</v>
      </c>
      <c r="D156">
        <f t="shared" si="8"/>
        <v>9</v>
      </c>
      <c r="E156">
        <f t="shared" si="9"/>
        <v>3</v>
      </c>
      <c r="F156" t="e">
        <f t="shared" si="10"/>
        <v>#N/A</v>
      </c>
      <c r="G156" t="e">
        <f t="shared" si="11"/>
        <v>#N/A</v>
      </c>
    </row>
    <row r="157" spans="1:7" x14ac:dyDescent="0.2">
      <c r="A157">
        <v>58</v>
      </c>
      <c r="B157">
        <v>10</v>
      </c>
      <c r="C157">
        <v>0</v>
      </c>
      <c r="D157">
        <f t="shared" si="8"/>
        <v>58</v>
      </c>
      <c r="E157">
        <f t="shared" si="9"/>
        <v>10</v>
      </c>
      <c r="F157" t="e">
        <f t="shared" si="10"/>
        <v>#N/A</v>
      </c>
      <c r="G157" t="e">
        <f t="shared" si="11"/>
        <v>#N/A</v>
      </c>
    </row>
    <row r="158" spans="1:7" x14ac:dyDescent="0.2">
      <c r="A158">
        <v>17</v>
      </c>
      <c r="B158">
        <v>1</v>
      </c>
      <c r="C158">
        <v>1</v>
      </c>
      <c r="D158" t="e">
        <f t="shared" si="8"/>
        <v>#N/A</v>
      </c>
      <c r="E158" t="e">
        <f t="shared" si="9"/>
        <v>#N/A</v>
      </c>
      <c r="F158">
        <f t="shared" si="10"/>
        <v>17</v>
      </c>
      <c r="G158">
        <f t="shared" si="11"/>
        <v>1</v>
      </c>
    </row>
    <row r="159" spans="1:7" x14ac:dyDescent="0.2">
      <c r="A159">
        <v>7</v>
      </c>
      <c r="B159">
        <v>9</v>
      </c>
      <c r="C159">
        <v>0</v>
      </c>
      <c r="D159">
        <f t="shared" si="8"/>
        <v>7</v>
      </c>
      <c r="E159">
        <f t="shared" si="9"/>
        <v>9</v>
      </c>
      <c r="F159" t="e">
        <f t="shared" si="10"/>
        <v>#N/A</v>
      </c>
      <c r="G159" t="e">
        <f t="shared" si="11"/>
        <v>#N/A</v>
      </c>
    </row>
    <row r="160" spans="1:7" x14ac:dyDescent="0.2">
      <c r="A160">
        <v>46</v>
      </c>
      <c r="B160">
        <v>1</v>
      </c>
      <c r="C160">
        <v>0</v>
      </c>
      <c r="D160">
        <f t="shared" si="8"/>
        <v>46</v>
      </c>
      <c r="E160">
        <f t="shared" si="9"/>
        <v>1</v>
      </c>
      <c r="F160" t="e">
        <f t="shared" si="10"/>
        <v>#N/A</v>
      </c>
      <c r="G160" t="e">
        <f t="shared" si="11"/>
        <v>#N/A</v>
      </c>
    </row>
    <row r="161" spans="1:7" x14ac:dyDescent="0.2">
      <c r="A161">
        <v>13</v>
      </c>
      <c r="B161">
        <v>3</v>
      </c>
      <c r="C161">
        <v>1</v>
      </c>
      <c r="D161" t="e">
        <f t="shared" si="8"/>
        <v>#N/A</v>
      </c>
      <c r="E161" t="e">
        <f t="shared" si="9"/>
        <v>#N/A</v>
      </c>
      <c r="F161">
        <f t="shared" si="10"/>
        <v>13</v>
      </c>
      <c r="G161">
        <f t="shared" si="11"/>
        <v>3</v>
      </c>
    </row>
    <row r="162" spans="1:7" x14ac:dyDescent="0.2">
      <c r="A162">
        <v>40</v>
      </c>
      <c r="B162">
        <v>8</v>
      </c>
      <c r="C162">
        <v>0</v>
      </c>
      <c r="D162">
        <f t="shared" si="8"/>
        <v>40</v>
      </c>
      <c r="E162">
        <f t="shared" si="9"/>
        <v>8</v>
      </c>
      <c r="F162" t="e">
        <f t="shared" si="10"/>
        <v>#N/A</v>
      </c>
      <c r="G162" t="e">
        <f t="shared" si="11"/>
        <v>#N/A</v>
      </c>
    </row>
    <row r="163" spans="1:7" x14ac:dyDescent="0.2">
      <c r="A163">
        <v>42</v>
      </c>
      <c r="B163">
        <v>3</v>
      </c>
      <c r="C163">
        <v>0</v>
      </c>
      <c r="D163">
        <f t="shared" si="8"/>
        <v>42</v>
      </c>
      <c r="E163">
        <f t="shared" si="9"/>
        <v>3</v>
      </c>
      <c r="F163" t="e">
        <f t="shared" si="10"/>
        <v>#N/A</v>
      </c>
      <c r="G163" t="e">
        <f t="shared" si="11"/>
        <v>#N/A</v>
      </c>
    </row>
    <row r="164" spans="1:7" x14ac:dyDescent="0.2">
      <c r="A164">
        <v>9</v>
      </c>
      <c r="B164">
        <v>4</v>
      </c>
      <c r="C164">
        <v>1</v>
      </c>
      <c r="D164" t="e">
        <f t="shared" si="8"/>
        <v>#N/A</v>
      </c>
      <c r="E164" t="e">
        <f t="shared" si="9"/>
        <v>#N/A</v>
      </c>
      <c r="F164">
        <f t="shared" si="10"/>
        <v>9</v>
      </c>
      <c r="G164">
        <f t="shared" si="11"/>
        <v>4</v>
      </c>
    </row>
    <row r="165" spans="1:7" x14ac:dyDescent="0.2">
      <c r="A165">
        <v>50</v>
      </c>
      <c r="B165">
        <v>8</v>
      </c>
      <c r="C165">
        <v>0</v>
      </c>
      <c r="D165">
        <f t="shared" si="8"/>
        <v>50</v>
      </c>
      <c r="E165">
        <f t="shared" si="9"/>
        <v>8</v>
      </c>
      <c r="F165" t="e">
        <f t="shared" si="10"/>
        <v>#N/A</v>
      </c>
      <c r="G165" t="e">
        <f t="shared" si="11"/>
        <v>#N/A</v>
      </c>
    </row>
    <row r="166" spans="1:7" x14ac:dyDescent="0.2">
      <c r="A166">
        <v>27</v>
      </c>
      <c r="B166">
        <v>1</v>
      </c>
      <c r="C166">
        <v>1</v>
      </c>
      <c r="D166" t="e">
        <f t="shared" si="8"/>
        <v>#N/A</v>
      </c>
      <c r="E166" t="e">
        <f t="shared" si="9"/>
        <v>#N/A</v>
      </c>
      <c r="F166">
        <f t="shared" si="10"/>
        <v>27</v>
      </c>
      <c r="G166">
        <f t="shared" si="11"/>
        <v>1</v>
      </c>
    </row>
    <row r="167" spans="1:7" x14ac:dyDescent="0.2">
      <c r="A167">
        <v>66</v>
      </c>
      <c r="B167">
        <v>6</v>
      </c>
      <c r="C167">
        <v>1</v>
      </c>
      <c r="D167" t="e">
        <f t="shared" si="8"/>
        <v>#N/A</v>
      </c>
      <c r="E167" t="e">
        <f t="shared" si="9"/>
        <v>#N/A</v>
      </c>
      <c r="F167">
        <f t="shared" si="10"/>
        <v>66</v>
      </c>
      <c r="G167">
        <f t="shared" si="11"/>
        <v>6</v>
      </c>
    </row>
    <row r="168" spans="1:7" x14ac:dyDescent="0.2">
      <c r="A168">
        <v>5</v>
      </c>
      <c r="B168">
        <v>1</v>
      </c>
      <c r="C168">
        <v>1</v>
      </c>
      <c r="D168" t="e">
        <f t="shared" si="8"/>
        <v>#N/A</v>
      </c>
      <c r="E168" t="e">
        <f t="shared" si="9"/>
        <v>#N/A</v>
      </c>
      <c r="F168">
        <f t="shared" si="10"/>
        <v>5</v>
      </c>
      <c r="G168">
        <f t="shared" si="11"/>
        <v>1</v>
      </c>
    </row>
    <row r="169" spans="1:7" x14ac:dyDescent="0.2">
      <c r="A169">
        <v>29</v>
      </c>
      <c r="B169">
        <v>1</v>
      </c>
      <c r="C169">
        <v>1</v>
      </c>
      <c r="D169" t="e">
        <f t="shared" si="8"/>
        <v>#N/A</v>
      </c>
      <c r="E169" t="e">
        <f t="shared" si="9"/>
        <v>#N/A</v>
      </c>
      <c r="F169">
        <f t="shared" si="10"/>
        <v>29</v>
      </c>
      <c r="G169">
        <f t="shared" si="11"/>
        <v>1</v>
      </c>
    </row>
    <row r="170" spans="1:7" x14ac:dyDescent="0.2">
      <c r="A170">
        <v>37</v>
      </c>
      <c r="B170">
        <v>8</v>
      </c>
      <c r="C170">
        <v>1</v>
      </c>
      <c r="D170" t="e">
        <f t="shared" si="8"/>
        <v>#N/A</v>
      </c>
      <c r="E170" t="e">
        <f t="shared" si="9"/>
        <v>#N/A</v>
      </c>
      <c r="F170">
        <f t="shared" si="10"/>
        <v>37</v>
      </c>
      <c r="G170">
        <f t="shared" si="11"/>
        <v>8</v>
      </c>
    </row>
    <row r="171" spans="1:7" x14ac:dyDescent="0.2">
      <c r="A171">
        <v>38</v>
      </c>
      <c r="B171">
        <v>4</v>
      </c>
      <c r="C171">
        <v>1</v>
      </c>
      <c r="D171" t="e">
        <f t="shared" si="8"/>
        <v>#N/A</v>
      </c>
      <c r="E171" t="e">
        <f t="shared" si="9"/>
        <v>#N/A</v>
      </c>
      <c r="F171">
        <f t="shared" si="10"/>
        <v>38</v>
      </c>
      <c r="G171">
        <f t="shared" si="11"/>
        <v>4</v>
      </c>
    </row>
    <row r="172" spans="1:7" x14ac:dyDescent="0.2">
      <c r="A172">
        <v>8</v>
      </c>
      <c r="B172">
        <v>1</v>
      </c>
      <c r="C172">
        <v>0</v>
      </c>
      <c r="D172">
        <f t="shared" si="8"/>
        <v>8</v>
      </c>
      <c r="E172">
        <f t="shared" si="9"/>
        <v>1</v>
      </c>
      <c r="F172" t="e">
        <f t="shared" si="10"/>
        <v>#N/A</v>
      </c>
      <c r="G172" t="e">
        <f t="shared" si="11"/>
        <v>#N/A</v>
      </c>
    </row>
    <row r="173" spans="1:7" x14ac:dyDescent="0.2">
      <c r="A173">
        <v>65</v>
      </c>
      <c r="B173">
        <v>10</v>
      </c>
      <c r="C173">
        <v>0</v>
      </c>
      <c r="D173">
        <f t="shared" si="8"/>
        <v>65</v>
      </c>
      <c r="E173">
        <f t="shared" si="9"/>
        <v>10</v>
      </c>
      <c r="F173" t="e">
        <f t="shared" si="10"/>
        <v>#N/A</v>
      </c>
      <c r="G173" t="e">
        <f t="shared" si="11"/>
        <v>#N/A</v>
      </c>
    </row>
    <row r="174" spans="1:7" x14ac:dyDescent="0.2">
      <c r="A174">
        <v>17</v>
      </c>
      <c r="B174">
        <v>7</v>
      </c>
      <c r="C174">
        <v>0</v>
      </c>
      <c r="D174">
        <f t="shared" si="8"/>
        <v>17</v>
      </c>
      <c r="E174">
        <f t="shared" si="9"/>
        <v>7</v>
      </c>
      <c r="F174" t="e">
        <f t="shared" si="10"/>
        <v>#N/A</v>
      </c>
      <c r="G174" t="e">
        <f t="shared" si="11"/>
        <v>#N/A</v>
      </c>
    </row>
    <row r="175" spans="1:7" x14ac:dyDescent="0.2">
      <c r="A175">
        <v>71</v>
      </c>
      <c r="B175">
        <v>5</v>
      </c>
      <c r="C175">
        <v>0</v>
      </c>
      <c r="D175">
        <f t="shared" si="8"/>
        <v>71</v>
      </c>
      <c r="E175">
        <f t="shared" si="9"/>
        <v>5</v>
      </c>
      <c r="F175" t="e">
        <f t="shared" si="10"/>
        <v>#N/A</v>
      </c>
      <c r="G175" t="e">
        <f t="shared" si="11"/>
        <v>#N/A</v>
      </c>
    </row>
    <row r="176" spans="1:7" x14ac:dyDescent="0.2">
      <c r="A176">
        <v>45</v>
      </c>
      <c r="B176">
        <v>5</v>
      </c>
      <c r="C176">
        <v>0</v>
      </c>
      <c r="D176">
        <f t="shared" si="8"/>
        <v>45</v>
      </c>
      <c r="E176">
        <f t="shared" si="9"/>
        <v>5</v>
      </c>
      <c r="F176" t="e">
        <f t="shared" si="10"/>
        <v>#N/A</v>
      </c>
      <c r="G176" t="e">
        <f t="shared" si="11"/>
        <v>#N/A</v>
      </c>
    </row>
    <row r="177" spans="1:7" x14ac:dyDescent="0.2">
      <c r="A177">
        <v>4</v>
      </c>
      <c r="B177">
        <v>1</v>
      </c>
      <c r="C177">
        <v>0</v>
      </c>
      <c r="D177">
        <f t="shared" si="8"/>
        <v>4</v>
      </c>
      <c r="E177">
        <f t="shared" si="9"/>
        <v>1</v>
      </c>
      <c r="F177" t="e">
        <f t="shared" si="10"/>
        <v>#N/A</v>
      </c>
      <c r="G177" t="e">
        <f t="shared" si="11"/>
        <v>#N/A</v>
      </c>
    </row>
    <row r="178" spans="1:7" x14ac:dyDescent="0.2">
      <c r="A178">
        <v>36</v>
      </c>
      <c r="B178">
        <v>10</v>
      </c>
      <c r="C178">
        <v>1</v>
      </c>
      <c r="D178" t="e">
        <f t="shared" si="8"/>
        <v>#N/A</v>
      </c>
      <c r="E178" t="e">
        <f t="shared" si="9"/>
        <v>#N/A</v>
      </c>
      <c r="F178">
        <f t="shared" si="10"/>
        <v>36</v>
      </c>
      <c r="G178">
        <f t="shared" si="11"/>
        <v>10</v>
      </c>
    </row>
    <row r="179" spans="1:7" x14ac:dyDescent="0.2">
      <c r="A179">
        <v>70</v>
      </c>
      <c r="B179">
        <v>6</v>
      </c>
      <c r="C179">
        <v>0</v>
      </c>
      <c r="D179">
        <f t="shared" si="8"/>
        <v>70</v>
      </c>
      <c r="E179">
        <f t="shared" si="9"/>
        <v>6</v>
      </c>
      <c r="F179" t="e">
        <f t="shared" si="10"/>
        <v>#N/A</v>
      </c>
      <c r="G179" t="e">
        <f t="shared" si="11"/>
        <v>#N/A</v>
      </c>
    </row>
    <row r="180" spans="1:7" x14ac:dyDescent="0.2">
      <c r="A180">
        <v>31</v>
      </c>
      <c r="B180">
        <v>9</v>
      </c>
      <c r="C180">
        <v>0</v>
      </c>
      <c r="D180">
        <f t="shared" si="8"/>
        <v>31</v>
      </c>
      <c r="E180">
        <f t="shared" si="9"/>
        <v>9</v>
      </c>
      <c r="F180" t="e">
        <f t="shared" si="10"/>
        <v>#N/A</v>
      </c>
      <c r="G180" t="e">
        <f t="shared" si="11"/>
        <v>#N/A</v>
      </c>
    </row>
    <row r="181" spans="1:7" x14ac:dyDescent="0.2">
      <c r="A181">
        <v>19</v>
      </c>
      <c r="B181">
        <v>9</v>
      </c>
      <c r="C181">
        <v>0</v>
      </c>
      <c r="D181">
        <f t="shared" si="8"/>
        <v>19</v>
      </c>
      <c r="E181">
        <f t="shared" si="9"/>
        <v>9</v>
      </c>
      <c r="F181" t="e">
        <f t="shared" si="10"/>
        <v>#N/A</v>
      </c>
      <c r="G181" t="e">
        <f t="shared" si="11"/>
        <v>#N/A</v>
      </c>
    </row>
    <row r="182" spans="1:7" x14ac:dyDescent="0.2">
      <c r="A182">
        <v>61</v>
      </c>
      <c r="B182">
        <v>8</v>
      </c>
      <c r="C182">
        <v>0</v>
      </c>
      <c r="D182">
        <f t="shared" si="8"/>
        <v>61</v>
      </c>
      <c r="E182">
        <f t="shared" si="9"/>
        <v>8</v>
      </c>
      <c r="F182" t="e">
        <f t="shared" si="10"/>
        <v>#N/A</v>
      </c>
      <c r="G182" t="e">
        <f t="shared" si="11"/>
        <v>#N/A</v>
      </c>
    </row>
    <row r="183" spans="1:7" x14ac:dyDescent="0.2">
      <c r="A183">
        <v>54</v>
      </c>
      <c r="B183">
        <v>5</v>
      </c>
      <c r="C183">
        <v>0</v>
      </c>
      <c r="D183">
        <f t="shared" si="8"/>
        <v>54</v>
      </c>
      <c r="E183">
        <f t="shared" si="9"/>
        <v>5</v>
      </c>
      <c r="F183" t="e">
        <f t="shared" si="10"/>
        <v>#N/A</v>
      </c>
      <c r="G183" t="e">
        <f t="shared" si="11"/>
        <v>#N/A</v>
      </c>
    </row>
    <row r="184" spans="1:7" x14ac:dyDescent="0.2">
      <c r="A184">
        <v>39</v>
      </c>
      <c r="B184">
        <v>1</v>
      </c>
      <c r="C184">
        <v>1</v>
      </c>
      <c r="D184" t="e">
        <f t="shared" si="8"/>
        <v>#N/A</v>
      </c>
      <c r="E184" t="e">
        <f t="shared" si="9"/>
        <v>#N/A</v>
      </c>
      <c r="F184">
        <f t="shared" si="10"/>
        <v>39</v>
      </c>
      <c r="G184">
        <f t="shared" si="11"/>
        <v>1</v>
      </c>
    </row>
    <row r="185" spans="1:7" x14ac:dyDescent="0.2">
      <c r="A185">
        <v>19</v>
      </c>
      <c r="B185">
        <v>9</v>
      </c>
      <c r="C185">
        <v>1</v>
      </c>
      <c r="D185" t="e">
        <f t="shared" si="8"/>
        <v>#N/A</v>
      </c>
      <c r="E185" t="e">
        <f t="shared" si="9"/>
        <v>#N/A</v>
      </c>
      <c r="F185">
        <f t="shared" si="10"/>
        <v>19</v>
      </c>
      <c r="G185">
        <f t="shared" si="11"/>
        <v>9</v>
      </c>
    </row>
    <row r="186" spans="1:7" x14ac:dyDescent="0.2">
      <c r="A186">
        <v>39</v>
      </c>
      <c r="B186">
        <v>1</v>
      </c>
      <c r="C186">
        <v>1</v>
      </c>
      <c r="D186" t="e">
        <f t="shared" si="8"/>
        <v>#N/A</v>
      </c>
      <c r="E186" t="e">
        <f t="shared" si="9"/>
        <v>#N/A</v>
      </c>
      <c r="F186">
        <f t="shared" si="10"/>
        <v>39</v>
      </c>
      <c r="G186">
        <f t="shared" si="11"/>
        <v>1</v>
      </c>
    </row>
    <row r="187" spans="1:7" x14ac:dyDescent="0.2">
      <c r="A187">
        <v>67</v>
      </c>
      <c r="B187">
        <v>8</v>
      </c>
      <c r="C187">
        <v>1</v>
      </c>
      <c r="D187" t="e">
        <f t="shared" si="8"/>
        <v>#N/A</v>
      </c>
      <c r="E187" t="e">
        <f t="shared" si="9"/>
        <v>#N/A</v>
      </c>
      <c r="F187">
        <f t="shared" si="10"/>
        <v>67</v>
      </c>
      <c r="G187">
        <f t="shared" si="11"/>
        <v>8</v>
      </c>
    </row>
    <row r="188" spans="1:7" x14ac:dyDescent="0.2">
      <c r="A188">
        <v>45</v>
      </c>
      <c r="B188">
        <v>5</v>
      </c>
      <c r="C188">
        <v>0</v>
      </c>
      <c r="D188">
        <f t="shared" si="8"/>
        <v>45</v>
      </c>
      <c r="E188">
        <f t="shared" si="9"/>
        <v>5</v>
      </c>
      <c r="F188" t="e">
        <f t="shared" si="10"/>
        <v>#N/A</v>
      </c>
      <c r="G188" t="e">
        <f t="shared" si="11"/>
        <v>#N/A</v>
      </c>
    </row>
    <row r="189" spans="1:7" x14ac:dyDescent="0.2">
      <c r="A189">
        <v>13</v>
      </c>
      <c r="B189">
        <v>3</v>
      </c>
      <c r="C189">
        <v>0</v>
      </c>
      <c r="D189">
        <f t="shared" si="8"/>
        <v>13</v>
      </c>
      <c r="E189">
        <f t="shared" si="9"/>
        <v>3</v>
      </c>
      <c r="F189" t="e">
        <f t="shared" si="10"/>
        <v>#N/A</v>
      </c>
      <c r="G189" t="e">
        <f t="shared" si="11"/>
        <v>#N/A</v>
      </c>
    </row>
    <row r="190" spans="1:7" x14ac:dyDescent="0.2">
      <c r="A190">
        <v>58</v>
      </c>
      <c r="B190">
        <v>7</v>
      </c>
      <c r="C190">
        <v>1</v>
      </c>
      <c r="D190" t="e">
        <f t="shared" si="8"/>
        <v>#N/A</v>
      </c>
      <c r="E190" t="e">
        <f t="shared" si="9"/>
        <v>#N/A</v>
      </c>
      <c r="F190">
        <f t="shared" si="10"/>
        <v>58</v>
      </c>
      <c r="G190">
        <f t="shared" si="11"/>
        <v>7</v>
      </c>
    </row>
    <row r="191" spans="1:7" x14ac:dyDescent="0.2">
      <c r="A191">
        <v>20</v>
      </c>
      <c r="B191">
        <v>7</v>
      </c>
      <c r="C191">
        <v>0</v>
      </c>
      <c r="D191">
        <f t="shared" si="8"/>
        <v>20</v>
      </c>
      <c r="E191">
        <f t="shared" si="9"/>
        <v>7</v>
      </c>
      <c r="F191" t="e">
        <f t="shared" si="10"/>
        <v>#N/A</v>
      </c>
      <c r="G191" t="e">
        <f t="shared" si="11"/>
        <v>#N/A</v>
      </c>
    </row>
    <row r="192" spans="1:7" x14ac:dyDescent="0.2">
      <c r="A192">
        <v>61</v>
      </c>
      <c r="B192">
        <v>9</v>
      </c>
      <c r="C192">
        <v>0</v>
      </c>
      <c r="D192">
        <f t="shared" si="8"/>
        <v>61</v>
      </c>
      <c r="E192">
        <f t="shared" si="9"/>
        <v>9</v>
      </c>
      <c r="F192" t="e">
        <f t="shared" si="10"/>
        <v>#N/A</v>
      </c>
      <c r="G192" t="e">
        <f t="shared" si="11"/>
        <v>#N/A</v>
      </c>
    </row>
    <row r="193" spans="1:7" x14ac:dyDescent="0.2">
      <c r="A193">
        <v>39</v>
      </c>
      <c r="B193">
        <v>7</v>
      </c>
      <c r="C193">
        <v>0</v>
      </c>
      <c r="D193">
        <f t="shared" si="8"/>
        <v>39</v>
      </c>
      <c r="E193">
        <f t="shared" si="9"/>
        <v>7</v>
      </c>
      <c r="F193" t="e">
        <f t="shared" si="10"/>
        <v>#N/A</v>
      </c>
      <c r="G193" t="e">
        <f t="shared" si="11"/>
        <v>#N/A</v>
      </c>
    </row>
    <row r="194" spans="1:7" x14ac:dyDescent="0.2">
      <c r="A194">
        <v>1</v>
      </c>
      <c r="B194">
        <v>3</v>
      </c>
      <c r="C194">
        <v>0</v>
      </c>
      <c r="D194">
        <f t="shared" si="8"/>
        <v>1</v>
      </c>
      <c r="E194">
        <f t="shared" si="9"/>
        <v>3</v>
      </c>
      <c r="F194" t="e">
        <f t="shared" si="10"/>
        <v>#N/A</v>
      </c>
      <c r="G194" t="e">
        <f t="shared" si="11"/>
        <v>#N/A</v>
      </c>
    </row>
    <row r="195" spans="1:7" x14ac:dyDescent="0.2">
      <c r="A195">
        <v>3</v>
      </c>
      <c r="B195">
        <v>1</v>
      </c>
      <c r="C195">
        <v>1</v>
      </c>
      <c r="D195" t="e">
        <f t="shared" ref="D195:D251" si="12" xml:space="preserve"> IF($C195=0, $A195, NA())</f>
        <v>#N/A</v>
      </c>
      <c r="E195" t="e">
        <f t="shared" ref="E195:E251" si="13" xml:space="preserve"> IF($C195=0, B195, NA())</f>
        <v>#N/A</v>
      </c>
      <c r="F195">
        <f t="shared" ref="F195:F251" si="14" xml:space="preserve"> IF($C195=1, A195, NA())</f>
        <v>3</v>
      </c>
      <c r="G195">
        <f t="shared" ref="G195:G251" si="15" xml:space="preserve"> IF($C195=1, $B195, NA())</f>
        <v>1</v>
      </c>
    </row>
    <row r="196" spans="1:7" x14ac:dyDescent="0.2">
      <c r="A196">
        <v>62</v>
      </c>
      <c r="B196">
        <v>8</v>
      </c>
      <c r="C196">
        <v>0</v>
      </c>
      <c r="D196">
        <f t="shared" si="12"/>
        <v>62</v>
      </c>
      <c r="E196">
        <f t="shared" si="13"/>
        <v>8</v>
      </c>
      <c r="F196" t="e">
        <f t="shared" si="14"/>
        <v>#N/A</v>
      </c>
      <c r="G196" t="e">
        <f t="shared" si="15"/>
        <v>#N/A</v>
      </c>
    </row>
    <row r="197" spans="1:7" x14ac:dyDescent="0.2">
      <c r="A197">
        <v>63</v>
      </c>
      <c r="B197">
        <v>3</v>
      </c>
      <c r="C197">
        <v>0</v>
      </c>
      <c r="D197">
        <f t="shared" si="12"/>
        <v>63</v>
      </c>
      <c r="E197">
        <f t="shared" si="13"/>
        <v>3</v>
      </c>
      <c r="F197" t="e">
        <f t="shared" si="14"/>
        <v>#N/A</v>
      </c>
      <c r="G197" t="e">
        <f t="shared" si="15"/>
        <v>#N/A</v>
      </c>
    </row>
    <row r="198" spans="1:7" x14ac:dyDescent="0.2">
      <c r="A198">
        <v>25</v>
      </c>
      <c r="B198">
        <v>8</v>
      </c>
      <c r="C198">
        <v>1</v>
      </c>
      <c r="D198" t="e">
        <f t="shared" si="12"/>
        <v>#N/A</v>
      </c>
      <c r="E198" t="e">
        <f t="shared" si="13"/>
        <v>#N/A</v>
      </c>
      <c r="F198">
        <f t="shared" si="14"/>
        <v>25</v>
      </c>
      <c r="G198">
        <f t="shared" si="15"/>
        <v>8</v>
      </c>
    </row>
    <row r="199" spans="1:7" x14ac:dyDescent="0.2">
      <c r="A199">
        <v>56</v>
      </c>
      <c r="B199">
        <v>8</v>
      </c>
      <c r="C199">
        <v>0</v>
      </c>
      <c r="D199">
        <f t="shared" si="12"/>
        <v>56</v>
      </c>
      <c r="E199">
        <f t="shared" si="13"/>
        <v>8</v>
      </c>
      <c r="F199" t="e">
        <f t="shared" si="14"/>
        <v>#N/A</v>
      </c>
      <c r="G199" t="e">
        <f t="shared" si="15"/>
        <v>#N/A</v>
      </c>
    </row>
    <row r="200" spans="1:7" x14ac:dyDescent="0.2">
      <c r="A200">
        <v>33</v>
      </c>
      <c r="B200">
        <v>5</v>
      </c>
      <c r="C200">
        <v>0</v>
      </c>
      <c r="D200">
        <f t="shared" si="12"/>
        <v>33</v>
      </c>
      <c r="E200">
        <f t="shared" si="13"/>
        <v>5</v>
      </c>
      <c r="F200" t="e">
        <f t="shared" si="14"/>
        <v>#N/A</v>
      </c>
      <c r="G200" t="e">
        <f t="shared" si="15"/>
        <v>#N/A</v>
      </c>
    </row>
    <row r="201" spans="1:7" x14ac:dyDescent="0.2">
      <c r="A201">
        <v>38</v>
      </c>
      <c r="B201">
        <v>1</v>
      </c>
      <c r="C201">
        <v>1</v>
      </c>
      <c r="D201" t="e">
        <f t="shared" si="12"/>
        <v>#N/A</v>
      </c>
      <c r="E201" t="e">
        <f t="shared" si="13"/>
        <v>#N/A</v>
      </c>
      <c r="F201">
        <f t="shared" si="14"/>
        <v>38</v>
      </c>
      <c r="G201">
        <f t="shared" si="15"/>
        <v>1</v>
      </c>
    </row>
    <row r="202" spans="1:7" x14ac:dyDescent="0.2">
      <c r="A202">
        <v>6</v>
      </c>
      <c r="B202">
        <v>10</v>
      </c>
      <c r="C202">
        <v>0</v>
      </c>
      <c r="D202">
        <f t="shared" si="12"/>
        <v>6</v>
      </c>
      <c r="E202">
        <f t="shared" si="13"/>
        <v>10</v>
      </c>
      <c r="F202" t="e">
        <f t="shared" si="14"/>
        <v>#N/A</v>
      </c>
      <c r="G202" t="e">
        <f t="shared" si="15"/>
        <v>#N/A</v>
      </c>
    </row>
    <row r="203" spans="1:7" x14ac:dyDescent="0.2">
      <c r="A203">
        <v>58</v>
      </c>
      <c r="B203">
        <v>7</v>
      </c>
      <c r="C203">
        <v>0</v>
      </c>
      <c r="D203">
        <f t="shared" si="12"/>
        <v>58</v>
      </c>
      <c r="E203">
        <f t="shared" si="13"/>
        <v>7</v>
      </c>
      <c r="F203" t="e">
        <f t="shared" si="14"/>
        <v>#N/A</v>
      </c>
      <c r="G203" t="e">
        <f t="shared" si="15"/>
        <v>#N/A</v>
      </c>
    </row>
    <row r="204" spans="1:7" x14ac:dyDescent="0.2">
      <c r="A204">
        <v>44</v>
      </c>
      <c r="B204">
        <v>10</v>
      </c>
      <c r="C204">
        <v>1</v>
      </c>
      <c r="D204" t="e">
        <f t="shared" si="12"/>
        <v>#N/A</v>
      </c>
      <c r="E204" t="e">
        <f t="shared" si="13"/>
        <v>#N/A</v>
      </c>
      <c r="F204">
        <f t="shared" si="14"/>
        <v>44</v>
      </c>
      <c r="G204">
        <f t="shared" si="15"/>
        <v>10</v>
      </c>
    </row>
    <row r="205" spans="1:7" x14ac:dyDescent="0.2">
      <c r="A205">
        <v>45</v>
      </c>
      <c r="B205">
        <v>5</v>
      </c>
      <c r="C205">
        <v>0</v>
      </c>
      <c r="D205">
        <f t="shared" si="12"/>
        <v>45</v>
      </c>
      <c r="E205">
        <f t="shared" si="13"/>
        <v>5</v>
      </c>
      <c r="F205" t="e">
        <f t="shared" si="14"/>
        <v>#N/A</v>
      </c>
      <c r="G205" t="e">
        <f t="shared" si="15"/>
        <v>#N/A</v>
      </c>
    </row>
    <row r="206" spans="1:7" x14ac:dyDescent="0.2">
      <c r="A206">
        <v>32</v>
      </c>
      <c r="B206">
        <v>8</v>
      </c>
      <c r="C206">
        <v>0</v>
      </c>
      <c r="D206">
        <f t="shared" si="12"/>
        <v>32</v>
      </c>
      <c r="E206">
        <f t="shared" si="13"/>
        <v>8</v>
      </c>
      <c r="F206" t="e">
        <f t="shared" si="14"/>
        <v>#N/A</v>
      </c>
      <c r="G206" t="e">
        <f t="shared" si="15"/>
        <v>#N/A</v>
      </c>
    </row>
    <row r="207" spans="1:7" x14ac:dyDescent="0.2">
      <c r="A207">
        <v>45</v>
      </c>
      <c r="B207">
        <v>9</v>
      </c>
      <c r="C207">
        <v>0</v>
      </c>
      <c r="D207">
        <f t="shared" si="12"/>
        <v>45</v>
      </c>
      <c r="E207">
        <f t="shared" si="13"/>
        <v>9</v>
      </c>
      <c r="F207" t="e">
        <f t="shared" si="14"/>
        <v>#N/A</v>
      </c>
      <c r="G207" t="e">
        <f t="shared" si="15"/>
        <v>#N/A</v>
      </c>
    </row>
    <row r="208" spans="1:7" x14ac:dyDescent="0.2">
      <c r="A208">
        <v>61</v>
      </c>
      <c r="B208">
        <v>7</v>
      </c>
      <c r="C208">
        <v>1</v>
      </c>
      <c r="D208" t="e">
        <f t="shared" si="12"/>
        <v>#N/A</v>
      </c>
      <c r="E208" t="e">
        <f t="shared" si="13"/>
        <v>#N/A</v>
      </c>
      <c r="F208">
        <f t="shared" si="14"/>
        <v>61</v>
      </c>
      <c r="G208">
        <f t="shared" si="15"/>
        <v>7</v>
      </c>
    </row>
    <row r="209" spans="1:7" x14ac:dyDescent="0.2">
      <c r="A209">
        <v>47</v>
      </c>
      <c r="B209">
        <v>7</v>
      </c>
      <c r="C209">
        <v>1</v>
      </c>
      <c r="D209" t="e">
        <f t="shared" si="12"/>
        <v>#N/A</v>
      </c>
      <c r="E209" t="e">
        <f t="shared" si="13"/>
        <v>#N/A</v>
      </c>
      <c r="F209">
        <f t="shared" si="14"/>
        <v>47</v>
      </c>
      <c r="G209">
        <f t="shared" si="15"/>
        <v>7</v>
      </c>
    </row>
    <row r="210" spans="1:7" x14ac:dyDescent="0.2">
      <c r="A210">
        <v>21</v>
      </c>
      <c r="B210">
        <v>1</v>
      </c>
      <c r="C210">
        <v>1</v>
      </c>
      <c r="D210" t="e">
        <f t="shared" si="12"/>
        <v>#N/A</v>
      </c>
      <c r="E210" t="e">
        <f t="shared" si="13"/>
        <v>#N/A</v>
      </c>
      <c r="F210">
        <f t="shared" si="14"/>
        <v>21</v>
      </c>
      <c r="G210">
        <f t="shared" si="15"/>
        <v>1</v>
      </c>
    </row>
    <row r="211" spans="1:7" x14ac:dyDescent="0.2">
      <c r="A211">
        <v>36</v>
      </c>
      <c r="B211">
        <v>4</v>
      </c>
      <c r="C211">
        <v>0</v>
      </c>
      <c r="D211">
        <f t="shared" si="12"/>
        <v>36</v>
      </c>
      <c r="E211">
        <f t="shared" si="13"/>
        <v>4</v>
      </c>
      <c r="F211" t="e">
        <f t="shared" si="14"/>
        <v>#N/A</v>
      </c>
      <c r="G211" t="e">
        <f t="shared" si="15"/>
        <v>#N/A</v>
      </c>
    </row>
    <row r="212" spans="1:7" x14ac:dyDescent="0.2">
      <c r="A212">
        <v>19</v>
      </c>
      <c r="B212">
        <v>2</v>
      </c>
      <c r="C212">
        <v>1</v>
      </c>
      <c r="D212" t="e">
        <f t="shared" si="12"/>
        <v>#N/A</v>
      </c>
      <c r="E212" t="e">
        <f t="shared" si="13"/>
        <v>#N/A</v>
      </c>
      <c r="F212">
        <f t="shared" si="14"/>
        <v>19</v>
      </c>
      <c r="G212">
        <f t="shared" si="15"/>
        <v>2</v>
      </c>
    </row>
    <row r="213" spans="1:7" x14ac:dyDescent="0.2">
      <c r="A213">
        <v>20</v>
      </c>
      <c r="B213">
        <v>2</v>
      </c>
      <c r="C213">
        <v>1</v>
      </c>
      <c r="D213" t="e">
        <f t="shared" si="12"/>
        <v>#N/A</v>
      </c>
      <c r="E213" t="e">
        <f t="shared" si="13"/>
        <v>#N/A</v>
      </c>
      <c r="F213">
        <f t="shared" si="14"/>
        <v>20</v>
      </c>
      <c r="G213">
        <f t="shared" si="15"/>
        <v>2</v>
      </c>
    </row>
    <row r="214" spans="1:7" x14ac:dyDescent="0.2">
      <c r="A214">
        <v>57</v>
      </c>
      <c r="B214">
        <v>2</v>
      </c>
      <c r="C214">
        <v>1</v>
      </c>
      <c r="D214" t="e">
        <f t="shared" si="12"/>
        <v>#N/A</v>
      </c>
      <c r="E214" t="e">
        <f t="shared" si="13"/>
        <v>#N/A</v>
      </c>
      <c r="F214">
        <f t="shared" si="14"/>
        <v>57</v>
      </c>
      <c r="G214">
        <f t="shared" si="15"/>
        <v>2</v>
      </c>
    </row>
    <row r="215" spans="1:7" x14ac:dyDescent="0.2">
      <c r="A215">
        <v>18</v>
      </c>
      <c r="B215">
        <v>4</v>
      </c>
      <c r="C215">
        <v>1</v>
      </c>
      <c r="D215" t="e">
        <f t="shared" si="12"/>
        <v>#N/A</v>
      </c>
      <c r="E215" t="e">
        <f t="shared" si="13"/>
        <v>#N/A</v>
      </c>
      <c r="F215">
        <f t="shared" si="14"/>
        <v>18</v>
      </c>
      <c r="G215">
        <f t="shared" si="15"/>
        <v>4</v>
      </c>
    </row>
    <row r="216" spans="1:7" x14ac:dyDescent="0.2">
      <c r="A216">
        <v>47</v>
      </c>
      <c r="B216">
        <v>1</v>
      </c>
      <c r="C216">
        <v>0</v>
      </c>
      <c r="D216">
        <f t="shared" si="12"/>
        <v>47</v>
      </c>
      <c r="E216">
        <f t="shared" si="13"/>
        <v>1</v>
      </c>
      <c r="F216" t="e">
        <f t="shared" si="14"/>
        <v>#N/A</v>
      </c>
      <c r="G216" t="e">
        <f t="shared" si="15"/>
        <v>#N/A</v>
      </c>
    </row>
    <row r="217" spans="1:7" x14ac:dyDescent="0.2">
      <c r="A217">
        <v>49</v>
      </c>
      <c r="B217">
        <v>4</v>
      </c>
      <c r="C217">
        <v>0</v>
      </c>
      <c r="D217">
        <f t="shared" si="12"/>
        <v>49</v>
      </c>
      <c r="E217">
        <f t="shared" si="13"/>
        <v>4</v>
      </c>
      <c r="F217" t="e">
        <f t="shared" si="14"/>
        <v>#N/A</v>
      </c>
      <c r="G217" t="e">
        <f t="shared" si="15"/>
        <v>#N/A</v>
      </c>
    </row>
    <row r="218" spans="1:7" x14ac:dyDescent="0.2">
      <c r="A218">
        <v>14</v>
      </c>
      <c r="B218">
        <v>2</v>
      </c>
      <c r="C218">
        <v>1</v>
      </c>
      <c r="D218" t="e">
        <f t="shared" si="12"/>
        <v>#N/A</v>
      </c>
      <c r="E218" t="e">
        <f t="shared" si="13"/>
        <v>#N/A</v>
      </c>
      <c r="F218">
        <f t="shared" si="14"/>
        <v>14</v>
      </c>
      <c r="G218">
        <f t="shared" si="15"/>
        <v>2</v>
      </c>
    </row>
    <row r="219" spans="1:7" x14ac:dyDescent="0.2">
      <c r="A219">
        <v>15</v>
      </c>
      <c r="B219">
        <v>5</v>
      </c>
      <c r="C219">
        <v>0</v>
      </c>
      <c r="D219">
        <f t="shared" si="12"/>
        <v>15</v>
      </c>
      <c r="E219">
        <f t="shared" si="13"/>
        <v>5</v>
      </c>
      <c r="F219" t="e">
        <f t="shared" si="14"/>
        <v>#N/A</v>
      </c>
      <c r="G219" t="e">
        <f t="shared" si="15"/>
        <v>#N/A</v>
      </c>
    </row>
    <row r="220" spans="1:7" x14ac:dyDescent="0.2">
      <c r="A220">
        <v>31</v>
      </c>
      <c r="B220">
        <v>3</v>
      </c>
      <c r="C220">
        <v>1</v>
      </c>
      <c r="D220" t="e">
        <f t="shared" si="12"/>
        <v>#N/A</v>
      </c>
      <c r="E220" t="e">
        <f t="shared" si="13"/>
        <v>#N/A</v>
      </c>
      <c r="F220">
        <f t="shared" si="14"/>
        <v>31</v>
      </c>
      <c r="G220">
        <f t="shared" si="15"/>
        <v>3</v>
      </c>
    </row>
    <row r="221" spans="1:7" x14ac:dyDescent="0.2">
      <c r="A221">
        <v>1</v>
      </c>
      <c r="B221">
        <v>8</v>
      </c>
      <c r="C221">
        <v>0</v>
      </c>
      <c r="D221">
        <f t="shared" si="12"/>
        <v>1</v>
      </c>
      <c r="E221">
        <f t="shared" si="13"/>
        <v>8</v>
      </c>
      <c r="F221" t="e">
        <f t="shared" si="14"/>
        <v>#N/A</v>
      </c>
      <c r="G221" t="e">
        <f t="shared" si="15"/>
        <v>#N/A</v>
      </c>
    </row>
    <row r="222" spans="1:7" x14ac:dyDescent="0.2">
      <c r="A222">
        <v>54</v>
      </c>
      <c r="B222">
        <v>4</v>
      </c>
      <c r="C222">
        <v>0</v>
      </c>
      <c r="D222">
        <f t="shared" si="12"/>
        <v>54</v>
      </c>
      <c r="E222">
        <f t="shared" si="13"/>
        <v>4</v>
      </c>
      <c r="F222" t="e">
        <f t="shared" si="14"/>
        <v>#N/A</v>
      </c>
      <c r="G222" t="e">
        <f t="shared" si="15"/>
        <v>#N/A</v>
      </c>
    </row>
    <row r="223" spans="1:7" x14ac:dyDescent="0.2">
      <c r="A223">
        <v>3</v>
      </c>
      <c r="B223">
        <v>1</v>
      </c>
      <c r="C223">
        <v>1</v>
      </c>
      <c r="D223" t="e">
        <f t="shared" si="12"/>
        <v>#N/A</v>
      </c>
      <c r="E223" t="e">
        <f t="shared" si="13"/>
        <v>#N/A</v>
      </c>
      <c r="F223">
        <f t="shared" si="14"/>
        <v>3</v>
      </c>
      <c r="G223">
        <f t="shared" si="15"/>
        <v>1</v>
      </c>
    </row>
    <row r="224" spans="1:7" x14ac:dyDescent="0.2">
      <c r="A224">
        <v>16</v>
      </c>
      <c r="B224">
        <v>1</v>
      </c>
      <c r="C224">
        <v>1</v>
      </c>
      <c r="D224" t="e">
        <f t="shared" si="12"/>
        <v>#N/A</v>
      </c>
      <c r="E224" t="e">
        <f t="shared" si="13"/>
        <v>#N/A</v>
      </c>
      <c r="F224">
        <f t="shared" si="14"/>
        <v>16</v>
      </c>
      <c r="G224">
        <f t="shared" si="15"/>
        <v>1</v>
      </c>
    </row>
    <row r="225" spans="1:7" x14ac:dyDescent="0.2">
      <c r="A225">
        <v>57</v>
      </c>
      <c r="B225">
        <v>10</v>
      </c>
      <c r="C225">
        <v>1</v>
      </c>
      <c r="D225" t="e">
        <f t="shared" si="12"/>
        <v>#N/A</v>
      </c>
      <c r="E225" t="e">
        <f t="shared" si="13"/>
        <v>#N/A</v>
      </c>
      <c r="F225">
        <f t="shared" si="14"/>
        <v>57</v>
      </c>
      <c r="G225">
        <f t="shared" si="15"/>
        <v>10</v>
      </c>
    </row>
    <row r="226" spans="1:7" x14ac:dyDescent="0.2">
      <c r="A226">
        <v>12</v>
      </c>
      <c r="B226">
        <v>3</v>
      </c>
      <c r="C226">
        <v>0</v>
      </c>
      <c r="D226">
        <f t="shared" si="12"/>
        <v>12</v>
      </c>
      <c r="E226">
        <f t="shared" si="13"/>
        <v>3</v>
      </c>
      <c r="F226" t="e">
        <f t="shared" si="14"/>
        <v>#N/A</v>
      </c>
      <c r="G226" t="e">
        <f t="shared" si="15"/>
        <v>#N/A</v>
      </c>
    </row>
    <row r="227" spans="1:7" x14ac:dyDescent="0.2">
      <c r="A227">
        <v>16</v>
      </c>
      <c r="B227">
        <v>9</v>
      </c>
      <c r="C227">
        <v>0</v>
      </c>
      <c r="D227">
        <f t="shared" si="12"/>
        <v>16</v>
      </c>
      <c r="E227">
        <f t="shared" si="13"/>
        <v>9</v>
      </c>
      <c r="F227" t="e">
        <f t="shared" si="14"/>
        <v>#N/A</v>
      </c>
      <c r="G227" t="e">
        <f t="shared" si="15"/>
        <v>#N/A</v>
      </c>
    </row>
    <row r="228" spans="1:7" x14ac:dyDescent="0.2">
      <c r="A228">
        <v>24</v>
      </c>
      <c r="B228">
        <v>7</v>
      </c>
      <c r="C228">
        <v>1</v>
      </c>
      <c r="D228" t="e">
        <f t="shared" si="12"/>
        <v>#N/A</v>
      </c>
      <c r="E228" t="e">
        <f t="shared" si="13"/>
        <v>#N/A</v>
      </c>
      <c r="F228">
        <f t="shared" si="14"/>
        <v>24</v>
      </c>
      <c r="G228">
        <f t="shared" si="15"/>
        <v>7</v>
      </c>
    </row>
    <row r="229" spans="1:7" x14ac:dyDescent="0.2">
      <c r="A229">
        <v>28</v>
      </c>
      <c r="B229">
        <v>2</v>
      </c>
      <c r="C229">
        <v>0</v>
      </c>
      <c r="D229">
        <f t="shared" si="12"/>
        <v>28</v>
      </c>
      <c r="E229">
        <f t="shared" si="13"/>
        <v>2</v>
      </c>
      <c r="F229" t="e">
        <f t="shared" si="14"/>
        <v>#N/A</v>
      </c>
      <c r="G229" t="e">
        <f t="shared" si="15"/>
        <v>#N/A</v>
      </c>
    </row>
    <row r="230" spans="1:7" x14ac:dyDescent="0.2">
      <c r="A230">
        <v>8</v>
      </c>
      <c r="B230">
        <v>9</v>
      </c>
      <c r="C230">
        <v>1</v>
      </c>
      <c r="D230" t="e">
        <f t="shared" si="12"/>
        <v>#N/A</v>
      </c>
      <c r="E230" t="e">
        <f t="shared" si="13"/>
        <v>#N/A</v>
      </c>
      <c r="F230">
        <f t="shared" si="14"/>
        <v>8</v>
      </c>
      <c r="G230">
        <f t="shared" si="15"/>
        <v>9</v>
      </c>
    </row>
    <row r="231" spans="1:7" x14ac:dyDescent="0.2">
      <c r="A231">
        <v>36</v>
      </c>
      <c r="B231">
        <v>10</v>
      </c>
      <c r="C231">
        <v>1</v>
      </c>
      <c r="D231" t="e">
        <f t="shared" si="12"/>
        <v>#N/A</v>
      </c>
      <c r="E231" t="e">
        <f t="shared" si="13"/>
        <v>#N/A</v>
      </c>
      <c r="F231">
        <f t="shared" si="14"/>
        <v>36</v>
      </c>
      <c r="G231">
        <f t="shared" si="15"/>
        <v>10</v>
      </c>
    </row>
    <row r="232" spans="1:7" x14ac:dyDescent="0.2">
      <c r="A232">
        <v>8</v>
      </c>
      <c r="B232">
        <v>2</v>
      </c>
      <c r="C232">
        <v>0</v>
      </c>
      <c r="D232">
        <f t="shared" si="12"/>
        <v>8</v>
      </c>
      <c r="E232">
        <f t="shared" si="13"/>
        <v>2</v>
      </c>
      <c r="F232" t="e">
        <f t="shared" si="14"/>
        <v>#N/A</v>
      </c>
      <c r="G232" t="e">
        <f t="shared" si="15"/>
        <v>#N/A</v>
      </c>
    </row>
    <row r="233" spans="1:7" x14ac:dyDescent="0.2">
      <c r="A233">
        <v>58</v>
      </c>
      <c r="B233">
        <v>3</v>
      </c>
      <c r="C233">
        <v>0</v>
      </c>
      <c r="D233">
        <f t="shared" si="12"/>
        <v>58</v>
      </c>
      <c r="E233">
        <f t="shared" si="13"/>
        <v>3</v>
      </c>
      <c r="F233" t="e">
        <f t="shared" si="14"/>
        <v>#N/A</v>
      </c>
      <c r="G233" t="e">
        <f t="shared" si="15"/>
        <v>#N/A</v>
      </c>
    </row>
    <row r="234" spans="1:7" x14ac:dyDescent="0.2">
      <c r="A234">
        <v>60</v>
      </c>
      <c r="B234">
        <v>10</v>
      </c>
      <c r="C234">
        <v>0</v>
      </c>
      <c r="D234">
        <f t="shared" si="12"/>
        <v>60</v>
      </c>
      <c r="E234">
        <f t="shared" si="13"/>
        <v>10</v>
      </c>
      <c r="F234" t="e">
        <f t="shared" si="14"/>
        <v>#N/A</v>
      </c>
      <c r="G234" t="e">
        <f t="shared" si="15"/>
        <v>#N/A</v>
      </c>
    </row>
    <row r="235" spans="1:7" x14ac:dyDescent="0.2">
      <c r="A235">
        <v>50</v>
      </c>
      <c r="B235">
        <v>2</v>
      </c>
      <c r="C235">
        <v>1</v>
      </c>
      <c r="D235" t="e">
        <f t="shared" si="12"/>
        <v>#N/A</v>
      </c>
      <c r="E235" t="e">
        <f t="shared" si="13"/>
        <v>#N/A</v>
      </c>
      <c r="F235">
        <f t="shared" si="14"/>
        <v>50</v>
      </c>
      <c r="G235">
        <f t="shared" si="15"/>
        <v>2</v>
      </c>
    </row>
    <row r="236" spans="1:7" x14ac:dyDescent="0.2">
      <c r="A236">
        <v>28</v>
      </c>
      <c r="B236">
        <v>3</v>
      </c>
      <c r="C236">
        <v>1</v>
      </c>
      <c r="D236" t="e">
        <f t="shared" si="12"/>
        <v>#N/A</v>
      </c>
      <c r="E236" t="e">
        <f t="shared" si="13"/>
        <v>#N/A</v>
      </c>
      <c r="F236">
        <f t="shared" si="14"/>
        <v>28</v>
      </c>
      <c r="G236">
        <f t="shared" si="15"/>
        <v>3</v>
      </c>
    </row>
    <row r="237" spans="1:7" x14ac:dyDescent="0.2">
      <c r="A237">
        <v>41</v>
      </c>
      <c r="B237">
        <v>6</v>
      </c>
      <c r="C237">
        <v>0</v>
      </c>
      <c r="D237">
        <f t="shared" si="12"/>
        <v>41</v>
      </c>
      <c r="E237">
        <f t="shared" si="13"/>
        <v>6</v>
      </c>
      <c r="F237" t="e">
        <f t="shared" si="14"/>
        <v>#N/A</v>
      </c>
      <c r="G237" t="e">
        <f t="shared" si="15"/>
        <v>#N/A</v>
      </c>
    </row>
    <row r="238" spans="1:7" x14ac:dyDescent="0.2">
      <c r="A238">
        <v>64</v>
      </c>
      <c r="B238">
        <v>9</v>
      </c>
      <c r="C238">
        <v>0</v>
      </c>
      <c r="D238">
        <f t="shared" si="12"/>
        <v>64</v>
      </c>
      <c r="E238">
        <f t="shared" si="13"/>
        <v>9</v>
      </c>
      <c r="F238" t="e">
        <f t="shared" si="14"/>
        <v>#N/A</v>
      </c>
      <c r="G238" t="e">
        <f t="shared" si="15"/>
        <v>#N/A</v>
      </c>
    </row>
    <row r="239" spans="1:7" x14ac:dyDescent="0.2">
      <c r="A239">
        <v>27</v>
      </c>
      <c r="B239">
        <v>9</v>
      </c>
      <c r="C239">
        <v>0</v>
      </c>
      <c r="D239">
        <f t="shared" si="12"/>
        <v>27</v>
      </c>
      <c r="E239">
        <f t="shared" si="13"/>
        <v>9</v>
      </c>
      <c r="F239" t="e">
        <f t="shared" si="14"/>
        <v>#N/A</v>
      </c>
      <c r="G239" t="e">
        <f t="shared" si="15"/>
        <v>#N/A</v>
      </c>
    </row>
    <row r="240" spans="1:7" x14ac:dyDescent="0.2">
      <c r="A240">
        <v>63</v>
      </c>
      <c r="B240">
        <v>7</v>
      </c>
      <c r="C240">
        <v>1</v>
      </c>
      <c r="D240" t="e">
        <f t="shared" si="12"/>
        <v>#N/A</v>
      </c>
      <c r="E240" t="e">
        <f t="shared" si="13"/>
        <v>#N/A</v>
      </c>
      <c r="F240">
        <f t="shared" si="14"/>
        <v>63</v>
      </c>
      <c r="G240">
        <f t="shared" si="15"/>
        <v>7</v>
      </c>
    </row>
    <row r="241" spans="1:7" x14ac:dyDescent="0.2">
      <c r="A241">
        <v>17</v>
      </c>
      <c r="B241">
        <v>3</v>
      </c>
      <c r="C241">
        <v>0</v>
      </c>
      <c r="D241">
        <f t="shared" si="12"/>
        <v>17</v>
      </c>
      <c r="E241">
        <f t="shared" si="13"/>
        <v>3</v>
      </c>
      <c r="F241" t="e">
        <f t="shared" si="14"/>
        <v>#N/A</v>
      </c>
      <c r="G241" t="e">
        <f t="shared" si="15"/>
        <v>#N/A</v>
      </c>
    </row>
    <row r="242" spans="1:7" x14ac:dyDescent="0.2">
      <c r="A242">
        <v>33</v>
      </c>
      <c r="B242">
        <v>4</v>
      </c>
      <c r="C242">
        <v>1</v>
      </c>
      <c r="D242" t="e">
        <f t="shared" si="12"/>
        <v>#N/A</v>
      </c>
      <c r="E242" t="e">
        <f t="shared" si="13"/>
        <v>#N/A</v>
      </c>
      <c r="F242">
        <f t="shared" si="14"/>
        <v>33</v>
      </c>
      <c r="G242">
        <f t="shared" si="15"/>
        <v>4</v>
      </c>
    </row>
    <row r="243" spans="1:7" x14ac:dyDescent="0.2">
      <c r="A243">
        <v>29</v>
      </c>
      <c r="B243">
        <v>6</v>
      </c>
      <c r="C243">
        <v>1</v>
      </c>
      <c r="D243" t="e">
        <f t="shared" si="12"/>
        <v>#N/A</v>
      </c>
      <c r="E243" t="e">
        <f t="shared" si="13"/>
        <v>#N/A</v>
      </c>
      <c r="F243">
        <f t="shared" si="14"/>
        <v>29</v>
      </c>
      <c r="G243">
        <f t="shared" si="15"/>
        <v>6</v>
      </c>
    </row>
    <row r="244" spans="1:7" x14ac:dyDescent="0.2">
      <c r="A244">
        <v>13</v>
      </c>
      <c r="B244">
        <v>5</v>
      </c>
      <c r="C244">
        <v>0</v>
      </c>
      <c r="D244">
        <f t="shared" si="12"/>
        <v>13</v>
      </c>
      <c r="E244">
        <f t="shared" si="13"/>
        <v>5</v>
      </c>
      <c r="F244" t="e">
        <f t="shared" si="14"/>
        <v>#N/A</v>
      </c>
      <c r="G244" t="e">
        <f t="shared" si="15"/>
        <v>#N/A</v>
      </c>
    </row>
    <row r="245" spans="1:7" x14ac:dyDescent="0.2">
      <c r="A245">
        <v>46</v>
      </c>
      <c r="B245">
        <v>2</v>
      </c>
      <c r="C245">
        <v>1</v>
      </c>
      <c r="D245" t="e">
        <f t="shared" si="12"/>
        <v>#N/A</v>
      </c>
      <c r="E245" t="e">
        <f t="shared" si="13"/>
        <v>#N/A</v>
      </c>
      <c r="F245">
        <f t="shared" si="14"/>
        <v>46</v>
      </c>
      <c r="G245">
        <f t="shared" si="15"/>
        <v>2</v>
      </c>
    </row>
    <row r="246" spans="1:7" x14ac:dyDescent="0.2">
      <c r="A246">
        <v>35</v>
      </c>
      <c r="B246">
        <v>6</v>
      </c>
      <c r="C246">
        <v>0</v>
      </c>
      <c r="D246">
        <f t="shared" si="12"/>
        <v>35</v>
      </c>
      <c r="E246">
        <f t="shared" si="13"/>
        <v>6</v>
      </c>
      <c r="F246" t="e">
        <f t="shared" si="14"/>
        <v>#N/A</v>
      </c>
      <c r="G246" t="e">
        <f t="shared" si="15"/>
        <v>#N/A</v>
      </c>
    </row>
    <row r="247" spans="1:7" x14ac:dyDescent="0.2">
      <c r="A247">
        <v>6</v>
      </c>
      <c r="B247">
        <v>3</v>
      </c>
      <c r="C247">
        <v>1</v>
      </c>
      <c r="D247" t="e">
        <f t="shared" si="12"/>
        <v>#N/A</v>
      </c>
      <c r="E247" t="e">
        <f t="shared" si="13"/>
        <v>#N/A</v>
      </c>
      <c r="F247">
        <f t="shared" si="14"/>
        <v>6</v>
      </c>
      <c r="G247">
        <f t="shared" si="15"/>
        <v>3</v>
      </c>
    </row>
    <row r="248" spans="1:7" x14ac:dyDescent="0.2">
      <c r="A248">
        <v>69</v>
      </c>
      <c r="B248">
        <v>8</v>
      </c>
      <c r="C248">
        <v>1</v>
      </c>
      <c r="D248" t="e">
        <f t="shared" si="12"/>
        <v>#N/A</v>
      </c>
      <c r="E248" t="e">
        <f t="shared" si="13"/>
        <v>#N/A</v>
      </c>
      <c r="F248">
        <f t="shared" si="14"/>
        <v>69</v>
      </c>
      <c r="G248">
        <f t="shared" si="15"/>
        <v>8</v>
      </c>
    </row>
    <row r="249" spans="1:7" x14ac:dyDescent="0.2">
      <c r="A249">
        <v>47</v>
      </c>
      <c r="B249">
        <v>2</v>
      </c>
      <c r="C249">
        <v>1</v>
      </c>
      <c r="D249" t="e">
        <f t="shared" si="12"/>
        <v>#N/A</v>
      </c>
      <c r="E249" t="e">
        <f t="shared" si="13"/>
        <v>#N/A</v>
      </c>
      <c r="F249">
        <f t="shared" si="14"/>
        <v>47</v>
      </c>
      <c r="G249">
        <f t="shared" si="15"/>
        <v>2</v>
      </c>
    </row>
    <row r="250" spans="1:7" x14ac:dyDescent="0.2">
      <c r="A250">
        <v>25</v>
      </c>
      <c r="B250">
        <v>1</v>
      </c>
      <c r="C250">
        <v>1</v>
      </c>
      <c r="D250" t="e">
        <f t="shared" si="12"/>
        <v>#N/A</v>
      </c>
      <c r="E250" t="e">
        <f t="shared" si="13"/>
        <v>#N/A</v>
      </c>
      <c r="F250">
        <f t="shared" si="14"/>
        <v>25</v>
      </c>
      <c r="G250">
        <f t="shared" si="15"/>
        <v>1</v>
      </c>
    </row>
    <row r="251" spans="1:7" x14ac:dyDescent="0.2">
      <c r="A251">
        <v>66</v>
      </c>
      <c r="B251">
        <v>9</v>
      </c>
      <c r="C251">
        <v>0</v>
      </c>
      <c r="D251">
        <f t="shared" si="12"/>
        <v>66</v>
      </c>
      <c r="E251">
        <f t="shared" si="13"/>
        <v>9</v>
      </c>
      <c r="F251" t="e">
        <f t="shared" si="14"/>
        <v>#N/A</v>
      </c>
      <c r="G251" t="e">
        <f t="shared" si="15"/>
        <v>#N/A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5B19-84CB-0442-8D23-5C465DA44E35}">
  <dimension ref="E1:W251"/>
  <sheetViews>
    <sheetView zoomScale="125" zoomScaleNormal="75" workbookViewId="0">
      <selection activeCell="D19" sqref="D19"/>
    </sheetView>
  </sheetViews>
  <sheetFormatPr baseColWidth="10" defaultRowHeight="15" x14ac:dyDescent="0.2"/>
  <cols>
    <col min="4" max="4" width="25.83203125" customWidth="1"/>
    <col min="9" max="9" width="18.5" customWidth="1"/>
    <col min="13" max="13" width="16.6640625" customWidth="1"/>
    <col min="19" max="19" width="13.33203125" customWidth="1"/>
    <col min="20" max="20" width="22.1640625" customWidth="1"/>
    <col min="21" max="21" width="23.33203125" customWidth="1"/>
    <col min="22" max="22" width="22.1640625" customWidth="1"/>
    <col min="23" max="23" width="26.83203125" customWidth="1"/>
  </cols>
  <sheetData>
    <row r="1" spans="10:23" ht="24" customHeight="1" x14ac:dyDescent="0.2">
      <c r="J1" t="s">
        <v>11</v>
      </c>
      <c r="L1" t="s">
        <v>13</v>
      </c>
      <c r="M1" t="s">
        <v>8</v>
      </c>
      <c r="N1" t="s">
        <v>26</v>
      </c>
      <c r="O1" t="s">
        <v>28</v>
      </c>
      <c r="P1" t="s">
        <v>27</v>
      </c>
      <c r="Q1" t="s">
        <v>13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s="6" t="s">
        <v>36</v>
      </c>
    </row>
    <row r="2" spans="10:23" x14ac:dyDescent="0.2">
      <c r="J2">
        <v>6</v>
      </c>
      <c r="L2">
        <v>1</v>
      </c>
      <c r="M2">
        <v>28.27</v>
      </c>
      <c r="N2" t="e">
        <f xml:space="preserve"> IF($L2=0, $J2, NA())</f>
        <v>#N/A</v>
      </c>
      <c r="O2" t="e">
        <f xml:space="preserve"> IF($L2=0, $M2, NA())</f>
        <v>#N/A</v>
      </c>
      <c r="P2">
        <f xml:space="preserve"> IF($L2=1, $J2, NA())</f>
        <v>6</v>
      </c>
      <c r="Q2">
        <f xml:space="preserve"> IF($L2=1, $M2, NA())</f>
        <v>28.27</v>
      </c>
      <c r="R2" t="e">
        <f xml:space="preserve"> --(J2 &lt;=#REF!)</f>
        <v>#REF!</v>
      </c>
      <c r="S2" t="e">
        <f xml:space="preserve"> --(M2 &gt;=#REF!)</f>
        <v>#REF!</v>
      </c>
      <c r="T2" s="7" t="e">
        <f>AVERAGEIFS($L$2:$L$251, R2:R251, 1, S2:S251, 1)</f>
        <v>#DIV/0!</v>
      </c>
      <c r="U2" s="7" t="e">
        <f>AVERAGEIFS($L$2:$L$251, R2:R251, 1, S2:S251, 0)</f>
        <v>#DIV/0!</v>
      </c>
      <c r="V2" s="7" t="e">
        <f>AVERAGEIFS($L$2:$L$251, R2:R251, 0, S2:S251, 1)</f>
        <v>#DIV/0!</v>
      </c>
      <c r="W2" s="7" t="e">
        <f>AVERAGEIFS($L$2:$L$251, R2:R251, 0, S2:S251, 0)</f>
        <v>#DIV/0!</v>
      </c>
    </row>
    <row r="3" spans="10:23" x14ac:dyDescent="0.2">
      <c r="J3">
        <v>1</v>
      </c>
      <c r="L3">
        <v>1</v>
      </c>
      <c r="M3">
        <v>107.67</v>
      </c>
      <c r="N3" t="e">
        <f t="shared" ref="N3:N66" si="0" xml:space="preserve"> IF($L3=0, $J3, NA())</f>
        <v>#N/A</v>
      </c>
      <c r="O3" t="e">
        <f t="shared" ref="O3:O66" si="1" xml:space="preserve"> IF($L3=0, $M3, NA())</f>
        <v>#N/A</v>
      </c>
      <c r="P3">
        <f t="shared" ref="P3:P66" si="2" xml:space="preserve"> IF($L3=1, $J3, NA())</f>
        <v>1</v>
      </c>
      <c r="Q3">
        <f t="shared" ref="Q3:Q66" si="3" xml:space="preserve"> IF($L3=1, $M3, NA())</f>
        <v>107.67</v>
      </c>
      <c r="R3" t="e">
        <f xml:space="preserve"> --(J3 &lt;=#REF!)</f>
        <v>#REF!</v>
      </c>
      <c r="S3" t="e">
        <f xml:space="preserve"> --(M3 &gt;=#REF!)</f>
        <v>#REF!</v>
      </c>
      <c r="T3">
        <f xml:space="preserve"> COUNTIFS(R2:R251,1, S2:S251,1)</f>
        <v>0</v>
      </c>
      <c r="U3">
        <f>COUNTIFS(R2:R251,1, S2:S251,0)</f>
        <v>0</v>
      </c>
      <c r="V3">
        <f xml:space="preserve"> COUNTIFS(R2:R251,0, S2:S251,1)</f>
        <v>0</v>
      </c>
      <c r="W3">
        <f xml:space="preserve"> COUNTIFS(R2:R251,0, S2:S251,0)</f>
        <v>0</v>
      </c>
    </row>
    <row r="4" spans="10:23" x14ac:dyDescent="0.2">
      <c r="J4">
        <v>5</v>
      </c>
      <c r="L4">
        <v>0</v>
      </c>
      <c r="M4">
        <v>75.16</v>
      </c>
      <c r="N4">
        <f t="shared" si="0"/>
        <v>5</v>
      </c>
      <c r="O4">
        <f t="shared" si="1"/>
        <v>75.16</v>
      </c>
      <c r="P4" t="e">
        <f t="shared" si="2"/>
        <v>#N/A</v>
      </c>
      <c r="Q4" t="e">
        <f t="shared" si="3"/>
        <v>#N/A</v>
      </c>
      <c r="R4" t="e">
        <f xml:space="preserve"> --(J4 &lt;=#REF!)</f>
        <v>#REF!</v>
      </c>
      <c r="S4" t="e">
        <f xml:space="preserve"> --(M4 &gt;=#REF!)</f>
        <v>#REF!</v>
      </c>
    </row>
    <row r="5" spans="10:23" x14ac:dyDescent="0.2">
      <c r="J5">
        <v>3</v>
      </c>
      <c r="L5">
        <v>1</v>
      </c>
      <c r="M5">
        <v>36.479999999999997</v>
      </c>
      <c r="N5" t="e">
        <f t="shared" si="0"/>
        <v>#N/A</v>
      </c>
      <c r="O5" t="e">
        <f t="shared" si="1"/>
        <v>#N/A</v>
      </c>
      <c r="P5">
        <f t="shared" si="2"/>
        <v>3</v>
      </c>
      <c r="Q5">
        <f t="shared" si="3"/>
        <v>36.479999999999997</v>
      </c>
      <c r="R5" t="e">
        <f xml:space="preserve"> --(J5 &lt;=#REF!)</f>
        <v>#REF!</v>
      </c>
      <c r="S5" t="e">
        <f xml:space="preserve"> --(M5 &gt;=#REF!)</f>
        <v>#REF!</v>
      </c>
    </row>
    <row r="6" spans="10:23" x14ac:dyDescent="0.2">
      <c r="J6">
        <v>1</v>
      </c>
      <c r="L6">
        <v>1</v>
      </c>
      <c r="M6">
        <v>61.13</v>
      </c>
      <c r="N6" t="e">
        <f t="shared" si="0"/>
        <v>#N/A</v>
      </c>
      <c r="O6" t="e">
        <f t="shared" si="1"/>
        <v>#N/A</v>
      </c>
      <c r="P6">
        <f t="shared" si="2"/>
        <v>1</v>
      </c>
      <c r="Q6">
        <f t="shared" si="3"/>
        <v>61.13</v>
      </c>
      <c r="R6" t="e">
        <f xml:space="preserve"> --(J6 &lt;=#REF!)</f>
        <v>#REF!</v>
      </c>
      <c r="S6" t="e">
        <f xml:space="preserve"> --(M6 &gt;=#REF!)</f>
        <v>#REF!</v>
      </c>
    </row>
    <row r="7" spans="10:23" x14ac:dyDescent="0.2">
      <c r="J7">
        <v>4</v>
      </c>
      <c r="L7">
        <v>1</v>
      </c>
      <c r="M7">
        <v>97.76</v>
      </c>
      <c r="N7" t="e">
        <f t="shared" si="0"/>
        <v>#N/A</v>
      </c>
      <c r="O7" t="e">
        <f t="shared" si="1"/>
        <v>#N/A</v>
      </c>
      <c r="P7">
        <f t="shared" si="2"/>
        <v>4</v>
      </c>
      <c r="Q7">
        <f t="shared" si="3"/>
        <v>97.76</v>
      </c>
      <c r="R7" t="e">
        <f xml:space="preserve"> --(J7 &lt;=#REF!)</f>
        <v>#REF!</v>
      </c>
      <c r="S7" t="e">
        <f xml:space="preserve"> --(M7 &gt;=#REF!)</f>
        <v>#REF!</v>
      </c>
    </row>
    <row r="8" spans="10:23" x14ac:dyDescent="0.2">
      <c r="J8">
        <v>2</v>
      </c>
      <c r="L8">
        <v>1</v>
      </c>
      <c r="M8">
        <v>68.040000000000006</v>
      </c>
      <c r="N8" t="e">
        <f t="shared" si="0"/>
        <v>#N/A</v>
      </c>
      <c r="O8" t="e">
        <f t="shared" si="1"/>
        <v>#N/A</v>
      </c>
      <c r="P8">
        <f t="shared" si="2"/>
        <v>2</v>
      </c>
      <c r="Q8">
        <f t="shared" si="3"/>
        <v>68.040000000000006</v>
      </c>
      <c r="R8" t="e">
        <f xml:space="preserve"> --(J8 &lt;=#REF!)</f>
        <v>#REF!</v>
      </c>
      <c r="S8" t="e">
        <f xml:space="preserve"> --(M8 &gt;=#REF!)</f>
        <v>#REF!</v>
      </c>
    </row>
    <row r="9" spans="10:23" x14ac:dyDescent="0.2">
      <c r="J9">
        <v>2</v>
      </c>
      <c r="L9">
        <v>0</v>
      </c>
      <c r="M9">
        <v>118.53</v>
      </c>
      <c r="N9">
        <f t="shared" si="0"/>
        <v>2</v>
      </c>
      <c r="O9">
        <f t="shared" si="1"/>
        <v>118.53</v>
      </c>
      <c r="P9" t="e">
        <f t="shared" si="2"/>
        <v>#N/A</v>
      </c>
      <c r="Q9" t="e">
        <f t="shared" si="3"/>
        <v>#N/A</v>
      </c>
      <c r="R9" t="e">
        <f xml:space="preserve"> --(J9 &lt;=#REF!)</f>
        <v>#REF!</v>
      </c>
      <c r="S9" t="e">
        <f xml:space="preserve"> --(M9 &gt;=#REF!)</f>
        <v>#REF!</v>
      </c>
    </row>
    <row r="10" spans="10:23" x14ac:dyDescent="0.2">
      <c r="J10">
        <v>3</v>
      </c>
      <c r="L10">
        <v>1</v>
      </c>
      <c r="M10">
        <v>57.67</v>
      </c>
      <c r="N10" t="e">
        <f t="shared" si="0"/>
        <v>#N/A</v>
      </c>
      <c r="O10" t="e">
        <f t="shared" si="1"/>
        <v>#N/A</v>
      </c>
      <c r="P10">
        <f t="shared" si="2"/>
        <v>3</v>
      </c>
      <c r="Q10">
        <f t="shared" si="3"/>
        <v>57.67</v>
      </c>
      <c r="R10" t="e">
        <f xml:space="preserve"> --(J10 &lt;=#REF!)</f>
        <v>#REF!</v>
      </c>
      <c r="S10" t="e">
        <f xml:space="preserve"> --(M10 &gt;=#REF!)</f>
        <v>#REF!</v>
      </c>
    </row>
    <row r="11" spans="10:23" x14ac:dyDescent="0.2">
      <c r="J11">
        <v>8</v>
      </c>
      <c r="L11">
        <v>0</v>
      </c>
      <c r="M11">
        <v>94.96</v>
      </c>
      <c r="N11">
        <f t="shared" si="0"/>
        <v>8</v>
      </c>
      <c r="O11">
        <f t="shared" si="1"/>
        <v>94.96</v>
      </c>
      <c r="P11" t="e">
        <f t="shared" si="2"/>
        <v>#N/A</v>
      </c>
      <c r="Q11" t="e">
        <f t="shared" si="3"/>
        <v>#N/A</v>
      </c>
      <c r="R11" t="e">
        <f xml:space="preserve"> --(J11 &lt;=#REF!)</f>
        <v>#REF!</v>
      </c>
      <c r="S11" t="e">
        <f xml:space="preserve"> --(M11 &gt;=#REF!)</f>
        <v>#REF!</v>
      </c>
    </row>
    <row r="12" spans="10:23" x14ac:dyDescent="0.2">
      <c r="J12">
        <v>8</v>
      </c>
      <c r="L12">
        <v>0</v>
      </c>
      <c r="M12">
        <v>59.3</v>
      </c>
      <c r="N12">
        <f t="shared" si="0"/>
        <v>8</v>
      </c>
      <c r="O12">
        <f t="shared" si="1"/>
        <v>59.3</v>
      </c>
      <c r="P12" t="e">
        <f t="shared" si="2"/>
        <v>#N/A</v>
      </c>
      <c r="Q12" t="e">
        <f t="shared" si="3"/>
        <v>#N/A</v>
      </c>
      <c r="R12" t="e">
        <f xml:space="preserve"> --(J12 &lt;=#REF!)</f>
        <v>#REF!</v>
      </c>
      <c r="S12" t="e">
        <f xml:space="preserve"> --(M12 &gt;=#REF!)</f>
        <v>#REF!</v>
      </c>
    </row>
    <row r="13" spans="10:23" x14ac:dyDescent="0.2">
      <c r="J13">
        <v>7</v>
      </c>
      <c r="L13">
        <v>0</v>
      </c>
      <c r="M13">
        <v>102.92</v>
      </c>
      <c r="N13">
        <f t="shared" si="0"/>
        <v>7</v>
      </c>
      <c r="O13">
        <f t="shared" si="1"/>
        <v>102.92</v>
      </c>
      <c r="P13" t="e">
        <f t="shared" si="2"/>
        <v>#N/A</v>
      </c>
      <c r="Q13" t="e">
        <f t="shared" si="3"/>
        <v>#N/A</v>
      </c>
      <c r="R13" t="e">
        <f xml:space="preserve"> --(J13 &lt;=#REF!)</f>
        <v>#REF!</v>
      </c>
      <c r="S13" t="e">
        <f xml:space="preserve"> --(M13 &gt;=#REF!)</f>
        <v>#REF!</v>
      </c>
    </row>
    <row r="14" spans="10:23" x14ac:dyDescent="0.2">
      <c r="J14">
        <v>6</v>
      </c>
      <c r="L14">
        <v>0</v>
      </c>
      <c r="M14">
        <v>76.91</v>
      </c>
      <c r="N14">
        <f t="shared" si="0"/>
        <v>6</v>
      </c>
      <c r="O14">
        <f t="shared" si="1"/>
        <v>76.91</v>
      </c>
      <c r="P14" t="e">
        <f t="shared" si="2"/>
        <v>#N/A</v>
      </c>
      <c r="Q14" t="e">
        <f t="shared" si="3"/>
        <v>#N/A</v>
      </c>
      <c r="R14" t="e">
        <f xml:space="preserve"> --(J14 &lt;=#REF!)</f>
        <v>#REF!</v>
      </c>
      <c r="S14" t="e">
        <f xml:space="preserve"> --(M14 &gt;=#REF!)</f>
        <v>#REF!</v>
      </c>
    </row>
    <row r="15" spans="10:23" x14ac:dyDescent="0.2">
      <c r="J15">
        <v>9</v>
      </c>
      <c r="L15">
        <v>1</v>
      </c>
      <c r="M15">
        <v>26.35</v>
      </c>
      <c r="N15" t="e">
        <f t="shared" si="0"/>
        <v>#N/A</v>
      </c>
      <c r="O15" t="e">
        <f t="shared" si="1"/>
        <v>#N/A</v>
      </c>
      <c r="P15">
        <f t="shared" si="2"/>
        <v>9</v>
      </c>
      <c r="Q15">
        <f t="shared" si="3"/>
        <v>26.35</v>
      </c>
      <c r="R15" t="e">
        <f xml:space="preserve"> --(J15 &lt;=#REF!)</f>
        <v>#REF!</v>
      </c>
      <c r="S15" t="e">
        <f xml:space="preserve"> --(M15 &gt;=#REF!)</f>
        <v>#REF!</v>
      </c>
    </row>
    <row r="16" spans="10:23" x14ac:dyDescent="0.2">
      <c r="J16">
        <v>4</v>
      </c>
      <c r="L16">
        <v>0</v>
      </c>
      <c r="M16">
        <v>23.68</v>
      </c>
      <c r="N16">
        <f t="shared" si="0"/>
        <v>4</v>
      </c>
      <c r="O16">
        <f t="shared" si="1"/>
        <v>23.68</v>
      </c>
      <c r="P16" t="e">
        <f t="shared" si="2"/>
        <v>#N/A</v>
      </c>
      <c r="Q16" t="e">
        <f t="shared" si="3"/>
        <v>#N/A</v>
      </c>
      <c r="R16" t="e">
        <f xml:space="preserve"> --(J16 &lt;=#REF!)</f>
        <v>#REF!</v>
      </c>
      <c r="S16" t="e">
        <f xml:space="preserve"> --(M16 &gt;=#REF!)</f>
        <v>#REF!</v>
      </c>
    </row>
    <row r="17" spans="5:19" x14ac:dyDescent="0.2">
      <c r="J17">
        <v>1</v>
      </c>
      <c r="L17">
        <v>1</v>
      </c>
      <c r="M17">
        <v>33.39</v>
      </c>
      <c r="N17" t="e">
        <f t="shared" si="0"/>
        <v>#N/A</v>
      </c>
      <c r="O17" t="e">
        <f t="shared" si="1"/>
        <v>#N/A</v>
      </c>
      <c r="P17">
        <f t="shared" si="2"/>
        <v>1</v>
      </c>
      <c r="Q17">
        <f t="shared" si="3"/>
        <v>33.39</v>
      </c>
      <c r="R17" t="e">
        <f xml:space="preserve"> --(J17 &lt;=#REF!)</f>
        <v>#REF!</v>
      </c>
      <c r="S17" t="e">
        <f xml:space="preserve"> --(M17 &gt;=#REF!)</f>
        <v>#REF!</v>
      </c>
    </row>
    <row r="18" spans="5:19" x14ac:dyDescent="0.2">
      <c r="J18">
        <v>8</v>
      </c>
      <c r="L18">
        <v>0</v>
      </c>
      <c r="M18">
        <v>21.37</v>
      </c>
      <c r="N18">
        <f t="shared" si="0"/>
        <v>8</v>
      </c>
      <c r="O18">
        <f t="shared" si="1"/>
        <v>21.37</v>
      </c>
      <c r="P18" t="e">
        <f t="shared" si="2"/>
        <v>#N/A</v>
      </c>
      <c r="Q18" t="e">
        <f t="shared" si="3"/>
        <v>#N/A</v>
      </c>
      <c r="R18" t="e">
        <f xml:space="preserve"> --(J18 &lt;=#REF!)</f>
        <v>#REF!</v>
      </c>
      <c r="S18" t="e">
        <f xml:space="preserve"> --(M18 &gt;=#REF!)</f>
        <v>#REF!</v>
      </c>
    </row>
    <row r="19" spans="5:19" x14ac:dyDescent="0.2">
      <c r="E19" t="s">
        <v>29</v>
      </c>
      <c r="F19" t="s">
        <v>30</v>
      </c>
      <c r="J19">
        <v>7</v>
      </c>
      <c r="L19">
        <v>0</v>
      </c>
      <c r="M19">
        <v>27.54</v>
      </c>
      <c r="N19">
        <f t="shared" si="0"/>
        <v>7</v>
      </c>
      <c r="O19">
        <f t="shared" si="1"/>
        <v>27.54</v>
      </c>
      <c r="P19" t="e">
        <f t="shared" si="2"/>
        <v>#N/A</v>
      </c>
      <c r="Q19" t="e">
        <f t="shared" si="3"/>
        <v>#N/A</v>
      </c>
      <c r="R19" t="e">
        <f xml:space="preserve"> --(J19 &lt;=#REF!)</f>
        <v>#REF!</v>
      </c>
      <c r="S19" t="e">
        <f xml:space="preserve"> --(M19 &gt;=#REF!)</f>
        <v>#REF!</v>
      </c>
    </row>
    <row r="20" spans="5:19" x14ac:dyDescent="0.2">
      <c r="E20" t="e">
        <f>#REF!</f>
        <v>#REF!</v>
      </c>
      <c r="F20">
        <f>MIN('1. Raw Data'!E2:E251)</f>
        <v>20.260000000000002</v>
      </c>
      <c r="J20">
        <v>7</v>
      </c>
      <c r="L20">
        <v>1</v>
      </c>
      <c r="M20">
        <v>89.17</v>
      </c>
      <c r="N20" t="e">
        <f t="shared" si="0"/>
        <v>#N/A</v>
      </c>
      <c r="O20" t="e">
        <f t="shared" si="1"/>
        <v>#N/A</v>
      </c>
      <c r="P20">
        <f t="shared" si="2"/>
        <v>7</v>
      </c>
      <c r="Q20">
        <f t="shared" si="3"/>
        <v>89.17</v>
      </c>
      <c r="R20" t="e">
        <f xml:space="preserve"> --(J20 &lt;=#REF!)</f>
        <v>#REF!</v>
      </c>
      <c r="S20" t="e">
        <f xml:space="preserve"> --(M20 &gt;=#REF!)</f>
        <v>#REF!</v>
      </c>
    </row>
    <row r="21" spans="5:19" x14ac:dyDescent="0.2">
      <c r="E21" t="e">
        <f>#REF!</f>
        <v>#REF!</v>
      </c>
      <c r="F21">
        <f>MAX('1. Raw Data'!E2:E251)</f>
        <v>119.77</v>
      </c>
      <c r="J21">
        <v>3</v>
      </c>
      <c r="L21">
        <v>1</v>
      </c>
      <c r="M21">
        <v>73.430000000000007</v>
      </c>
      <c r="N21" t="e">
        <f t="shared" si="0"/>
        <v>#N/A</v>
      </c>
      <c r="O21" t="e">
        <f t="shared" si="1"/>
        <v>#N/A</v>
      </c>
      <c r="P21">
        <f t="shared" si="2"/>
        <v>3</v>
      </c>
      <c r="Q21">
        <f t="shared" si="3"/>
        <v>73.430000000000007</v>
      </c>
      <c r="R21" t="e">
        <f xml:space="preserve"> --(J21 &lt;=#REF!)</f>
        <v>#REF!</v>
      </c>
      <c r="S21" t="e">
        <f xml:space="preserve"> --(M21 &gt;=#REF!)</f>
        <v>#REF!</v>
      </c>
    </row>
    <row r="22" spans="5:19" x14ac:dyDescent="0.2">
      <c r="J22">
        <v>4</v>
      </c>
      <c r="L22">
        <v>0</v>
      </c>
      <c r="M22">
        <v>94.99</v>
      </c>
      <c r="N22">
        <f t="shared" si="0"/>
        <v>4</v>
      </c>
      <c r="O22">
        <f t="shared" si="1"/>
        <v>94.99</v>
      </c>
      <c r="P22" t="e">
        <f t="shared" si="2"/>
        <v>#N/A</v>
      </c>
      <c r="Q22" t="e">
        <f t="shared" si="3"/>
        <v>#N/A</v>
      </c>
      <c r="R22" t="e">
        <f xml:space="preserve"> --(J22 &lt;=#REF!)</f>
        <v>#REF!</v>
      </c>
      <c r="S22" t="e">
        <f xml:space="preserve"> --(M22 &gt;=#REF!)</f>
        <v>#REF!</v>
      </c>
    </row>
    <row r="23" spans="5:19" x14ac:dyDescent="0.2">
      <c r="E23" t="s">
        <v>29</v>
      </c>
      <c r="F23" t="s">
        <v>30</v>
      </c>
      <c r="J23">
        <v>10</v>
      </c>
      <c r="L23">
        <v>1</v>
      </c>
      <c r="M23">
        <v>111.32</v>
      </c>
      <c r="N23" t="e">
        <f t="shared" si="0"/>
        <v>#N/A</v>
      </c>
      <c r="O23" t="e">
        <f t="shared" si="1"/>
        <v>#N/A</v>
      </c>
      <c r="P23">
        <f t="shared" si="2"/>
        <v>10</v>
      </c>
      <c r="Q23">
        <f t="shared" si="3"/>
        <v>111.32</v>
      </c>
      <c r="R23" t="e">
        <f xml:space="preserve"> --(J23 &lt;=#REF!)</f>
        <v>#REF!</v>
      </c>
      <c r="S23" t="e">
        <f xml:space="preserve"> --(M23 &gt;=#REF!)</f>
        <v>#REF!</v>
      </c>
    </row>
    <row r="24" spans="5:19" x14ac:dyDescent="0.2">
      <c r="E24">
        <f>MIN('1. Raw Data'!J2:J251)</f>
        <v>1</v>
      </c>
      <c r="F24" t="e">
        <f>#REF!</f>
        <v>#REF!</v>
      </c>
      <c r="J24">
        <v>9</v>
      </c>
      <c r="L24">
        <v>1</v>
      </c>
      <c r="M24">
        <v>78.510000000000005</v>
      </c>
      <c r="N24" t="e">
        <f t="shared" si="0"/>
        <v>#N/A</v>
      </c>
      <c r="O24" t="e">
        <f t="shared" si="1"/>
        <v>#N/A</v>
      </c>
      <c r="P24">
        <f t="shared" si="2"/>
        <v>9</v>
      </c>
      <c r="Q24">
        <f t="shared" si="3"/>
        <v>78.510000000000005</v>
      </c>
      <c r="R24" t="e">
        <f xml:space="preserve"> --(J24 &lt;=#REF!)</f>
        <v>#REF!</v>
      </c>
      <c r="S24" t="e">
        <f xml:space="preserve"> --(M24 &gt;=#REF!)</f>
        <v>#REF!</v>
      </c>
    </row>
    <row r="25" spans="5:19" x14ac:dyDescent="0.2">
      <c r="E25">
        <f>MAX('1. Raw Data'!J2:J251)</f>
        <v>10</v>
      </c>
      <c r="F25" t="e">
        <f>#REF!</f>
        <v>#REF!</v>
      </c>
      <c r="J25">
        <v>6</v>
      </c>
      <c r="L25">
        <v>0</v>
      </c>
      <c r="M25">
        <v>92.61</v>
      </c>
      <c r="N25">
        <f t="shared" si="0"/>
        <v>6</v>
      </c>
      <c r="O25">
        <f t="shared" si="1"/>
        <v>92.61</v>
      </c>
      <c r="P25" t="e">
        <f t="shared" si="2"/>
        <v>#N/A</v>
      </c>
      <c r="Q25" t="e">
        <f t="shared" si="3"/>
        <v>#N/A</v>
      </c>
      <c r="R25" t="e">
        <f xml:space="preserve"> --(J25 &lt;=#REF!)</f>
        <v>#REF!</v>
      </c>
      <c r="S25" t="e">
        <f xml:space="preserve"> --(M25 &gt;=#REF!)</f>
        <v>#REF!</v>
      </c>
    </row>
    <row r="26" spans="5:19" x14ac:dyDescent="0.2">
      <c r="J26">
        <v>5</v>
      </c>
      <c r="L26">
        <v>0</v>
      </c>
      <c r="M26">
        <v>95.71</v>
      </c>
      <c r="N26">
        <f t="shared" si="0"/>
        <v>5</v>
      </c>
      <c r="O26">
        <f t="shared" si="1"/>
        <v>95.71</v>
      </c>
      <c r="P26" t="e">
        <f t="shared" si="2"/>
        <v>#N/A</v>
      </c>
      <c r="Q26" t="e">
        <f t="shared" si="3"/>
        <v>#N/A</v>
      </c>
      <c r="R26" t="e">
        <f xml:space="preserve"> --(J26 &lt;=#REF!)</f>
        <v>#REF!</v>
      </c>
      <c r="S26" t="e">
        <f xml:space="preserve"> --(M26 &gt;=#REF!)</f>
        <v>#REF!</v>
      </c>
    </row>
    <row r="27" spans="5:19" x14ac:dyDescent="0.2">
      <c r="J27">
        <v>3</v>
      </c>
      <c r="L27">
        <v>0</v>
      </c>
      <c r="M27">
        <v>57.79</v>
      </c>
      <c r="N27">
        <f t="shared" si="0"/>
        <v>3</v>
      </c>
      <c r="O27">
        <f t="shared" si="1"/>
        <v>57.79</v>
      </c>
      <c r="P27" t="e">
        <f t="shared" si="2"/>
        <v>#N/A</v>
      </c>
      <c r="Q27" t="e">
        <f t="shared" si="3"/>
        <v>#N/A</v>
      </c>
      <c r="R27" t="e">
        <f xml:space="preserve"> --(J27 &lt;=#REF!)</f>
        <v>#REF!</v>
      </c>
      <c r="S27" t="e">
        <f xml:space="preserve"> --(M27 &gt;=#REF!)</f>
        <v>#REF!</v>
      </c>
    </row>
    <row r="28" spans="5:19" x14ac:dyDescent="0.2">
      <c r="J28">
        <v>9</v>
      </c>
      <c r="L28">
        <v>0</v>
      </c>
      <c r="M28">
        <v>44.11</v>
      </c>
      <c r="N28">
        <f t="shared" si="0"/>
        <v>9</v>
      </c>
      <c r="O28">
        <f t="shared" si="1"/>
        <v>44.11</v>
      </c>
      <c r="P28" t="e">
        <f t="shared" si="2"/>
        <v>#N/A</v>
      </c>
      <c r="Q28" t="e">
        <f t="shared" si="3"/>
        <v>#N/A</v>
      </c>
      <c r="R28" t="e">
        <f xml:space="preserve"> --(J28 &lt;=#REF!)</f>
        <v>#REF!</v>
      </c>
      <c r="S28" t="e">
        <f xml:space="preserve"> --(M28 &gt;=#REF!)</f>
        <v>#REF!</v>
      </c>
    </row>
    <row r="29" spans="5:19" x14ac:dyDescent="0.2">
      <c r="J29">
        <v>5</v>
      </c>
      <c r="L29">
        <v>0</v>
      </c>
      <c r="M29">
        <v>40.5</v>
      </c>
      <c r="N29">
        <f t="shared" si="0"/>
        <v>5</v>
      </c>
      <c r="O29">
        <f t="shared" si="1"/>
        <v>40.5</v>
      </c>
      <c r="P29" t="e">
        <f t="shared" si="2"/>
        <v>#N/A</v>
      </c>
      <c r="Q29" t="e">
        <f t="shared" si="3"/>
        <v>#N/A</v>
      </c>
      <c r="R29" t="e">
        <f xml:space="preserve"> --(J29 &lt;=#REF!)</f>
        <v>#REF!</v>
      </c>
      <c r="S29" t="e">
        <f xml:space="preserve"> --(M29 &gt;=#REF!)</f>
        <v>#REF!</v>
      </c>
    </row>
    <row r="30" spans="5:19" x14ac:dyDescent="0.2">
      <c r="J30">
        <v>5</v>
      </c>
      <c r="L30">
        <v>0</v>
      </c>
      <c r="M30">
        <v>45.14</v>
      </c>
      <c r="N30">
        <f t="shared" si="0"/>
        <v>5</v>
      </c>
      <c r="O30">
        <f t="shared" si="1"/>
        <v>45.14</v>
      </c>
      <c r="P30" t="e">
        <f t="shared" si="2"/>
        <v>#N/A</v>
      </c>
      <c r="Q30" t="e">
        <f t="shared" si="3"/>
        <v>#N/A</v>
      </c>
      <c r="R30" t="e">
        <f xml:space="preserve"> --(J30 &lt;=#REF!)</f>
        <v>#REF!</v>
      </c>
      <c r="S30" t="e">
        <f xml:space="preserve"> --(M30 &gt;=#REF!)</f>
        <v>#REF!</v>
      </c>
    </row>
    <row r="31" spans="5:19" x14ac:dyDescent="0.2">
      <c r="J31">
        <v>4</v>
      </c>
      <c r="L31">
        <v>1</v>
      </c>
      <c r="M31">
        <v>47.47</v>
      </c>
      <c r="N31" t="e">
        <f t="shared" si="0"/>
        <v>#N/A</v>
      </c>
      <c r="O31" t="e">
        <f t="shared" si="1"/>
        <v>#N/A</v>
      </c>
      <c r="P31">
        <f t="shared" si="2"/>
        <v>4</v>
      </c>
      <c r="Q31">
        <f t="shared" si="3"/>
        <v>47.47</v>
      </c>
      <c r="R31" t="e">
        <f xml:space="preserve"> --(J31 &lt;=#REF!)</f>
        <v>#REF!</v>
      </c>
      <c r="S31" t="e">
        <f xml:space="preserve"> --(M31 &gt;=#REF!)</f>
        <v>#REF!</v>
      </c>
    </row>
    <row r="32" spans="5:19" x14ac:dyDescent="0.2">
      <c r="J32">
        <v>4</v>
      </c>
      <c r="L32">
        <v>1</v>
      </c>
      <c r="M32">
        <v>40.72</v>
      </c>
      <c r="N32" t="e">
        <f t="shared" si="0"/>
        <v>#N/A</v>
      </c>
      <c r="O32" t="e">
        <f t="shared" si="1"/>
        <v>#N/A</v>
      </c>
      <c r="P32">
        <f t="shared" si="2"/>
        <v>4</v>
      </c>
      <c r="Q32">
        <f t="shared" si="3"/>
        <v>40.72</v>
      </c>
      <c r="R32" t="e">
        <f xml:space="preserve"> --(J32 &lt;=#REF!)</f>
        <v>#REF!</v>
      </c>
      <c r="S32" t="e">
        <f xml:space="preserve"> --(M32 &gt;=#REF!)</f>
        <v>#REF!</v>
      </c>
    </row>
    <row r="33" spans="10:19" x14ac:dyDescent="0.2">
      <c r="J33">
        <v>1</v>
      </c>
      <c r="L33">
        <v>0</v>
      </c>
      <c r="M33">
        <v>107.82</v>
      </c>
      <c r="N33">
        <f t="shared" si="0"/>
        <v>1</v>
      </c>
      <c r="O33">
        <f t="shared" si="1"/>
        <v>107.82</v>
      </c>
      <c r="P33" t="e">
        <f t="shared" si="2"/>
        <v>#N/A</v>
      </c>
      <c r="Q33" t="e">
        <f t="shared" si="3"/>
        <v>#N/A</v>
      </c>
      <c r="R33" t="e">
        <f xml:space="preserve"> --(J33 &lt;=#REF!)</f>
        <v>#REF!</v>
      </c>
      <c r="S33" t="e">
        <f xml:space="preserve"> --(M33 &gt;=#REF!)</f>
        <v>#REF!</v>
      </c>
    </row>
    <row r="34" spans="10:19" x14ac:dyDescent="0.2">
      <c r="J34">
        <v>7</v>
      </c>
      <c r="L34">
        <v>0</v>
      </c>
      <c r="M34">
        <v>95.7</v>
      </c>
      <c r="N34">
        <f t="shared" si="0"/>
        <v>7</v>
      </c>
      <c r="O34">
        <f t="shared" si="1"/>
        <v>95.7</v>
      </c>
      <c r="P34" t="e">
        <f t="shared" si="2"/>
        <v>#N/A</v>
      </c>
      <c r="Q34" t="e">
        <f t="shared" si="3"/>
        <v>#N/A</v>
      </c>
      <c r="R34" t="e">
        <f xml:space="preserve"> --(J34 &lt;=#REF!)</f>
        <v>#REF!</v>
      </c>
      <c r="S34" t="e">
        <f xml:space="preserve"> --(M34 &gt;=#REF!)</f>
        <v>#REF!</v>
      </c>
    </row>
    <row r="35" spans="10:19" x14ac:dyDescent="0.2">
      <c r="J35">
        <v>9</v>
      </c>
      <c r="L35">
        <v>1</v>
      </c>
      <c r="M35">
        <v>24.69</v>
      </c>
      <c r="N35" t="e">
        <f t="shared" si="0"/>
        <v>#N/A</v>
      </c>
      <c r="O35" t="e">
        <f t="shared" si="1"/>
        <v>#N/A</v>
      </c>
      <c r="P35">
        <f t="shared" si="2"/>
        <v>9</v>
      </c>
      <c r="Q35">
        <f t="shared" si="3"/>
        <v>24.69</v>
      </c>
      <c r="R35" t="e">
        <f xml:space="preserve"> --(J35 &lt;=#REF!)</f>
        <v>#REF!</v>
      </c>
      <c r="S35" t="e">
        <f xml:space="preserve"> --(M35 &gt;=#REF!)</f>
        <v>#REF!</v>
      </c>
    </row>
    <row r="36" spans="10:19" x14ac:dyDescent="0.2">
      <c r="J36">
        <v>3</v>
      </c>
      <c r="L36">
        <v>1</v>
      </c>
      <c r="M36">
        <v>46.87</v>
      </c>
      <c r="N36" t="e">
        <f t="shared" si="0"/>
        <v>#N/A</v>
      </c>
      <c r="O36" t="e">
        <f t="shared" si="1"/>
        <v>#N/A</v>
      </c>
      <c r="P36">
        <f t="shared" si="2"/>
        <v>3</v>
      </c>
      <c r="Q36">
        <f t="shared" si="3"/>
        <v>46.87</v>
      </c>
      <c r="R36" t="e">
        <f xml:space="preserve"> --(J36 &lt;=#REF!)</f>
        <v>#REF!</v>
      </c>
      <c r="S36" t="e">
        <f xml:space="preserve"> --(M36 &gt;=#REF!)</f>
        <v>#REF!</v>
      </c>
    </row>
    <row r="37" spans="10:19" x14ac:dyDescent="0.2">
      <c r="J37">
        <v>2</v>
      </c>
      <c r="L37">
        <v>0</v>
      </c>
      <c r="M37">
        <v>22.22</v>
      </c>
      <c r="N37">
        <f t="shared" si="0"/>
        <v>2</v>
      </c>
      <c r="O37">
        <f t="shared" si="1"/>
        <v>22.22</v>
      </c>
      <c r="P37" t="e">
        <f t="shared" si="2"/>
        <v>#N/A</v>
      </c>
      <c r="Q37" t="e">
        <f t="shared" si="3"/>
        <v>#N/A</v>
      </c>
      <c r="R37" t="e">
        <f xml:space="preserve"> --(J37 &lt;=#REF!)</f>
        <v>#REF!</v>
      </c>
      <c r="S37" t="e">
        <f xml:space="preserve"> --(M37 &gt;=#REF!)</f>
        <v>#REF!</v>
      </c>
    </row>
    <row r="38" spans="10:19" x14ac:dyDescent="0.2">
      <c r="J38">
        <v>3</v>
      </c>
      <c r="L38">
        <v>0</v>
      </c>
      <c r="M38">
        <v>69.819999999999993</v>
      </c>
      <c r="N38">
        <f t="shared" si="0"/>
        <v>3</v>
      </c>
      <c r="O38">
        <f t="shared" si="1"/>
        <v>69.819999999999993</v>
      </c>
      <c r="P38" t="e">
        <f t="shared" si="2"/>
        <v>#N/A</v>
      </c>
      <c r="Q38" t="e">
        <f t="shared" si="3"/>
        <v>#N/A</v>
      </c>
      <c r="R38" t="e">
        <f xml:space="preserve"> --(J38 &lt;=#REF!)</f>
        <v>#REF!</v>
      </c>
      <c r="S38" t="e">
        <f xml:space="preserve"> --(M38 &gt;=#REF!)</f>
        <v>#REF!</v>
      </c>
    </row>
    <row r="39" spans="10:19" x14ac:dyDescent="0.2">
      <c r="J39">
        <v>1</v>
      </c>
      <c r="L39">
        <v>0</v>
      </c>
      <c r="M39">
        <v>67.62</v>
      </c>
      <c r="N39">
        <f t="shared" si="0"/>
        <v>1</v>
      </c>
      <c r="O39">
        <f t="shared" si="1"/>
        <v>67.62</v>
      </c>
      <c r="P39" t="e">
        <f t="shared" si="2"/>
        <v>#N/A</v>
      </c>
      <c r="Q39" t="e">
        <f t="shared" si="3"/>
        <v>#N/A</v>
      </c>
      <c r="R39" t="e">
        <f xml:space="preserve"> --(J39 &lt;=#REF!)</f>
        <v>#REF!</v>
      </c>
      <c r="S39" t="e">
        <f xml:space="preserve"> --(M39 &gt;=#REF!)</f>
        <v>#REF!</v>
      </c>
    </row>
    <row r="40" spans="10:19" x14ac:dyDescent="0.2">
      <c r="J40">
        <v>6</v>
      </c>
      <c r="L40">
        <v>1</v>
      </c>
      <c r="M40">
        <v>103.14</v>
      </c>
      <c r="N40" t="e">
        <f t="shared" si="0"/>
        <v>#N/A</v>
      </c>
      <c r="O40" t="e">
        <f t="shared" si="1"/>
        <v>#N/A</v>
      </c>
      <c r="P40">
        <f t="shared" si="2"/>
        <v>6</v>
      </c>
      <c r="Q40">
        <f t="shared" si="3"/>
        <v>103.14</v>
      </c>
      <c r="R40" t="e">
        <f xml:space="preserve"> --(J40 &lt;=#REF!)</f>
        <v>#REF!</v>
      </c>
      <c r="S40" t="e">
        <f xml:space="preserve"> --(M40 &gt;=#REF!)</f>
        <v>#REF!</v>
      </c>
    </row>
    <row r="41" spans="10:19" x14ac:dyDescent="0.2">
      <c r="J41">
        <v>7</v>
      </c>
      <c r="L41">
        <v>0</v>
      </c>
      <c r="M41">
        <v>50.78</v>
      </c>
      <c r="N41">
        <f t="shared" si="0"/>
        <v>7</v>
      </c>
      <c r="O41">
        <f t="shared" si="1"/>
        <v>50.78</v>
      </c>
      <c r="P41" t="e">
        <f t="shared" si="2"/>
        <v>#N/A</v>
      </c>
      <c r="Q41" t="e">
        <f t="shared" si="3"/>
        <v>#N/A</v>
      </c>
      <c r="R41" t="e">
        <f xml:space="preserve"> --(J41 &lt;=#REF!)</f>
        <v>#REF!</v>
      </c>
      <c r="S41" t="e">
        <f xml:space="preserve"> --(M41 &gt;=#REF!)</f>
        <v>#REF!</v>
      </c>
    </row>
    <row r="42" spans="10:19" x14ac:dyDescent="0.2">
      <c r="J42">
        <v>2</v>
      </c>
      <c r="L42">
        <v>1</v>
      </c>
      <c r="M42">
        <v>101.64</v>
      </c>
      <c r="N42" t="e">
        <f t="shared" si="0"/>
        <v>#N/A</v>
      </c>
      <c r="O42" t="e">
        <f t="shared" si="1"/>
        <v>#N/A</v>
      </c>
      <c r="P42">
        <f t="shared" si="2"/>
        <v>2</v>
      </c>
      <c r="Q42">
        <f t="shared" si="3"/>
        <v>101.64</v>
      </c>
      <c r="R42" t="e">
        <f xml:space="preserve"> --(J42 &lt;=#REF!)</f>
        <v>#REF!</v>
      </c>
      <c r="S42" t="e">
        <f xml:space="preserve"> --(M42 &gt;=#REF!)</f>
        <v>#REF!</v>
      </c>
    </row>
    <row r="43" spans="10:19" x14ac:dyDescent="0.2">
      <c r="J43">
        <v>8</v>
      </c>
      <c r="L43">
        <v>1</v>
      </c>
      <c r="M43">
        <v>116.8</v>
      </c>
      <c r="N43" t="e">
        <f t="shared" si="0"/>
        <v>#N/A</v>
      </c>
      <c r="O43" t="e">
        <f t="shared" si="1"/>
        <v>#N/A</v>
      </c>
      <c r="P43">
        <f t="shared" si="2"/>
        <v>8</v>
      </c>
      <c r="Q43">
        <f t="shared" si="3"/>
        <v>116.8</v>
      </c>
      <c r="R43" t="e">
        <f xml:space="preserve"> --(J43 &lt;=#REF!)</f>
        <v>#REF!</v>
      </c>
      <c r="S43" t="e">
        <f xml:space="preserve"> --(M43 &gt;=#REF!)</f>
        <v>#REF!</v>
      </c>
    </row>
    <row r="44" spans="10:19" x14ac:dyDescent="0.2">
      <c r="J44">
        <v>6</v>
      </c>
      <c r="L44">
        <v>1</v>
      </c>
      <c r="M44">
        <v>28.84</v>
      </c>
      <c r="N44" t="e">
        <f t="shared" si="0"/>
        <v>#N/A</v>
      </c>
      <c r="O44" t="e">
        <f t="shared" si="1"/>
        <v>#N/A</v>
      </c>
      <c r="P44">
        <f t="shared" si="2"/>
        <v>6</v>
      </c>
      <c r="Q44">
        <f t="shared" si="3"/>
        <v>28.84</v>
      </c>
      <c r="R44" t="e">
        <f xml:space="preserve"> --(J44 &lt;=#REF!)</f>
        <v>#REF!</v>
      </c>
      <c r="S44" t="e">
        <f xml:space="preserve"> --(M44 &gt;=#REF!)</f>
        <v>#REF!</v>
      </c>
    </row>
    <row r="45" spans="10:19" x14ac:dyDescent="0.2">
      <c r="J45">
        <v>4</v>
      </c>
      <c r="L45">
        <v>0</v>
      </c>
      <c r="M45">
        <v>99.18</v>
      </c>
      <c r="N45">
        <f t="shared" si="0"/>
        <v>4</v>
      </c>
      <c r="O45">
        <f t="shared" si="1"/>
        <v>99.18</v>
      </c>
      <c r="P45" t="e">
        <f t="shared" si="2"/>
        <v>#N/A</v>
      </c>
      <c r="Q45" t="e">
        <f t="shared" si="3"/>
        <v>#N/A</v>
      </c>
      <c r="R45" t="e">
        <f xml:space="preserve"> --(J45 &lt;=#REF!)</f>
        <v>#REF!</v>
      </c>
      <c r="S45" t="e">
        <f xml:space="preserve"> --(M45 &gt;=#REF!)</f>
        <v>#REF!</v>
      </c>
    </row>
    <row r="46" spans="10:19" x14ac:dyDescent="0.2">
      <c r="J46">
        <v>5</v>
      </c>
      <c r="L46">
        <v>1</v>
      </c>
      <c r="M46">
        <v>79</v>
      </c>
      <c r="N46" t="e">
        <f t="shared" si="0"/>
        <v>#N/A</v>
      </c>
      <c r="O46" t="e">
        <f t="shared" si="1"/>
        <v>#N/A</v>
      </c>
      <c r="P46">
        <f t="shared" si="2"/>
        <v>5</v>
      </c>
      <c r="Q46">
        <f t="shared" si="3"/>
        <v>79</v>
      </c>
      <c r="R46" t="e">
        <f xml:space="preserve"> --(J46 &lt;=#REF!)</f>
        <v>#REF!</v>
      </c>
      <c r="S46" t="e">
        <f xml:space="preserve"> --(M46 &gt;=#REF!)</f>
        <v>#REF!</v>
      </c>
    </row>
    <row r="47" spans="10:19" x14ac:dyDescent="0.2">
      <c r="J47">
        <v>8</v>
      </c>
      <c r="L47">
        <v>0</v>
      </c>
      <c r="M47">
        <v>68</v>
      </c>
      <c r="N47">
        <f t="shared" si="0"/>
        <v>8</v>
      </c>
      <c r="O47">
        <f t="shared" si="1"/>
        <v>68</v>
      </c>
      <c r="P47" t="e">
        <f t="shared" si="2"/>
        <v>#N/A</v>
      </c>
      <c r="Q47" t="e">
        <f t="shared" si="3"/>
        <v>#N/A</v>
      </c>
      <c r="R47" t="e">
        <f xml:space="preserve"> --(J47 &lt;=#REF!)</f>
        <v>#REF!</v>
      </c>
      <c r="S47" t="e">
        <f xml:space="preserve"> --(M47 &gt;=#REF!)</f>
        <v>#REF!</v>
      </c>
    </row>
    <row r="48" spans="10:19" x14ac:dyDescent="0.2">
      <c r="J48">
        <v>3</v>
      </c>
      <c r="L48">
        <v>0</v>
      </c>
      <c r="M48">
        <v>62.05</v>
      </c>
      <c r="N48">
        <f t="shared" si="0"/>
        <v>3</v>
      </c>
      <c r="O48">
        <f t="shared" si="1"/>
        <v>62.05</v>
      </c>
      <c r="P48" t="e">
        <f t="shared" si="2"/>
        <v>#N/A</v>
      </c>
      <c r="Q48" t="e">
        <f t="shared" si="3"/>
        <v>#N/A</v>
      </c>
      <c r="R48" t="e">
        <f xml:space="preserve"> --(J48 &lt;=#REF!)</f>
        <v>#REF!</v>
      </c>
      <c r="S48" t="e">
        <f xml:space="preserve"> --(M48 &gt;=#REF!)</f>
        <v>#REF!</v>
      </c>
    </row>
    <row r="49" spans="10:19" x14ac:dyDescent="0.2">
      <c r="J49">
        <v>3</v>
      </c>
      <c r="L49">
        <v>1</v>
      </c>
      <c r="M49">
        <v>98.47</v>
      </c>
      <c r="N49" t="e">
        <f t="shared" si="0"/>
        <v>#N/A</v>
      </c>
      <c r="O49" t="e">
        <f t="shared" si="1"/>
        <v>#N/A</v>
      </c>
      <c r="P49">
        <f t="shared" si="2"/>
        <v>3</v>
      </c>
      <c r="Q49">
        <f t="shared" si="3"/>
        <v>98.47</v>
      </c>
      <c r="R49" t="e">
        <f xml:space="preserve"> --(J49 &lt;=#REF!)</f>
        <v>#REF!</v>
      </c>
      <c r="S49" t="e">
        <f xml:space="preserve"> --(M49 &gt;=#REF!)</f>
        <v>#REF!</v>
      </c>
    </row>
    <row r="50" spans="10:19" x14ac:dyDescent="0.2">
      <c r="J50">
        <v>4</v>
      </c>
      <c r="L50">
        <v>0</v>
      </c>
      <c r="M50">
        <v>83.94</v>
      </c>
      <c r="N50">
        <f t="shared" si="0"/>
        <v>4</v>
      </c>
      <c r="O50">
        <f t="shared" si="1"/>
        <v>83.94</v>
      </c>
      <c r="P50" t="e">
        <f t="shared" si="2"/>
        <v>#N/A</v>
      </c>
      <c r="Q50" t="e">
        <f t="shared" si="3"/>
        <v>#N/A</v>
      </c>
      <c r="R50" t="e">
        <f xml:space="preserve"> --(J50 &lt;=#REF!)</f>
        <v>#REF!</v>
      </c>
      <c r="S50" t="e">
        <f xml:space="preserve"> --(M50 &gt;=#REF!)</f>
        <v>#REF!</v>
      </c>
    </row>
    <row r="51" spans="10:19" x14ac:dyDescent="0.2">
      <c r="J51">
        <v>1</v>
      </c>
      <c r="L51">
        <v>1</v>
      </c>
      <c r="M51">
        <v>100.5</v>
      </c>
      <c r="N51" t="e">
        <f t="shared" si="0"/>
        <v>#N/A</v>
      </c>
      <c r="O51" t="e">
        <f t="shared" si="1"/>
        <v>#N/A</v>
      </c>
      <c r="P51">
        <f t="shared" si="2"/>
        <v>1</v>
      </c>
      <c r="Q51">
        <f t="shared" si="3"/>
        <v>100.5</v>
      </c>
      <c r="R51" t="e">
        <f xml:space="preserve"> --(J51 &lt;=#REF!)</f>
        <v>#REF!</v>
      </c>
      <c r="S51" t="e">
        <f xml:space="preserve"> --(M51 &gt;=#REF!)</f>
        <v>#REF!</v>
      </c>
    </row>
    <row r="52" spans="10:19" x14ac:dyDescent="0.2">
      <c r="J52">
        <v>9</v>
      </c>
      <c r="L52">
        <v>0</v>
      </c>
      <c r="M52">
        <v>110.32</v>
      </c>
      <c r="N52">
        <f t="shared" si="0"/>
        <v>9</v>
      </c>
      <c r="O52">
        <f t="shared" si="1"/>
        <v>110.32</v>
      </c>
      <c r="P52" t="e">
        <f t="shared" si="2"/>
        <v>#N/A</v>
      </c>
      <c r="Q52" t="e">
        <f t="shared" si="3"/>
        <v>#N/A</v>
      </c>
      <c r="R52" t="e">
        <f xml:space="preserve"> --(J52 &lt;=#REF!)</f>
        <v>#REF!</v>
      </c>
      <c r="S52" t="e">
        <f xml:space="preserve"> --(M52 &gt;=#REF!)</f>
        <v>#REF!</v>
      </c>
    </row>
    <row r="53" spans="10:19" x14ac:dyDescent="0.2">
      <c r="J53">
        <v>8</v>
      </c>
      <c r="L53">
        <v>0</v>
      </c>
      <c r="M53">
        <v>81.73</v>
      </c>
      <c r="N53">
        <f t="shared" si="0"/>
        <v>8</v>
      </c>
      <c r="O53">
        <f t="shared" si="1"/>
        <v>81.73</v>
      </c>
      <c r="P53" t="e">
        <f t="shared" si="2"/>
        <v>#N/A</v>
      </c>
      <c r="Q53" t="e">
        <f t="shared" si="3"/>
        <v>#N/A</v>
      </c>
      <c r="R53" t="e">
        <f xml:space="preserve"> --(J53 &lt;=#REF!)</f>
        <v>#REF!</v>
      </c>
      <c r="S53" t="e">
        <f xml:space="preserve"> --(M53 &gt;=#REF!)</f>
        <v>#REF!</v>
      </c>
    </row>
    <row r="54" spans="10:19" x14ac:dyDescent="0.2">
      <c r="J54">
        <v>8</v>
      </c>
      <c r="L54">
        <v>0</v>
      </c>
      <c r="M54">
        <v>118.05</v>
      </c>
      <c r="N54">
        <f t="shared" si="0"/>
        <v>8</v>
      </c>
      <c r="O54">
        <f t="shared" si="1"/>
        <v>118.05</v>
      </c>
      <c r="P54" t="e">
        <f t="shared" si="2"/>
        <v>#N/A</v>
      </c>
      <c r="Q54" t="e">
        <f t="shared" si="3"/>
        <v>#N/A</v>
      </c>
      <c r="R54" t="e">
        <f xml:space="preserve"> --(J54 &lt;=#REF!)</f>
        <v>#REF!</v>
      </c>
      <c r="S54" t="e">
        <f xml:space="preserve"> --(M54 &gt;=#REF!)</f>
        <v>#REF!</v>
      </c>
    </row>
    <row r="55" spans="10:19" x14ac:dyDescent="0.2">
      <c r="J55">
        <v>10</v>
      </c>
      <c r="L55">
        <v>0</v>
      </c>
      <c r="M55">
        <v>80.81</v>
      </c>
      <c r="N55">
        <f t="shared" si="0"/>
        <v>10</v>
      </c>
      <c r="O55">
        <f t="shared" si="1"/>
        <v>80.81</v>
      </c>
      <c r="P55" t="e">
        <f t="shared" si="2"/>
        <v>#N/A</v>
      </c>
      <c r="Q55" t="e">
        <f t="shared" si="3"/>
        <v>#N/A</v>
      </c>
      <c r="R55" t="e">
        <f xml:space="preserve"> --(J55 &lt;=#REF!)</f>
        <v>#REF!</v>
      </c>
      <c r="S55" t="e">
        <f xml:space="preserve"> --(M55 &gt;=#REF!)</f>
        <v>#REF!</v>
      </c>
    </row>
    <row r="56" spans="10:19" x14ac:dyDescent="0.2">
      <c r="J56">
        <v>6</v>
      </c>
      <c r="L56">
        <v>1</v>
      </c>
      <c r="M56">
        <v>83.66</v>
      </c>
      <c r="N56" t="e">
        <f t="shared" si="0"/>
        <v>#N/A</v>
      </c>
      <c r="O56" t="e">
        <f t="shared" si="1"/>
        <v>#N/A</v>
      </c>
      <c r="P56">
        <f t="shared" si="2"/>
        <v>6</v>
      </c>
      <c r="Q56">
        <f t="shared" si="3"/>
        <v>83.66</v>
      </c>
      <c r="R56" t="e">
        <f xml:space="preserve"> --(J56 &lt;=#REF!)</f>
        <v>#REF!</v>
      </c>
      <c r="S56" t="e">
        <f xml:space="preserve"> --(M56 &gt;=#REF!)</f>
        <v>#REF!</v>
      </c>
    </row>
    <row r="57" spans="10:19" x14ac:dyDescent="0.2">
      <c r="J57">
        <v>7</v>
      </c>
      <c r="L57">
        <v>1</v>
      </c>
      <c r="M57">
        <v>75.48</v>
      </c>
      <c r="N57" t="e">
        <f t="shared" si="0"/>
        <v>#N/A</v>
      </c>
      <c r="O57" t="e">
        <f t="shared" si="1"/>
        <v>#N/A</v>
      </c>
      <c r="P57">
        <f t="shared" si="2"/>
        <v>7</v>
      </c>
      <c r="Q57">
        <f t="shared" si="3"/>
        <v>75.48</v>
      </c>
      <c r="R57" t="e">
        <f xml:space="preserve"> --(J57 &lt;=#REF!)</f>
        <v>#REF!</v>
      </c>
      <c r="S57" t="e">
        <f xml:space="preserve"> --(M57 &gt;=#REF!)</f>
        <v>#REF!</v>
      </c>
    </row>
    <row r="58" spans="10:19" x14ac:dyDescent="0.2">
      <c r="J58">
        <v>6</v>
      </c>
      <c r="L58">
        <v>0</v>
      </c>
      <c r="M58">
        <v>29.1</v>
      </c>
      <c r="N58">
        <f t="shared" si="0"/>
        <v>6</v>
      </c>
      <c r="O58">
        <f t="shared" si="1"/>
        <v>29.1</v>
      </c>
      <c r="P58" t="e">
        <f t="shared" si="2"/>
        <v>#N/A</v>
      </c>
      <c r="Q58" t="e">
        <f t="shared" si="3"/>
        <v>#N/A</v>
      </c>
      <c r="R58" t="e">
        <f xml:space="preserve"> --(J58 &lt;=#REF!)</f>
        <v>#REF!</v>
      </c>
      <c r="S58" t="e">
        <f xml:space="preserve"> --(M58 &gt;=#REF!)</f>
        <v>#REF!</v>
      </c>
    </row>
    <row r="59" spans="10:19" x14ac:dyDescent="0.2">
      <c r="J59">
        <v>9</v>
      </c>
      <c r="L59">
        <v>0</v>
      </c>
      <c r="M59">
        <v>92.64</v>
      </c>
      <c r="N59">
        <f t="shared" si="0"/>
        <v>9</v>
      </c>
      <c r="O59">
        <f t="shared" si="1"/>
        <v>92.64</v>
      </c>
      <c r="P59" t="e">
        <f t="shared" si="2"/>
        <v>#N/A</v>
      </c>
      <c r="Q59" t="e">
        <f t="shared" si="3"/>
        <v>#N/A</v>
      </c>
      <c r="R59" t="e">
        <f xml:space="preserve"> --(J59 &lt;=#REF!)</f>
        <v>#REF!</v>
      </c>
      <c r="S59" t="e">
        <f xml:space="preserve"> --(M59 &gt;=#REF!)</f>
        <v>#REF!</v>
      </c>
    </row>
    <row r="60" spans="10:19" x14ac:dyDescent="0.2">
      <c r="J60">
        <v>3</v>
      </c>
      <c r="L60">
        <v>1</v>
      </c>
      <c r="M60">
        <v>74.739999999999995</v>
      </c>
      <c r="N60" t="e">
        <f t="shared" si="0"/>
        <v>#N/A</v>
      </c>
      <c r="O60" t="e">
        <f t="shared" si="1"/>
        <v>#N/A</v>
      </c>
      <c r="P60">
        <f t="shared" si="2"/>
        <v>3</v>
      </c>
      <c r="Q60">
        <f t="shared" si="3"/>
        <v>74.739999999999995</v>
      </c>
      <c r="R60" t="e">
        <f xml:space="preserve"> --(J60 &lt;=#REF!)</f>
        <v>#REF!</v>
      </c>
      <c r="S60" t="e">
        <f xml:space="preserve"> --(M60 &gt;=#REF!)</f>
        <v>#REF!</v>
      </c>
    </row>
    <row r="61" spans="10:19" x14ac:dyDescent="0.2">
      <c r="J61">
        <v>3</v>
      </c>
      <c r="L61">
        <v>0</v>
      </c>
      <c r="M61">
        <v>65.09</v>
      </c>
      <c r="N61">
        <f t="shared" si="0"/>
        <v>3</v>
      </c>
      <c r="O61">
        <f t="shared" si="1"/>
        <v>65.09</v>
      </c>
      <c r="P61" t="e">
        <f t="shared" si="2"/>
        <v>#N/A</v>
      </c>
      <c r="Q61" t="e">
        <f t="shared" si="3"/>
        <v>#N/A</v>
      </c>
      <c r="R61" t="e">
        <f xml:space="preserve"> --(J61 &lt;=#REF!)</f>
        <v>#REF!</v>
      </c>
      <c r="S61" t="e">
        <f xml:space="preserve"> --(M61 &gt;=#REF!)</f>
        <v>#REF!</v>
      </c>
    </row>
    <row r="62" spans="10:19" x14ac:dyDescent="0.2">
      <c r="J62">
        <v>3</v>
      </c>
      <c r="L62">
        <v>1</v>
      </c>
      <c r="M62">
        <v>111.05</v>
      </c>
      <c r="N62" t="e">
        <f t="shared" si="0"/>
        <v>#N/A</v>
      </c>
      <c r="O62" t="e">
        <f t="shared" si="1"/>
        <v>#N/A</v>
      </c>
      <c r="P62">
        <f t="shared" si="2"/>
        <v>3</v>
      </c>
      <c r="Q62">
        <f t="shared" si="3"/>
        <v>111.05</v>
      </c>
      <c r="R62" t="e">
        <f xml:space="preserve"> --(J62 &lt;=#REF!)</f>
        <v>#REF!</v>
      </c>
      <c r="S62" t="e">
        <f xml:space="preserve"> --(M62 &gt;=#REF!)</f>
        <v>#REF!</v>
      </c>
    </row>
    <row r="63" spans="10:19" x14ac:dyDescent="0.2">
      <c r="J63">
        <v>10</v>
      </c>
      <c r="L63">
        <v>0</v>
      </c>
      <c r="M63">
        <v>49.8</v>
      </c>
      <c r="N63">
        <f t="shared" si="0"/>
        <v>10</v>
      </c>
      <c r="O63">
        <f t="shared" si="1"/>
        <v>49.8</v>
      </c>
      <c r="P63" t="e">
        <f t="shared" si="2"/>
        <v>#N/A</v>
      </c>
      <c r="Q63" t="e">
        <f t="shared" si="3"/>
        <v>#N/A</v>
      </c>
      <c r="R63" t="e">
        <f xml:space="preserve"> --(J63 &lt;=#REF!)</f>
        <v>#REF!</v>
      </c>
      <c r="S63" t="e">
        <f xml:space="preserve"> --(M63 &gt;=#REF!)</f>
        <v>#REF!</v>
      </c>
    </row>
    <row r="64" spans="10:19" x14ac:dyDescent="0.2">
      <c r="J64">
        <v>3</v>
      </c>
      <c r="L64">
        <v>1</v>
      </c>
      <c r="M64">
        <v>72.36</v>
      </c>
      <c r="N64" t="e">
        <f t="shared" si="0"/>
        <v>#N/A</v>
      </c>
      <c r="O64" t="e">
        <f t="shared" si="1"/>
        <v>#N/A</v>
      </c>
      <c r="P64">
        <f t="shared" si="2"/>
        <v>3</v>
      </c>
      <c r="Q64">
        <f t="shared" si="3"/>
        <v>72.36</v>
      </c>
      <c r="R64" t="e">
        <f xml:space="preserve"> --(J64 &lt;=#REF!)</f>
        <v>#REF!</v>
      </c>
      <c r="S64" t="e">
        <f xml:space="preserve"> --(M64 &gt;=#REF!)</f>
        <v>#REF!</v>
      </c>
    </row>
    <row r="65" spans="10:19" x14ac:dyDescent="0.2">
      <c r="J65">
        <v>9</v>
      </c>
      <c r="L65">
        <v>0</v>
      </c>
      <c r="M65">
        <v>89.76</v>
      </c>
      <c r="N65">
        <f t="shared" si="0"/>
        <v>9</v>
      </c>
      <c r="O65">
        <f t="shared" si="1"/>
        <v>89.76</v>
      </c>
      <c r="P65" t="e">
        <f t="shared" si="2"/>
        <v>#N/A</v>
      </c>
      <c r="Q65" t="e">
        <f t="shared" si="3"/>
        <v>#N/A</v>
      </c>
      <c r="R65" t="e">
        <f xml:space="preserve"> --(J65 &lt;=#REF!)</f>
        <v>#REF!</v>
      </c>
      <c r="S65" t="e">
        <f xml:space="preserve"> --(M65 &gt;=#REF!)</f>
        <v>#REF!</v>
      </c>
    </row>
    <row r="66" spans="10:19" x14ac:dyDescent="0.2">
      <c r="J66">
        <v>4</v>
      </c>
      <c r="L66">
        <v>1</v>
      </c>
      <c r="M66">
        <v>99.65</v>
      </c>
      <c r="N66" t="e">
        <f t="shared" si="0"/>
        <v>#N/A</v>
      </c>
      <c r="O66" t="e">
        <f t="shared" si="1"/>
        <v>#N/A</v>
      </c>
      <c r="P66">
        <f t="shared" si="2"/>
        <v>4</v>
      </c>
      <c r="Q66">
        <f t="shared" si="3"/>
        <v>99.65</v>
      </c>
      <c r="R66" t="e">
        <f xml:space="preserve"> --(J66 &lt;=#REF!)</f>
        <v>#REF!</v>
      </c>
      <c r="S66" t="e">
        <f xml:space="preserve"> --(M66 &gt;=#REF!)</f>
        <v>#REF!</v>
      </c>
    </row>
    <row r="67" spans="10:19" x14ac:dyDescent="0.2">
      <c r="J67">
        <v>7</v>
      </c>
      <c r="L67">
        <v>1</v>
      </c>
      <c r="M67">
        <v>65.930000000000007</v>
      </c>
      <c r="N67" t="e">
        <f t="shared" ref="N67:N130" si="4" xml:space="preserve"> IF($L67=0, $J67, NA())</f>
        <v>#N/A</v>
      </c>
      <c r="O67" t="e">
        <f t="shared" ref="O67:O130" si="5" xml:space="preserve"> IF($L67=0, $M67, NA())</f>
        <v>#N/A</v>
      </c>
      <c r="P67">
        <f t="shared" ref="P67:P130" si="6" xml:space="preserve"> IF($L67=1, $J67, NA())</f>
        <v>7</v>
      </c>
      <c r="Q67">
        <f t="shared" ref="Q67:Q130" si="7" xml:space="preserve"> IF($L67=1, $M67, NA())</f>
        <v>65.930000000000007</v>
      </c>
      <c r="R67" t="e">
        <f xml:space="preserve"> --(J67 &lt;=#REF!)</f>
        <v>#REF!</v>
      </c>
      <c r="S67" t="e">
        <f xml:space="preserve"> --(M67 &gt;=#REF!)</f>
        <v>#REF!</v>
      </c>
    </row>
    <row r="68" spans="10:19" x14ac:dyDescent="0.2">
      <c r="J68">
        <v>9</v>
      </c>
      <c r="L68">
        <v>1</v>
      </c>
      <c r="M68">
        <v>104.21</v>
      </c>
      <c r="N68" t="e">
        <f t="shared" si="4"/>
        <v>#N/A</v>
      </c>
      <c r="O68" t="e">
        <f t="shared" si="5"/>
        <v>#N/A</v>
      </c>
      <c r="P68">
        <f t="shared" si="6"/>
        <v>9</v>
      </c>
      <c r="Q68">
        <f t="shared" si="7"/>
        <v>104.21</v>
      </c>
      <c r="R68" t="e">
        <f xml:space="preserve"> --(J68 &lt;=#REF!)</f>
        <v>#REF!</v>
      </c>
      <c r="S68" t="e">
        <f xml:space="preserve"> --(M68 &gt;=#REF!)</f>
        <v>#REF!</v>
      </c>
    </row>
    <row r="69" spans="10:19" x14ac:dyDescent="0.2">
      <c r="J69">
        <v>7</v>
      </c>
      <c r="L69">
        <v>1</v>
      </c>
      <c r="M69">
        <v>96.89</v>
      </c>
      <c r="N69" t="e">
        <f t="shared" si="4"/>
        <v>#N/A</v>
      </c>
      <c r="O69" t="e">
        <f t="shared" si="5"/>
        <v>#N/A</v>
      </c>
      <c r="P69">
        <f t="shared" si="6"/>
        <v>7</v>
      </c>
      <c r="Q69">
        <f t="shared" si="7"/>
        <v>96.89</v>
      </c>
      <c r="R69" t="e">
        <f xml:space="preserve"> --(J69 &lt;=#REF!)</f>
        <v>#REF!</v>
      </c>
      <c r="S69" t="e">
        <f xml:space="preserve"> --(M69 &gt;=#REF!)</f>
        <v>#REF!</v>
      </c>
    </row>
    <row r="70" spans="10:19" x14ac:dyDescent="0.2">
      <c r="J70">
        <v>9</v>
      </c>
      <c r="L70">
        <v>0</v>
      </c>
      <c r="M70">
        <v>26.62</v>
      </c>
      <c r="N70">
        <f t="shared" si="4"/>
        <v>9</v>
      </c>
      <c r="O70">
        <f t="shared" si="5"/>
        <v>26.62</v>
      </c>
      <c r="P70" t="e">
        <f t="shared" si="6"/>
        <v>#N/A</v>
      </c>
      <c r="Q70" t="e">
        <f t="shared" si="7"/>
        <v>#N/A</v>
      </c>
      <c r="R70" t="e">
        <f xml:space="preserve"> --(J70 &lt;=#REF!)</f>
        <v>#REF!</v>
      </c>
      <c r="S70" t="e">
        <f xml:space="preserve"> --(M70 &gt;=#REF!)</f>
        <v>#REF!</v>
      </c>
    </row>
    <row r="71" spans="10:19" x14ac:dyDescent="0.2">
      <c r="J71">
        <v>3</v>
      </c>
      <c r="L71">
        <v>1</v>
      </c>
      <c r="M71">
        <v>24.59</v>
      </c>
      <c r="N71" t="e">
        <f t="shared" si="4"/>
        <v>#N/A</v>
      </c>
      <c r="O71" t="e">
        <f t="shared" si="5"/>
        <v>#N/A</v>
      </c>
      <c r="P71">
        <f t="shared" si="6"/>
        <v>3</v>
      </c>
      <c r="Q71">
        <f t="shared" si="7"/>
        <v>24.59</v>
      </c>
      <c r="R71" t="e">
        <f xml:space="preserve"> --(J71 &lt;=#REF!)</f>
        <v>#REF!</v>
      </c>
      <c r="S71" t="e">
        <f xml:space="preserve"> --(M71 &gt;=#REF!)</f>
        <v>#REF!</v>
      </c>
    </row>
    <row r="72" spans="10:19" x14ac:dyDescent="0.2">
      <c r="J72">
        <v>4</v>
      </c>
      <c r="L72">
        <v>0</v>
      </c>
      <c r="M72">
        <v>82.08</v>
      </c>
      <c r="N72">
        <f t="shared" si="4"/>
        <v>4</v>
      </c>
      <c r="O72">
        <f t="shared" si="5"/>
        <v>82.08</v>
      </c>
      <c r="P72" t="e">
        <f t="shared" si="6"/>
        <v>#N/A</v>
      </c>
      <c r="Q72" t="e">
        <f t="shared" si="7"/>
        <v>#N/A</v>
      </c>
      <c r="R72" t="e">
        <f xml:space="preserve"> --(J72 &lt;=#REF!)</f>
        <v>#REF!</v>
      </c>
      <c r="S72" t="e">
        <f xml:space="preserve"> --(M72 &gt;=#REF!)</f>
        <v>#REF!</v>
      </c>
    </row>
    <row r="73" spans="10:19" x14ac:dyDescent="0.2">
      <c r="J73">
        <v>8</v>
      </c>
      <c r="L73">
        <v>1</v>
      </c>
      <c r="M73">
        <v>54.74</v>
      </c>
      <c r="N73" t="e">
        <f t="shared" si="4"/>
        <v>#N/A</v>
      </c>
      <c r="O73" t="e">
        <f t="shared" si="5"/>
        <v>#N/A</v>
      </c>
      <c r="P73">
        <f t="shared" si="6"/>
        <v>8</v>
      </c>
      <c r="Q73">
        <f t="shared" si="7"/>
        <v>54.74</v>
      </c>
      <c r="R73" t="e">
        <f xml:space="preserve"> --(J73 &lt;=#REF!)</f>
        <v>#REF!</v>
      </c>
      <c r="S73" t="e">
        <f xml:space="preserve"> --(M73 &gt;=#REF!)</f>
        <v>#REF!</v>
      </c>
    </row>
    <row r="74" spans="10:19" x14ac:dyDescent="0.2">
      <c r="J74">
        <v>6</v>
      </c>
      <c r="L74">
        <v>1</v>
      </c>
      <c r="M74">
        <v>40.909999999999997</v>
      </c>
      <c r="N74" t="e">
        <f t="shared" si="4"/>
        <v>#N/A</v>
      </c>
      <c r="O74" t="e">
        <f t="shared" si="5"/>
        <v>#N/A</v>
      </c>
      <c r="P74">
        <f t="shared" si="6"/>
        <v>6</v>
      </c>
      <c r="Q74">
        <f t="shared" si="7"/>
        <v>40.909999999999997</v>
      </c>
      <c r="R74" t="e">
        <f xml:space="preserve"> --(J74 &lt;=#REF!)</f>
        <v>#REF!</v>
      </c>
      <c r="S74" t="e">
        <f xml:space="preserve"> --(M74 &gt;=#REF!)</f>
        <v>#REF!</v>
      </c>
    </row>
    <row r="75" spans="10:19" x14ac:dyDescent="0.2">
      <c r="J75">
        <v>5</v>
      </c>
      <c r="L75">
        <v>1</v>
      </c>
      <c r="M75">
        <v>77.959999999999994</v>
      </c>
      <c r="N75" t="e">
        <f t="shared" si="4"/>
        <v>#N/A</v>
      </c>
      <c r="O75" t="e">
        <f t="shared" si="5"/>
        <v>#N/A</v>
      </c>
      <c r="P75">
        <f t="shared" si="6"/>
        <v>5</v>
      </c>
      <c r="Q75">
        <f t="shared" si="7"/>
        <v>77.959999999999994</v>
      </c>
      <c r="R75" t="e">
        <f xml:space="preserve"> --(J75 &lt;=#REF!)</f>
        <v>#REF!</v>
      </c>
      <c r="S75" t="e">
        <f xml:space="preserve"> --(M75 &gt;=#REF!)</f>
        <v>#REF!</v>
      </c>
    </row>
    <row r="76" spans="10:19" x14ac:dyDescent="0.2">
      <c r="J76">
        <v>4</v>
      </c>
      <c r="L76">
        <v>1</v>
      </c>
      <c r="M76">
        <v>54.16</v>
      </c>
      <c r="N76" t="e">
        <f t="shared" si="4"/>
        <v>#N/A</v>
      </c>
      <c r="O76" t="e">
        <f t="shared" si="5"/>
        <v>#N/A</v>
      </c>
      <c r="P76">
        <f t="shared" si="6"/>
        <v>4</v>
      </c>
      <c r="Q76">
        <f t="shared" si="7"/>
        <v>54.16</v>
      </c>
      <c r="R76" t="e">
        <f xml:space="preserve"> --(J76 &lt;=#REF!)</f>
        <v>#REF!</v>
      </c>
      <c r="S76" t="e">
        <f xml:space="preserve"> --(M76 &gt;=#REF!)</f>
        <v>#REF!</v>
      </c>
    </row>
    <row r="77" spans="10:19" x14ac:dyDescent="0.2">
      <c r="J77">
        <v>8</v>
      </c>
      <c r="L77">
        <v>1</v>
      </c>
      <c r="M77">
        <v>73.73</v>
      </c>
      <c r="N77" t="e">
        <f t="shared" si="4"/>
        <v>#N/A</v>
      </c>
      <c r="O77" t="e">
        <f t="shared" si="5"/>
        <v>#N/A</v>
      </c>
      <c r="P77">
        <f t="shared" si="6"/>
        <v>8</v>
      </c>
      <c r="Q77">
        <f t="shared" si="7"/>
        <v>73.73</v>
      </c>
      <c r="R77" t="e">
        <f xml:space="preserve"> --(J77 &lt;=#REF!)</f>
        <v>#REF!</v>
      </c>
      <c r="S77" t="e">
        <f xml:space="preserve"> --(M77 &gt;=#REF!)</f>
        <v>#REF!</v>
      </c>
    </row>
    <row r="78" spans="10:19" x14ac:dyDescent="0.2">
      <c r="J78">
        <v>1</v>
      </c>
      <c r="L78">
        <v>0</v>
      </c>
      <c r="M78">
        <v>66.010000000000005</v>
      </c>
      <c r="N78">
        <f t="shared" si="4"/>
        <v>1</v>
      </c>
      <c r="O78">
        <f t="shared" si="5"/>
        <v>66.010000000000005</v>
      </c>
      <c r="P78" t="e">
        <f t="shared" si="6"/>
        <v>#N/A</v>
      </c>
      <c r="Q78" t="e">
        <f t="shared" si="7"/>
        <v>#N/A</v>
      </c>
      <c r="R78" t="e">
        <f xml:space="preserve"> --(J78 &lt;=#REF!)</f>
        <v>#REF!</v>
      </c>
      <c r="S78" t="e">
        <f xml:space="preserve"> --(M78 &gt;=#REF!)</f>
        <v>#REF!</v>
      </c>
    </row>
    <row r="79" spans="10:19" x14ac:dyDescent="0.2">
      <c r="J79">
        <v>9</v>
      </c>
      <c r="L79">
        <v>0</v>
      </c>
      <c r="M79">
        <v>78.48</v>
      </c>
      <c r="N79">
        <f t="shared" si="4"/>
        <v>9</v>
      </c>
      <c r="O79">
        <f t="shared" si="5"/>
        <v>78.48</v>
      </c>
      <c r="P79" t="e">
        <f t="shared" si="6"/>
        <v>#N/A</v>
      </c>
      <c r="Q79" t="e">
        <f t="shared" si="7"/>
        <v>#N/A</v>
      </c>
      <c r="R79" t="e">
        <f xml:space="preserve"> --(J79 &lt;=#REF!)</f>
        <v>#REF!</v>
      </c>
      <c r="S79" t="e">
        <f xml:space="preserve"> --(M79 &gt;=#REF!)</f>
        <v>#REF!</v>
      </c>
    </row>
    <row r="80" spans="10:19" x14ac:dyDescent="0.2">
      <c r="J80">
        <v>1</v>
      </c>
      <c r="L80">
        <v>1</v>
      </c>
      <c r="M80">
        <v>60.03</v>
      </c>
      <c r="N80" t="e">
        <f t="shared" si="4"/>
        <v>#N/A</v>
      </c>
      <c r="O80" t="e">
        <f t="shared" si="5"/>
        <v>#N/A</v>
      </c>
      <c r="P80">
        <f t="shared" si="6"/>
        <v>1</v>
      </c>
      <c r="Q80">
        <f t="shared" si="7"/>
        <v>60.03</v>
      </c>
      <c r="R80" t="e">
        <f xml:space="preserve"> --(J80 &lt;=#REF!)</f>
        <v>#REF!</v>
      </c>
      <c r="S80" t="e">
        <f xml:space="preserve"> --(M80 &gt;=#REF!)</f>
        <v>#REF!</v>
      </c>
    </row>
    <row r="81" spans="10:19" x14ac:dyDescent="0.2">
      <c r="J81">
        <v>8</v>
      </c>
      <c r="L81">
        <v>0</v>
      </c>
      <c r="M81">
        <v>89.77</v>
      </c>
      <c r="N81">
        <f t="shared" si="4"/>
        <v>8</v>
      </c>
      <c r="O81">
        <f t="shared" si="5"/>
        <v>89.77</v>
      </c>
      <c r="P81" t="e">
        <f t="shared" si="6"/>
        <v>#N/A</v>
      </c>
      <c r="Q81" t="e">
        <f t="shared" si="7"/>
        <v>#N/A</v>
      </c>
      <c r="R81" t="e">
        <f xml:space="preserve"> --(J81 &lt;=#REF!)</f>
        <v>#REF!</v>
      </c>
      <c r="S81" t="e">
        <f xml:space="preserve"> --(M81 &gt;=#REF!)</f>
        <v>#REF!</v>
      </c>
    </row>
    <row r="82" spans="10:19" x14ac:dyDescent="0.2">
      <c r="J82">
        <v>4</v>
      </c>
      <c r="L82">
        <v>1</v>
      </c>
      <c r="M82">
        <v>38.01</v>
      </c>
      <c r="N82" t="e">
        <f t="shared" si="4"/>
        <v>#N/A</v>
      </c>
      <c r="O82" t="e">
        <f t="shared" si="5"/>
        <v>#N/A</v>
      </c>
      <c r="P82">
        <f t="shared" si="6"/>
        <v>4</v>
      </c>
      <c r="Q82">
        <f t="shared" si="7"/>
        <v>38.01</v>
      </c>
      <c r="R82" t="e">
        <f xml:space="preserve"> --(J82 &lt;=#REF!)</f>
        <v>#REF!</v>
      </c>
      <c r="S82" t="e">
        <f xml:space="preserve"> --(M82 &gt;=#REF!)</f>
        <v>#REF!</v>
      </c>
    </row>
    <row r="83" spans="10:19" x14ac:dyDescent="0.2">
      <c r="J83">
        <v>9</v>
      </c>
      <c r="L83">
        <v>1</v>
      </c>
      <c r="M83">
        <v>89.65</v>
      </c>
      <c r="N83" t="e">
        <f t="shared" si="4"/>
        <v>#N/A</v>
      </c>
      <c r="O83" t="e">
        <f t="shared" si="5"/>
        <v>#N/A</v>
      </c>
      <c r="P83">
        <f t="shared" si="6"/>
        <v>9</v>
      </c>
      <c r="Q83">
        <f t="shared" si="7"/>
        <v>89.65</v>
      </c>
      <c r="R83" t="e">
        <f xml:space="preserve"> --(J83 &lt;=#REF!)</f>
        <v>#REF!</v>
      </c>
      <c r="S83" t="e">
        <f xml:space="preserve"> --(M83 &gt;=#REF!)</f>
        <v>#REF!</v>
      </c>
    </row>
    <row r="84" spans="10:19" x14ac:dyDescent="0.2">
      <c r="J84">
        <v>5</v>
      </c>
      <c r="L84">
        <v>0</v>
      </c>
      <c r="M84">
        <v>61.17</v>
      </c>
      <c r="N84">
        <f t="shared" si="4"/>
        <v>5</v>
      </c>
      <c r="O84">
        <f t="shared" si="5"/>
        <v>61.17</v>
      </c>
      <c r="P84" t="e">
        <f t="shared" si="6"/>
        <v>#N/A</v>
      </c>
      <c r="Q84" t="e">
        <f t="shared" si="7"/>
        <v>#N/A</v>
      </c>
      <c r="R84" t="e">
        <f xml:space="preserve"> --(J84 &lt;=#REF!)</f>
        <v>#REF!</v>
      </c>
      <c r="S84" t="e">
        <f xml:space="preserve"> --(M84 &gt;=#REF!)</f>
        <v>#REF!</v>
      </c>
    </row>
    <row r="85" spans="10:19" x14ac:dyDescent="0.2">
      <c r="J85">
        <v>3</v>
      </c>
      <c r="L85">
        <v>0</v>
      </c>
      <c r="M85">
        <v>107.43</v>
      </c>
      <c r="N85">
        <f t="shared" si="4"/>
        <v>3</v>
      </c>
      <c r="O85">
        <f t="shared" si="5"/>
        <v>107.43</v>
      </c>
      <c r="P85" t="e">
        <f t="shared" si="6"/>
        <v>#N/A</v>
      </c>
      <c r="Q85" t="e">
        <f t="shared" si="7"/>
        <v>#N/A</v>
      </c>
      <c r="R85" t="e">
        <f xml:space="preserve"> --(J85 &lt;=#REF!)</f>
        <v>#REF!</v>
      </c>
      <c r="S85" t="e">
        <f xml:space="preserve"> --(M85 &gt;=#REF!)</f>
        <v>#REF!</v>
      </c>
    </row>
    <row r="86" spans="10:19" x14ac:dyDescent="0.2">
      <c r="J86">
        <v>9</v>
      </c>
      <c r="L86">
        <v>0</v>
      </c>
      <c r="M86">
        <v>71.52</v>
      </c>
      <c r="N86">
        <f t="shared" si="4"/>
        <v>9</v>
      </c>
      <c r="O86">
        <f t="shared" si="5"/>
        <v>71.52</v>
      </c>
      <c r="P86" t="e">
        <f t="shared" si="6"/>
        <v>#N/A</v>
      </c>
      <c r="Q86" t="e">
        <f t="shared" si="7"/>
        <v>#N/A</v>
      </c>
      <c r="R86" t="e">
        <f xml:space="preserve"> --(J86 &lt;=#REF!)</f>
        <v>#REF!</v>
      </c>
      <c r="S86" t="e">
        <f xml:space="preserve"> --(M86 &gt;=#REF!)</f>
        <v>#REF!</v>
      </c>
    </row>
    <row r="87" spans="10:19" x14ac:dyDescent="0.2">
      <c r="J87">
        <v>9</v>
      </c>
      <c r="L87">
        <v>0</v>
      </c>
      <c r="M87">
        <v>117.31</v>
      </c>
      <c r="N87">
        <f t="shared" si="4"/>
        <v>9</v>
      </c>
      <c r="O87">
        <f t="shared" si="5"/>
        <v>117.31</v>
      </c>
      <c r="P87" t="e">
        <f t="shared" si="6"/>
        <v>#N/A</v>
      </c>
      <c r="Q87" t="e">
        <f t="shared" si="7"/>
        <v>#N/A</v>
      </c>
      <c r="R87" t="e">
        <f xml:space="preserve"> --(J87 &lt;=#REF!)</f>
        <v>#REF!</v>
      </c>
      <c r="S87" t="e">
        <f xml:space="preserve"> --(M87 &gt;=#REF!)</f>
        <v>#REF!</v>
      </c>
    </row>
    <row r="88" spans="10:19" x14ac:dyDescent="0.2">
      <c r="J88">
        <v>4</v>
      </c>
      <c r="L88">
        <v>1</v>
      </c>
      <c r="M88">
        <v>80.19</v>
      </c>
      <c r="N88" t="e">
        <f t="shared" si="4"/>
        <v>#N/A</v>
      </c>
      <c r="O88" t="e">
        <f t="shared" si="5"/>
        <v>#N/A</v>
      </c>
      <c r="P88">
        <f t="shared" si="6"/>
        <v>4</v>
      </c>
      <c r="Q88">
        <f t="shared" si="7"/>
        <v>80.19</v>
      </c>
      <c r="R88" t="e">
        <f xml:space="preserve"> --(J88 &lt;=#REF!)</f>
        <v>#REF!</v>
      </c>
      <c r="S88" t="e">
        <f xml:space="preserve"> --(M88 &gt;=#REF!)</f>
        <v>#REF!</v>
      </c>
    </row>
    <row r="89" spans="10:19" x14ac:dyDescent="0.2">
      <c r="J89">
        <v>4</v>
      </c>
      <c r="L89">
        <v>0</v>
      </c>
      <c r="M89">
        <v>42.38</v>
      </c>
      <c r="N89">
        <f t="shared" si="4"/>
        <v>4</v>
      </c>
      <c r="O89">
        <f t="shared" si="5"/>
        <v>42.38</v>
      </c>
      <c r="P89" t="e">
        <f t="shared" si="6"/>
        <v>#N/A</v>
      </c>
      <c r="Q89" t="e">
        <f t="shared" si="7"/>
        <v>#N/A</v>
      </c>
      <c r="R89" t="e">
        <f xml:space="preserve"> --(J89 &lt;=#REF!)</f>
        <v>#REF!</v>
      </c>
      <c r="S89" t="e">
        <f xml:space="preserve"> --(M89 &gt;=#REF!)</f>
        <v>#REF!</v>
      </c>
    </row>
    <row r="90" spans="10:19" x14ac:dyDescent="0.2">
      <c r="J90">
        <v>8</v>
      </c>
      <c r="L90">
        <v>0</v>
      </c>
      <c r="M90">
        <v>102.18</v>
      </c>
      <c r="N90">
        <f t="shared" si="4"/>
        <v>8</v>
      </c>
      <c r="O90">
        <f t="shared" si="5"/>
        <v>102.18</v>
      </c>
      <c r="P90" t="e">
        <f t="shared" si="6"/>
        <v>#N/A</v>
      </c>
      <c r="Q90" t="e">
        <f t="shared" si="7"/>
        <v>#N/A</v>
      </c>
      <c r="R90" t="e">
        <f xml:space="preserve"> --(J90 &lt;=#REF!)</f>
        <v>#REF!</v>
      </c>
      <c r="S90" t="e">
        <f xml:space="preserve"> --(M90 &gt;=#REF!)</f>
        <v>#REF!</v>
      </c>
    </row>
    <row r="91" spans="10:19" x14ac:dyDescent="0.2">
      <c r="J91">
        <v>2</v>
      </c>
      <c r="L91">
        <v>1</v>
      </c>
      <c r="M91">
        <v>54.51</v>
      </c>
      <c r="N91" t="e">
        <f t="shared" si="4"/>
        <v>#N/A</v>
      </c>
      <c r="O91" t="e">
        <f t="shared" si="5"/>
        <v>#N/A</v>
      </c>
      <c r="P91">
        <f t="shared" si="6"/>
        <v>2</v>
      </c>
      <c r="Q91">
        <f t="shared" si="7"/>
        <v>54.51</v>
      </c>
      <c r="R91" t="e">
        <f xml:space="preserve"> --(J91 &lt;=#REF!)</f>
        <v>#REF!</v>
      </c>
      <c r="S91" t="e">
        <f xml:space="preserve"> --(M91 &gt;=#REF!)</f>
        <v>#REF!</v>
      </c>
    </row>
    <row r="92" spans="10:19" x14ac:dyDescent="0.2">
      <c r="J92">
        <v>9</v>
      </c>
      <c r="L92">
        <v>0</v>
      </c>
      <c r="M92">
        <v>54.76</v>
      </c>
      <c r="N92">
        <f t="shared" si="4"/>
        <v>9</v>
      </c>
      <c r="O92">
        <f t="shared" si="5"/>
        <v>54.76</v>
      </c>
      <c r="P92" t="e">
        <f t="shared" si="6"/>
        <v>#N/A</v>
      </c>
      <c r="Q92" t="e">
        <f t="shared" si="7"/>
        <v>#N/A</v>
      </c>
      <c r="R92" t="e">
        <f xml:space="preserve"> --(J92 &lt;=#REF!)</f>
        <v>#REF!</v>
      </c>
      <c r="S92" t="e">
        <f xml:space="preserve"> --(M92 &gt;=#REF!)</f>
        <v>#REF!</v>
      </c>
    </row>
    <row r="93" spans="10:19" x14ac:dyDescent="0.2">
      <c r="J93">
        <v>6</v>
      </c>
      <c r="L93">
        <v>1</v>
      </c>
      <c r="M93">
        <v>23.18</v>
      </c>
      <c r="N93" t="e">
        <f t="shared" si="4"/>
        <v>#N/A</v>
      </c>
      <c r="O93" t="e">
        <f t="shared" si="5"/>
        <v>#N/A</v>
      </c>
      <c r="P93">
        <f t="shared" si="6"/>
        <v>6</v>
      </c>
      <c r="Q93">
        <f t="shared" si="7"/>
        <v>23.18</v>
      </c>
      <c r="R93" t="e">
        <f xml:space="preserve"> --(J93 &lt;=#REF!)</f>
        <v>#REF!</v>
      </c>
      <c r="S93" t="e">
        <f xml:space="preserve"> --(M93 &gt;=#REF!)</f>
        <v>#REF!</v>
      </c>
    </row>
    <row r="94" spans="10:19" x14ac:dyDescent="0.2">
      <c r="J94">
        <v>9</v>
      </c>
      <c r="L94">
        <v>1</v>
      </c>
      <c r="M94">
        <v>74.87</v>
      </c>
      <c r="N94" t="e">
        <f t="shared" si="4"/>
        <v>#N/A</v>
      </c>
      <c r="O94" t="e">
        <f t="shared" si="5"/>
        <v>#N/A</v>
      </c>
      <c r="P94">
        <f t="shared" si="6"/>
        <v>9</v>
      </c>
      <c r="Q94">
        <f t="shared" si="7"/>
        <v>74.87</v>
      </c>
      <c r="R94" t="e">
        <f xml:space="preserve"> --(J94 &lt;=#REF!)</f>
        <v>#REF!</v>
      </c>
      <c r="S94" t="e">
        <f xml:space="preserve"> --(M94 &gt;=#REF!)</f>
        <v>#REF!</v>
      </c>
    </row>
    <row r="95" spans="10:19" x14ac:dyDescent="0.2">
      <c r="J95">
        <v>8</v>
      </c>
      <c r="L95">
        <v>0</v>
      </c>
      <c r="M95">
        <v>73.44</v>
      </c>
      <c r="N95">
        <f t="shared" si="4"/>
        <v>8</v>
      </c>
      <c r="O95">
        <f t="shared" si="5"/>
        <v>73.44</v>
      </c>
      <c r="P95" t="e">
        <f t="shared" si="6"/>
        <v>#N/A</v>
      </c>
      <c r="Q95" t="e">
        <f t="shared" si="7"/>
        <v>#N/A</v>
      </c>
      <c r="R95" t="e">
        <f xml:space="preserve"> --(J95 &lt;=#REF!)</f>
        <v>#REF!</v>
      </c>
      <c r="S95" t="e">
        <f xml:space="preserve"> --(M95 &gt;=#REF!)</f>
        <v>#REF!</v>
      </c>
    </row>
    <row r="96" spans="10:19" x14ac:dyDescent="0.2">
      <c r="J96">
        <v>7</v>
      </c>
      <c r="L96">
        <v>0</v>
      </c>
      <c r="M96">
        <v>55.6</v>
      </c>
      <c r="N96">
        <f t="shared" si="4"/>
        <v>7</v>
      </c>
      <c r="O96">
        <f t="shared" si="5"/>
        <v>55.6</v>
      </c>
      <c r="P96" t="e">
        <f t="shared" si="6"/>
        <v>#N/A</v>
      </c>
      <c r="Q96" t="e">
        <f t="shared" si="7"/>
        <v>#N/A</v>
      </c>
      <c r="R96" t="e">
        <f xml:space="preserve"> --(J96 &lt;=#REF!)</f>
        <v>#REF!</v>
      </c>
      <c r="S96" t="e">
        <f xml:space="preserve"> --(M96 &gt;=#REF!)</f>
        <v>#REF!</v>
      </c>
    </row>
    <row r="97" spans="10:19" x14ac:dyDescent="0.2">
      <c r="J97">
        <v>1</v>
      </c>
      <c r="L97">
        <v>1</v>
      </c>
      <c r="M97">
        <v>109.42</v>
      </c>
      <c r="N97" t="e">
        <f t="shared" si="4"/>
        <v>#N/A</v>
      </c>
      <c r="O97" t="e">
        <f t="shared" si="5"/>
        <v>#N/A</v>
      </c>
      <c r="P97">
        <f t="shared" si="6"/>
        <v>1</v>
      </c>
      <c r="Q97">
        <f t="shared" si="7"/>
        <v>109.42</v>
      </c>
      <c r="R97" t="e">
        <f xml:space="preserve"> --(J97 &lt;=#REF!)</f>
        <v>#REF!</v>
      </c>
      <c r="S97" t="e">
        <f xml:space="preserve"> --(M97 &gt;=#REF!)</f>
        <v>#REF!</v>
      </c>
    </row>
    <row r="98" spans="10:19" x14ac:dyDescent="0.2">
      <c r="J98">
        <v>3</v>
      </c>
      <c r="L98">
        <v>1</v>
      </c>
      <c r="M98">
        <v>32.869999999999997</v>
      </c>
      <c r="N98" t="e">
        <f t="shared" si="4"/>
        <v>#N/A</v>
      </c>
      <c r="O98" t="e">
        <f t="shared" si="5"/>
        <v>#N/A</v>
      </c>
      <c r="P98">
        <f t="shared" si="6"/>
        <v>3</v>
      </c>
      <c r="Q98">
        <f t="shared" si="7"/>
        <v>32.869999999999997</v>
      </c>
      <c r="R98" t="e">
        <f xml:space="preserve"> --(J98 &lt;=#REF!)</f>
        <v>#REF!</v>
      </c>
      <c r="S98" t="e">
        <f xml:space="preserve"> --(M98 &gt;=#REF!)</f>
        <v>#REF!</v>
      </c>
    </row>
    <row r="99" spans="10:19" x14ac:dyDescent="0.2">
      <c r="J99">
        <v>2</v>
      </c>
      <c r="L99">
        <v>1</v>
      </c>
      <c r="M99">
        <v>53.01</v>
      </c>
      <c r="N99" t="e">
        <f t="shared" si="4"/>
        <v>#N/A</v>
      </c>
      <c r="O99" t="e">
        <f t="shared" si="5"/>
        <v>#N/A</v>
      </c>
      <c r="P99">
        <f t="shared" si="6"/>
        <v>2</v>
      </c>
      <c r="Q99">
        <f t="shared" si="7"/>
        <v>53.01</v>
      </c>
      <c r="R99" t="e">
        <f xml:space="preserve"> --(J99 &lt;=#REF!)</f>
        <v>#REF!</v>
      </c>
      <c r="S99" t="e">
        <f xml:space="preserve"> --(M99 &gt;=#REF!)</f>
        <v>#REF!</v>
      </c>
    </row>
    <row r="100" spans="10:19" x14ac:dyDescent="0.2">
      <c r="J100">
        <v>5</v>
      </c>
      <c r="L100">
        <v>1</v>
      </c>
      <c r="M100">
        <v>52.16</v>
      </c>
      <c r="N100" t="e">
        <f t="shared" si="4"/>
        <v>#N/A</v>
      </c>
      <c r="O100" t="e">
        <f t="shared" si="5"/>
        <v>#N/A</v>
      </c>
      <c r="P100">
        <f t="shared" si="6"/>
        <v>5</v>
      </c>
      <c r="Q100">
        <f t="shared" si="7"/>
        <v>52.16</v>
      </c>
      <c r="R100" t="e">
        <f xml:space="preserve"> --(J100 &lt;=#REF!)</f>
        <v>#REF!</v>
      </c>
      <c r="S100" t="e">
        <f xml:space="preserve"> --(M100 &gt;=#REF!)</f>
        <v>#REF!</v>
      </c>
    </row>
    <row r="101" spans="10:19" x14ac:dyDescent="0.2">
      <c r="J101">
        <v>5</v>
      </c>
      <c r="L101">
        <v>0</v>
      </c>
      <c r="M101">
        <v>29.23</v>
      </c>
      <c r="N101">
        <f t="shared" si="4"/>
        <v>5</v>
      </c>
      <c r="O101">
        <f t="shared" si="5"/>
        <v>29.23</v>
      </c>
      <c r="P101" t="e">
        <f t="shared" si="6"/>
        <v>#N/A</v>
      </c>
      <c r="Q101" t="e">
        <f t="shared" si="7"/>
        <v>#N/A</v>
      </c>
      <c r="R101" t="e">
        <f xml:space="preserve"> --(J101 &lt;=#REF!)</f>
        <v>#REF!</v>
      </c>
      <c r="S101" t="e">
        <f xml:space="preserve"> --(M101 &gt;=#REF!)</f>
        <v>#REF!</v>
      </c>
    </row>
    <row r="102" spans="10:19" x14ac:dyDescent="0.2">
      <c r="J102">
        <v>5</v>
      </c>
      <c r="L102">
        <v>0</v>
      </c>
      <c r="M102">
        <v>68.11</v>
      </c>
      <c r="N102">
        <f t="shared" si="4"/>
        <v>5</v>
      </c>
      <c r="O102">
        <f t="shared" si="5"/>
        <v>68.11</v>
      </c>
      <c r="P102" t="e">
        <f t="shared" si="6"/>
        <v>#N/A</v>
      </c>
      <c r="Q102" t="e">
        <f t="shared" si="7"/>
        <v>#N/A</v>
      </c>
      <c r="R102" t="e">
        <f xml:space="preserve"> --(J102 &lt;=#REF!)</f>
        <v>#REF!</v>
      </c>
      <c r="S102" t="e">
        <f xml:space="preserve"> --(M102 &gt;=#REF!)</f>
        <v>#REF!</v>
      </c>
    </row>
    <row r="103" spans="10:19" x14ac:dyDescent="0.2">
      <c r="J103">
        <v>4</v>
      </c>
      <c r="L103">
        <v>1</v>
      </c>
      <c r="M103">
        <v>88.78</v>
      </c>
      <c r="N103" t="e">
        <f t="shared" si="4"/>
        <v>#N/A</v>
      </c>
      <c r="O103" t="e">
        <f t="shared" si="5"/>
        <v>#N/A</v>
      </c>
      <c r="P103">
        <f t="shared" si="6"/>
        <v>4</v>
      </c>
      <c r="Q103">
        <f t="shared" si="7"/>
        <v>88.78</v>
      </c>
      <c r="R103" t="e">
        <f xml:space="preserve"> --(J103 &lt;=#REF!)</f>
        <v>#REF!</v>
      </c>
      <c r="S103" t="e">
        <f xml:space="preserve"> --(M103 &gt;=#REF!)</f>
        <v>#REF!</v>
      </c>
    </row>
    <row r="104" spans="10:19" x14ac:dyDescent="0.2">
      <c r="J104">
        <v>5</v>
      </c>
      <c r="L104">
        <v>1</v>
      </c>
      <c r="M104">
        <v>71.17</v>
      </c>
      <c r="N104" t="e">
        <f t="shared" si="4"/>
        <v>#N/A</v>
      </c>
      <c r="O104" t="e">
        <f t="shared" si="5"/>
        <v>#N/A</v>
      </c>
      <c r="P104">
        <f t="shared" si="6"/>
        <v>5</v>
      </c>
      <c r="Q104">
        <f t="shared" si="7"/>
        <v>71.17</v>
      </c>
      <c r="R104" t="e">
        <f xml:space="preserve"> --(J104 &lt;=#REF!)</f>
        <v>#REF!</v>
      </c>
      <c r="S104" t="e">
        <f xml:space="preserve"> --(M104 &gt;=#REF!)</f>
        <v>#REF!</v>
      </c>
    </row>
    <row r="105" spans="10:19" x14ac:dyDescent="0.2">
      <c r="J105">
        <v>3</v>
      </c>
      <c r="L105">
        <v>1</v>
      </c>
      <c r="M105">
        <v>35.700000000000003</v>
      </c>
      <c r="N105" t="e">
        <f t="shared" si="4"/>
        <v>#N/A</v>
      </c>
      <c r="O105" t="e">
        <f t="shared" si="5"/>
        <v>#N/A</v>
      </c>
      <c r="P105">
        <f t="shared" si="6"/>
        <v>3</v>
      </c>
      <c r="Q105">
        <f t="shared" si="7"/>
        <v>35.700000000000003</v>
      </c>
      <c r="R105" t="e">
        <f xml:space="preserve"> --(J105 &lt;=#REF!)</f>
        <v>#REF!</v>
      </c>
      <c r="S105" t="e">
        <f xml:space="preserve"> --(M105 &gt;=#REF!)</f>
        <v>#REF!</v>
      </c>
    </row>
    <row r="106" spans="10:19" x14ac:dyDescent="0.2">
      <c r="J106">
        <v>1</v>
      </c>
      <c r="L106">
        <v>1</v>
      </c>
      <c r="M106">
        <v>57.73</v>
      </c>
      <c r="N106" t="e">
        <f t="shared" si="4"/>
        <v>#N/A</v>
      </c>
      <c r="O106" t="e">
        <f t="shared" si="5"/>
        <v>#N/A</v>
      </c>
      <c r="P106">
        <f t="shared" si="6"/>
        <v>1</v>
      </c>
      <c r="Q106">
        <f t="shared" si="7"/>
        <v>57.73</v>
      </c>
      <c r="R106" t="e">
        <f xml:space="preserve"> --(J106 &lt;=#REF!)</f>
        <v>#REF!</v>
      </c>
      <c r="S106" t="e">
        <f xml:space="preserve"> --(M106 &gt;=#REF!)</f>
        <v>#REF!</v>
      </c>
    </row>
    <row r="107" spans="10:19" x14ac:dyDescent="0.2">
      <c r="J107">
        <v>5</v>
      </c>
      <c r="L107">
        <v>0</v>
      </c>
      <c r="M107">
        <v>20.260000000000002</v>
      </c>
      <c r="N107">
        <f t="shared" si="4"/>
        <v>5</v>
      </c>
      <c r="O107">
        <f t="shared" si="5"/>
        <v>20.260000000000002</v>
      </c>
      <c r="P107" t="e">
        <f t="shared" si="6"/>
        <v>#N/A</v>
      </c>
      <c r="Q107" t="e">
        <f t="shared" si="7"/>
        <v>#N/A</v>
      </c>
      <c r="R107" t="e">
        <f xml:space="preserve"> --(J107 &lt;=#REF!)</f>
        <v>#REF!</v>
      </c>
      <c r="S107" t="e">
        <f xml:space="preserve"> --(M107 &gt;=#REF!)</f>
        <v>#REF!</v>
      </c>
    </row>
    <row r="108" spans="10:19" x14ac:dyDescent="0.2">
      <c r="J108">
        <v>9</v>
      </c>
      <c r="L108">
        <v>0</v>
      </c>
      <c r="M108">
        <v>106.83</v>
      </c>
      <c r="N108">
        <f t="shared" si="4"/>
        <v>9</v>
      </c>
      <c r="O108">
        <f t="shared" si="5"/>
        <v>106.83</v>
      </c>
      <c r="P108" t="e">
        <f t="shared" si="6"/>
        <v>#N/A</v>
      </c>
      <c r="Q108" t="e">
        <f t="shared" si="7"/>
        <v>#N/A</v>
      </c>
      <c r="R108" t="e">
        <f xml:space="preserve"> --(J108 &lt;=#REF!)</f>
        <v>#REF!</v>
      </c>
      <c r="S108" t="e">
        <f xml:space="preserve"> --(M108 &gt;=#REF!)</f>
        <v>#REF!</v>
      </c>
    </row>
    <row r="109" spans="10:19" x14ac:dyDescent="0.2">
      <c r="J109">
        <v>9</v>
      </c>
      <c r="L109">
        <v>0</v>
      </c>
      <c r="M109">
        <v>28.45</v>
      </c>
      <c r="N109">
        <f t="shared" si="4"/>
        <v>9</v>
      </c>
      <c r="O109">
        <f t="shared" si="5"/>
        <v>28.45</v>
      </c>
      <c r="P109" t="e">
        <f t="shared" si="6"/>
        <v>#N/A</v>
      </c>
      <c r="Q109" t="e">
        <f t="shared" si="7"/>
        <v>#N/A</v>
      </c>
      <c r="R109" t="e">
        <f xml:space="preserve"> --(J109 &lt;=#REF!)</f>
        <v>#REF!</v>
      </c>
      <c r="S109" t="e">
        <f xml:space="preserve"> --(M109 &gt;=#REF!)</f>
        <v>#REF!</v>
      </c>
    </row>
    <row r="110" spans="10:19" x14ac:dyDescent="0.2">
      <c r="J110">
        <v>4</v>
      </c>
      <c r="L110">
        <v>1</v>
      </c>
      <c r="M110">
        <v>79.73</v>
      </c>
      <c r="N110" t="e">
        <f t="shared" si="4"/>
        <v>#N/A</v>
      </c>
      <c r="O110" t="e">
        <f t="shared" si="5"/>
        <v>#N/A</v>
      </c>
      <c r="P110">
        <f t="shared" si="6"/>
        <v>4</v>
      </c>
      <c r="Q110">
        <f t="shared" si="7"/>
        <v>79.73</v>
      </c>
      <c r="R110" t="e">
        <f xml:space="preserve"> --(J110 &lt;=#REF!)</f>
        <v>#REF!</v>
      </c>
      <c r="S110" t="e">
        <f xml:space="preserve"> --(M110 &gt;=#REF!)</f>
        <v>#REF!</v>
      </c>
    </row>
    <row r="111" spans="10:19" x14ac:dyDescent="0.2">
      <c r="J111">
        <v>3</v>
      </c>
      <c r="L111">
        <v>0</v>
      </c>
      <c r="M111">
        <v>118.63</v>
      </c>
      <c r="N111">
        <f t="shared" si="4"/>
        <v>3</v>
      </c>
      <c r="O111">
        <f t="shared" si="5"/>
        <v>118.63</v>
      </c>
      <c r="P111" t="e">
        <f t="shared" si="6"/>
        <v>#N/A</v>
      </c>
      <c r="Q111" t="e">
        <f t="shared" si="7"/>
        <v>#N/A</v>
      </c>
      <c r="R111" t="e">
        <f xml:space="preserve"> --(J111 &lt;=#REF!)</f>
        <v>#REF!</v>
      </c>
      <c r="S111" t="e">
        <f xml:space="preserve"> --(M111 &gt;=#REF!)</f>
        <v>#REF!</v>
      </c>
    </row>
    <row r="112" spans="10:19" x14ac:dyDescent="0.2">
      <c r="J112">
        <v>1</v>
      </c>
      <c r="L112">
        <v>0</v>
      </c>
      <c r="M112">
        <v>73.66</v>
      </c>
      <c r="N112">
        <f t="shared" si="4"/>
        <v>1</v>
      </c>
      <c r="O112">
        <f t="shared" si="5"/>
        <v>73.66</v>
      </c>
      <c r="P112" t="e">
        <f t="shared" si="6"/>
        <v>#N/A</v>
      </c>
      <c r="Q112" t="e">
        <f t="shared" si="7"/>
        <v>#N/A</v>
      </c>
      <c r="R112" t="e">
        <f xml:space="preserve"> --(J112 &lt;=#REF!)</f>
        <v>#REF!</v>
      </c>
      <c r="S112" t="e">
        <f xml:space="preserve"> --(M112 &gt;=#REF!)</f>
        <v>#REF!</v>
      </c>
    </row>
    <row r="113" spans="10:19" x14ac:dyDescent="0.2">
      <c r="J113">
        <v>2</v>
      </c>
      <c r="L113">
        <v>0</v>
      </c>
      <c r="M113">
        <v>112.4</v>
      </c>
      <c r="N113">
        <f t="shared" si="4"/>
        <v>2</v>
      </c>
      <c r="O113">
        <f t="shared" si="5"/>
        <v>112.4</v>
      </c>
      <c r="P113" t="e">
        <f t="shared" si="6"/>
        <v>#N/A</v>
      </c>
      <c r="Q113" t="e">
        <f t="shared" si="7"/>
        <v>#N/A</v>
      </c>
      <c r="R113" t="e">
        <f xml:space="preserve"> --(J113 &lt;=#REF!)</f>
        <v>#REF!</v>
      </c>
      <c r="S113" t="e">
        <f xml:space="preserve"> --(M113 &gt;=#REF!)</f>
        <v>#REF!</v>
      </c>
    </row>
    <row r="114" spans="10:19" x14ac:dyDescent="0.2">
      <c r="J114">
        <v>8</v>
      </c>
      <c r="L114">
        <v>0</v>
      </c>
      <c r="M114">
        <v>43.61</v>
      </c>
      <c r="N114">
        <f t="shared" si="4"/>
        <v>8</v>
      </c>
      <c r="O114">
        <f t="shared" si="5"/>
        <v>43.61</v>
      </c>
      <c r="P114" t="e">
        <f t="shared" si="6"/>
        <v>#N/A</v>
      </c>
      <c r="Q114" t="e">
        <f t="shared" si="7"/>
        <v>#N/A</v>
      </c>
      <c r="R114" t="e">
        <f xml:space="preserve"> --(J114 &lt;=#REF!)</f>
        <v>#REF!</v>
      </c>
      <c r="S114" t="e">
        <f xml:space="preserve"> --(M114 &gt;=#REF!)</f>
        <v>#REF!</v>
      </c>
    </row>
    <row r="115" spans="10:19" x14ac:dyDescent="0.2">
      <c r="J115">
        <v>1</v>
      </c>
      <c r="L115">
        <v>1</v>
      </c>
      <c r="M115">
        <v>96</v>
      </c>
      <c r="N115" t="e">
        <f t="shared" si="4"/>
        <v>#N/A</v>
      </c>
      <c r="O115" t="e">
        <f t="shared" si="5"/>
        <v>#N/A</v>
      </c>
      <c r="P115">
        <f t="shared" si="6"/>
        <v>1</v>
      </c>
      <c r="Q115">
        <f t="shared" si="7"/>
        <v>96</v>
      </c>
      <c r="R115" t="e">
        <f xml:space="preserve"> --(J115 &lt;=#REF!)</f>
        <v>#REF!</v>
      </c>
      <c r="S115" t="e">
        <f xml:space="preserve"> --(M115 &gt;=#REF!)</f>
        <v>#REF!</v>
      </c>
    </row>
    <row r="116" spans="10:19" x14ac:dyDescent="0.2">
      <c r="J116">
        <v>8</v>
      </c>
      <c r="L116">
        <v>0</v>
      </c>
      <c r="M116">
        <v>73.13</v>
      </c>
      <c r="N116">
        <f t="shared" si="4"/>
        <v>8</v>
      </c>
      <c r="O116">
        <f t="shared" si="5"/>
        <v>73.13</v>
      </c>
      <c r="P116" t="e">
        <f t="shared" si="6"/>
        <v>#N/A</v>
      </c>
      <c r="Q116" t="e">
        <f t="shared" si="7"/>
        <v>#N/A</v>
      </c>
      <c r="R116" t="e">
        <f xml:space="preserve"> --(J116 &lt;=#REF!)</f>
        <v>#REF!</v>
      </c>
      <c r="S116" t="e">
        <f xml:space="preserve"> --(M116 &gt;=#REF!)</f>
        <v>#REF!</v>
      </c>
    </row>
    <row r="117" spans="10:19" x14ac:dyDescent="0.2">
      <c r="J117">
        <v>7</v>
      </c>
      <c r="L117">
        <v>1</v>
      </c>
      <c r="M117">
        <v>92.05</v>
      </c>
      <c r="N117" t="e">
        <f t="shared" si="4"/>
        <v>#N/A</v>
      </c>
      <c r="O117" t="e">
        <f t="shared" si="5"/>
        <v>#N/A</v>
      </c>
      <c r="P117">
        <f t="shared" si="6"/>
        <v>7</v>
      </c>
      <c r="Q117">
        <f t="shared" si="7"/>
        <v>92.05</v>
      </c>
      <c r="R117" t="e">
        <f xml:space="preserve"> --(J117 &lt;=#REF!)</f>
        <v>#REF!</v>
      </c>
      <c r="S117" t="e">
        <f xml:space="preserve"> --(M117 &gt;=#REF!)</f>
        <v>#REF!</v>
      </c>
    </row>
    <row r="118" spans="10:19" x14ac:dyDescent="0.2">
      <c r="J118">
        <v>8</v>
      </c>
      <c r="L118">
        <v>1</v>
      </c>
      <c r="M118">
        <v>26.23</v>
      </c>
      <c r="N118" t="e">
        <f t="shared" si="4"/>
        <v>#N/A</v>
      </c>
      <c r="O118" t="e">
        <f t="shared" si="5"/>
        <v>#N/A</v>
      </c>
      <c r="P118">
        <f t="shared" si="6"/>
        <v>8</v>
      </c>
      <c r="Q118">
        <f t="shared" si="7"/>
        <v>26.23</v>
      </c>
      <c r="R118" t="e">
        <f xml:space="preserve"> --(J118 &lt;=#REF!)</f>
        <v>#REF!</v>
      </c>
      <c r="S118" t="e">
        <f xml:space="preserve"> --(M118 &gt;=#REF!)</f>
        <v>#REF!</v>
      </c>
    </row>
    <row r="119" spans="10:19" x14ac:dyDescent="0.2">
      <c r="J119">
        <v>6</v>
      </c>
      <c r="L119">
        <v>1</v>
      </c>
      <c r="M119">
        <v>34.770000000000003</v>
      </c>
      <c r="N119" t="e">
        <f t="shared" si="4"/>
        <v>#N/A</v>
      </c>
      <c r="O119" t="e">
        <f t="shared" si="5"/>
        <v>#N/A</v>
      </c>
      <c r="P119">
        <f t="shared" si="6"/>
        <v>6</v>
      </c>
      <c r="Q119">
        <f t="shared" si="7"/>
        <v>34.770000000000003</v>
      </c>
      <c r="R119" t="e">
        <f xml:space="preserve"> --(J119 &lt;=#REF!)</f>
        <v>#REF!</v>
      </c>
      <c r="S119" t="e">
        <f xml:space="preserve"> --(M119 &gt;=#REF!)</f>
        <v>#REF!</v>
      </c>
    </row>
    <row r="120" spans="10:19" x14ac:dyDescent="0.2">
      <c r="J120">
        <v>9</v>
      </c>
      <c r="L120">
        <v>0</v>
      </c>
      <c r="M120">
        <v>33.31</v>
      </c>
      <c r="N120">
        <f t="shared" si="4"/>
        <v>9</v>
      </c>
      <c r="O120">
        <f t="shared" si="5"/>
        <v>33.31</v>
      </c>
      <c r="P120" t="e">
        <f t="shared" si="6"/>
        <v>#N/A</v>
      </c>
      <c r="Q120" t="e">
        <f t="shared" si="7"/>
        <v>#N/A</v>
      </c>
      <c r="R120" t="e">
        <f xml:space="preserve"> --(J120 &lt;=#REF!)</f>
        <v>#REF!</v>
      </c>
      <c r="S120" t="e">
        <f xml:space="preserve"> --(M120 &gt;=#REF!)</f>
        <v>#REF!</v>
      </c>
    </row>
    <row r="121" spans="10:19" x14ac:dyDescent="0.2">
      <c r="J121">
        <v>3</v>
      </c>
      <c r="L121">
        <v>0</v>
      </c>
      <c r="M121">
        <v>88.72</v>
      </c>
      <c r="N121">
        <f t="shared" si="4"/>
        <v>3</v>
      </c>
      <c r="O121">
        <f t="shared" si="5"/>
        <v>88.72</v>
      </c>
      <c r="P121" t="e">
        <f t="shared" si="6"/>
        <v>#N/A</v>
      </c>
      <c r="Q121" t="e">
        <f t="shared" si="7"/>
        <v>#N/A</v>
      </c>
      <c r="R121" t="e">
        <f xml:space="preserve"> --(J121 &lt;=#REF!)</f>
        <v>#REF!</v>
      </c>
      <c r="S121" t="e">
        <f xml:space="preserve"> --(M121 &gt;=#REF!)</f>
        <v>#REF!</v>
      </c>
    </row>
    <row r="122" spans="10:19" x14ac:dyDescent="0.2">
      <c r="J122">
        <v>10</v>
      </c>
      <c r="L122">
        <v>0</v>
      </c>
      <c r="M122">
        <v>104.44</v>
      </c>
      <c r="N122">
        <f t="shared" si="4"/>
        <v>10</v>
      </c>
      <c r="O122">
        <f t="shared" si="5"/>
        <v>104.44</v>
      </c>
      <c r="P122" t="e">
        <f t="shared" si="6"/>
        <v>#N/A</v>
      </c>
      <c r="Q122" t="e">
        <f t="shared" si="7"/>
        <v>#N/A</v>
      </c>
      <c r="R122" t="e">
        <f xml:space="preserve"> --(J122 &lt;=#REF!)</f>
        <v>#REF!</v>
      </c>
      <c r="S122" t="e">
        <f xml:space="preserve"> --(M122 &gt;=#REF!)</f>
        <v>#REF!</v>
      </c>
    </row>
    <row r="123" spans="10:19" x14ac:dyDescent="0.2">
      <c r="J123">
        <v>4</v>
      </c>
      <c r="L123">
        <v>1</v>
      </c>
      <c r="M123">
        <v>94.96</v>
      </c>
      <c r="N123" t="e">
        <f t="shared" si="4"/>
        <v>#N/A</v>
      </c>
      <c r="O123" t="e">
        <f t="shared" si="5"/>
        <v>#N/A</v>
      </c>
      <c r="P123">
        <f t="shared" si="6"/>
        <v>4</v>
      </c>
      <c r="Q123">
        <f t="shared" si="7"/>
        <v>94.96</v>
      </c>
      <c r="R123" t="e">
        <f xml:space="preserve"> --(J123 &lt;=#REF!)</f>
        <v>#REF!</v>
      </c>
      <c r="S123" t="e">
        <f xml:space="preserve"> --(M123 &gt;=#REF!)</f>
        <v>#REF!</v>
      </c>
    </row>
    <row r="124" spans="10:19" x14ac:dyDescent="0.2">
      <c r="J124">
        <v>6</v>
      </c>
      <c r="L124">
        <v>0</v>
      </c>
      <c r="M124">
        <v>23.05</v>
      </c>
      <c r="N124">
        <f t="shared" si="4"/>
        <v>6</v>
      </c>
      <c r="O124">
        <f t="shared" si="5"/>
        <v>23.05</v>
      </c>
      <c r="P124" t="e">
        <f t="shared" si="6"/>
        <v>#N/A</v>
      </c>
      <c r="Q124" t="e">
        <f t="shared" si="7"/>
        <v>#N/A</v>
      </c>
      <c r="R124" t="e">
        <f xml:space="preserve"> --(J124 &lt;=#REF!)</f>
        <v>#REF!</v>
      </c>
      <c r="S124" t="e">
        <f xml:space="preserve"> --(M124 &gt;=#REF!)</f>
        <v>#REF!</v>
      </c>
    </row>
    <row r="125" spans="10:19" x14ac:dyDescent="0.2">
      <c r="J125">
        <v>8</v>
      </c>
      <c r="L125">
        <v>0</v>
      </c>
      <c r="M125">
        <v>106.72</v>
      </c>
      <c r="N125">
        <f t="shared" si="4"/>
        <v>8</v>
      </c>
      <c r="O125">
        <f t="shared" si="5"/>
        <v>106.72</v>
      </c>
      <c r="P125" t="e">
        <f t="shared" si="6"/>
        <v>#N/A</v>
      </c>
      <c r="Q125" t="e">
        <f t="shared" si="7"/>
        <v>#N/A</v>
      </c>
      <c r="R125" t="e">
        <f xml:space="preserve"> --(J125 &lt;=#REF!)</f>
        <v>#REF!</v>
      </c>
      <c r="S125" t="e">
        <f xml:space="preserve"> --(M125 &gt;=#REF!)</f>
        <v>#REF!</v>
      </c>
    </row>
    <row r="126" spans="10:19" x14ac:dyDescent="0.2">
      <c r="J126">
        <v>5</v>
      </c>
      <c r="L126">
        <v>0</v>
      </c>
      <c r="M126">
        <v>55.41</v>
      </c>
      <c r="N126">
        <f t="shared" si="4"/>
        <v>5</v>
      </c>
      <c r="O126">
        <f t="shared" si="5"/>
        <v>55.41</v>
      </c>
      <c r="P126" t="e">
        <f t="shared" si="6"/>
        <v>#N/A</v>
      </c>
      <c r="Q126" t="e">
        <f t="shared" si="7"/>
        <v>#N/A</v>
      </c>
      <c r="R126" t="e">
        <f xml:space="preserve"> --(J126 &lt;=#REF!)</f>
        <v>#REF!</v>
      </c>
      <c r="S126" t="e">
        <f xml:space="preserve"> --(M126 &gt;=#REF!)</f>
        <v>#REF!</v>
      </c>
    </row>
    <row r="127" spans="10:19" x14ac:dyDescent="0.2">
      <c r="J127">
        <v>3</v>
      </c>
      <c r="L127">
        <v>0</v>
      </c>
      <c r="M127">
        <v>59.72</v>
      </c>
      <c r="N127">
        <f t="shared" si="4"/>
        <v>3</v>
      </c>
      <c r="O127">
        <f t="shared" si="5"/>
        <v>59.72</v>
      </c>
      <c r="P127" t="e">
        <f t="shared" si="6"/>
        <v>#N/A</v>
      </c>
      <c r="Q127" t="e">
        <f t="shared" si="7"/>
        <v>#N/A</v>
      </c>
      <c r="R127" t="e">
        <f xml:space="preserve"> --(J127 &lt;=#REF!)</f>
        <v>#REF!</v>
      </c>
      <c r="S127" t="e">
        <f xml:space="preserve"> --(M127 &gt;=#REF!)</f>
        <v>#REF!</v>
      </c>
    </row>
    <row r="128" spans="10:19" x14ac:dyDescent="0.2">
      <c r="J128">
        <v>6</v>
      </c>
      <c r="L128">
        <v>0</v>
      </c>
      <c r="M128">
        <v>30.49</v>
      </c>
      <c r="N128">
        <f t="shared" si="4"/>
        <v>6</v>
      </c>
      <c r="O128">
        <f t="shared" si="5"/>
        <v>30.49</v>
      </c>
      <c r="P128" t="e">
        <f t="shared" si="6"/>
        <v>#N/A</v>
      </c>
      <c r="Q128" t="e">
        <f t="shared" si="7"/>
        <v>#N/A</v>
      </c>
      <c r="R128" t="e">
        <f xml:space="preserve"> --(J128 &lt;=#REF!)</f>
        <v>#REF!</v>
      </c>
      <c r="S128" t="e">
        <f xml:space="preserve"> --(M128 &gt;=#REF!)</f>
        <v>#REF!</v>
      </c>
    </row>
    <row r="129" spans="10:19" x14ac:dyDescent="0.2">
      <c r="J129">
        <v>4</v>
      </c>
      <c r="L129">
        <v>0</v>
      </c>
      <c r="M129">
        <v>93.74</v>
      </c>
      <c r="N129">
        <f t="shared" si="4"/>
        <v>4</v>
      </c>
      <c r="O129">
        <f t="shared" si="5"/>
        <v>93.74</v>
      </c>
      <c r="P129" t="e">
        <f t="shared" si="6"/>
        <v>#N/A</v>
      </c>
      <c r="Q129" t="e">
        <f t="shared" si="7"/>
        <v>#N/A</v>
      </c>
      <c r="R129" t="e">
        <f xml:space="preserve"> --(J129 &lt;=#REF!)</f>
        <v>#REF!</v>
      </c>
      <c r="S129" t="e">
        <f xml:space="preserve"> --(M129 &gt;=#REF!)</f>
        <v>#REF!</v>
      </c>
    </row>
    <row r="130" spans="10:19" x14ac:dyDescent="0.2">
      <c r="J130">
        <v>9</v>
      </c>
      <c r="L130">
        <v>1</v>
      </c>
      <c r="M130">
        <v>38.229999999999997</v>
      </c>
      <c r="N130" t="e">
        <f t="shared" si="4"/>
        <v>#N/A</v>
      </c>
      <c r="O130" t="e">
        <f t="shared" si="5"/>
        <v>#N/A</v>
      </c>
      <c r="P130">
        <f t="shared" si="6"/>
        <v>9</v>
      </c>
      <c r="Q130">
        <f t="shared" si="7"/>
        <v>38.229999999999997</v>
      </c>
      <c r="R130" t="e">
        <f xml:space="preserve"> --(J130 &lt;=#REF!)</f>
        <v>#REF!</v>
      </c>
      <c r="S130" t="e">
        <f xml:space="preserve"> --(M130 &gt;=#REF!)</f>
        <v>#REF!</v>
      </c>
    </row>
    <row r="131" spans="10:19" x14ac:dyDescent="0.2">
      <c r="J131">
        <v>3</v>
      </c>
      <c r="L131">
        <v>1</v>
      </c>
      <c r="M131">
        <v>76.400000000000006</v>
      </c>
      <c r="N131" t="e">
        <f t="shared" ref="N131:N194" si="8" xml:space="preserve"> IF($L131=0, $J131, NA())</f>
        <v>#N/A</v>
      </c>
      <c r="O131" t="e">
        <f t="shared" ref="O131:O194" si="9" xml:space="preserve"> IF($L131=0, $M131, NA())</f>
        <v>#N/A</v>
      </c>
      <c r="P131">
        <f t="shared" ref="P131:P194" si="10" xml:space="preserve"> IF($L131=1, $J131, NA())</f>
        <v>3</v>
      </c>
      <c r="Q131">
        <f t="shared" ref="Q131:Q194" si="11" xml:space="preserve"> IF($L131=1, $M131, NA())</f>
        <v>76.400000000000006</v>
      </c>
      <c r="R131" t="e">
        <f xml:space="preserve"> --(J131 &lt;=#REF!)</f>
        <v>#REF!</v>
      </c>
      <c r="S131" t="e">
        <f xml:space="preserve"> --(M131 &gt;=#REF!)</f>
        <v>#REF!</v>
      </c>
    </row>
    <row r="132" spans="10:19" x14ac:dyDescent="0.2">
      <c r="J132">
        <v>4</v>
      </c>
      <c r="L132">
        <v>1</v>
      </c>
      <c r="M132">
        <v>104.07</v>
      </c>
      <c r="N132" t="e">
        <f t="shared" si="8"/>
        <v>#N/A</v>
      </c>
      <c r="O132" t="e">
        <f t="shared" si="9"/>
        <v>#N/A</v>
      </c>
      <c r="P132">
        <f t="shared" si="10"/>
        <v>4</v>
      </c>
      <c r="Q132">
        <f t="shared" si="11"/>
        <v>104.07</v>
      </c>
      <c r="R132" t="e">
        <f xml:space="preserve"> --(J132 &lt;=#REF!)</f>
        <v>#REF!</v>
      </c>
      <c r="S132" t="e">
        <f xml:space="preserve"> --(M132 &gt;=#REF!)</f>
        <v>#REF!</v>
      </c>
    </row>
    <row r="133" spans="10:19" x14ac:dyDescent="0.2">
      <c r="J133">
        <v>7</v>
      </c>
      <c r="L133">
        <v>1</v>
      </c>
      <c r="M133">
        <v>28.92</v>
      </c>
      <c r="N133" t="e">
        <f t="shared" si="8"/>
        <v>#N/A</v>
      </c>
      <c r="O133" t="e">
        <f t="shared" si="9"/>
        <v>#N/A</v>
      </c>
      <c r="P133">
        <f t="shared" si="10"/>
        <v>7</v>
      </c>
      <c r="Q133">
        <f t="shared" si="11"/>
        <v>28.92</v>
      </c>
      <c r="R133" t="e">
        <f xml:space="preserve"> --(J133 &lt;=#REF!)</f>
        <v>#REF!</v>
      </c>
      <c r="S133" t="e">
        <f xml:space="preserve"> --(M133 &gt;=#REF!)</f>
        <v>#REF!</v>
      </c>
    </row>
    <row r="134" spans="10:19" x14ac:dyDescent="0.2">
      <c r="J134">
        <v>7</v>
      </c>
      <c r="L134">
        <v>1</v>
      </c>
      <c r="M134">
        <v>73.53</v>
      </c>
      <c r="N134" t="e">
        <f t="shared" si="8"/>
        <v>#N/A</v>
      </c>
      <c r="O134" t="e">
        <f t="shared" si="9"/>
        <v>#N/A</v>
      </c>
      <c r="P134">
        <f t="shared" si="10"/>
        <v>7</v>
      </c>
      <c r="Q134">
        <f t="shared" si="11"/>
        <v>73.53</v>
      </c>
      <c r="R134" t="e">
        <f xml:space="preserve"> --(J134 &lt;=#REF!)</f>
        <v>#REF!</v>
      </c>
      <c r="S134" t="e">
        <f xml:space="preserve"> --(M134 &gt;=#REF!)</f>
        <v>#REF!</v>
      </c>
    </row>
    <row r="135" spans="10:19" x14ac:dyDescent="0.2">
      <c r="J135">
        <v>4</v>
      </c>
      <c r="L135">
        <v>1</v>
      </c>
      <c r="M135">
        <v>43.32</v>
      </c>
      <c r="N135" t="e">
        <f t="shared" si="8"/>
        <v>#N/A</v>
      </c>
      <c r="O135" t="e">
        <f t="shared" si="9"/>
        <v>#N/A</v>
      </c>
      <c r="P135">
        <f t="shared" si="10"/>
        <v>4</v>
      </c>
      <c r="Q135">
        <f t="shared" si="11"/>
        <v>43.32</v>
      </c>
      <c r="R135" t="e">
        <f xml:space="preserve"> --(J135 &lt;=#REF!)</f>
        <v>#REF!</v>
      </c>
      <c r="S135" t="e">
        <f xml:space="preserve"> --(M135 &gt;=#REF!)</f>
        <v>#REF!</v>
      </c>
    </row>
    <row r="136" spans="10:19" x14ac:dyDescent="0.2">
      <c r="J136">
        <v>6</v>
      </c>
      <c r="L136">
        <v>0</v>
      </c>
      <c r="M136">
        <v>54.29</v>
      </c>
      <c r="N136">
        <f t="shared" si="8"/>
        <v>6</v>
      </c>
      <c r="O136">
        <f t="shared" si="9"/>
        <v>54.29</v>
      </c>
      <c r="P136" t="e">
        <f t="shared" si="10"/>
        <v>#N/A</v>
      </c>
      <c r="Q136" t="e">
        <f t="shared" si="11"/>
        <v>#N/A</v>
      </c>
      <c r="R136" t="e">
        <f xml:space="preserve"> --(J136 &lt;=#REF!)</f>
        <v>#REF!</v>
      </c>
      <c r="S136" t="e">
        <f xml:space="preserve"> --(M136 &gt;=#REF!)</f>
        <v>#REF!</v>
      </c>
    </row>
    <row r="137" spans="10:19" x14ac:dyDescent="0.2">
      <c r="J137">
        <v>3</v>
      </c>
      <c r="L137">
        <v>1</v>
      </c>
      <c r="M137">
        <v>67.400000000000006</v>
      </c>
      <c r="N137" t="e">
        <f t="shared" si="8"/>
        <v>#N/A</v>
      </c>
      <c r="O137" t="e">
        <f t="shared" si="9"/>
        <v>#N/A</v>
      </c>
      <c r="P137">
        <f t="shared" si="10"/>
        <v>3</v>
      </c>
      <c r="Q137">
        <f t="shared" si="11"/>
        <v>67.400000000000006</v>
      </c>
      <c r="R137" t="e">
        <f xml:space="preserve"> --(J137 &lt;=#REF!)</f>
        <v>#REF!</v>
      </c>
      <c r="S137" t="e">
        <f xml:space="preserve"> --(M137 &gt;=#REF!)</f>
        <v>#REF!</v>
      </c>
    </row>
    <row r="138" spans="10:19" x14ac:dyDescent="0.2">
      <c r="J138">
        <v>6</v>
      </c>
      <c r="L138">
        <v>1</v>
      </c>
      <c r="M138">
        <v>55.51</v>
      </c>
      <c r="N138" t="e">
        <f t="shared" si="8"/>
        <v>#N/A</v>
      </c>
      <c r="O138" t="e">
        <f t="shared" si="9"/>
        <v>#N/A</v>
      </c>
      <c r="P138">
        <f t="shared" si="10"/>
        <v>6</v>
      </c>
      <c r="Q138">
        <f t="shared" si="11"/>
        <v>55.51</v>
      </c>
      <c r="R138" t="e">
        <f xml:space="preserve"> --(J138 &lt;=#REF!)</f>
        <v>#REF!</v>
      </c>
      <c r="S138" t="e">
        <f xml:space="preserve"> --(M138 &gt;=#REF!)</f>
        <v>#REF!</v>
      </c>
    </row>
    <row r="139" spans="10:19" x14ac:dyDescent="0.2">
      <c r="J139">
        <v>2</v>
      </c>
      <c r="L139">
        <v>0</v>
      </c>
      <c r="M139">
        <v>84.88</v>
      </c>
      <c r="N139">
        <f t="shared" si="8"/>
        <v>2</v>
      </c>
      <c r="O139">
        <f t="shared" si="9"/>
        <v>84.88</v>
      </c>
      <c r="P139" t="e">
        <f t="shared" si="10"/>
        <v>#N/A</v>
      </c>
      <c r="Q139" t="e">
        <f t="shared" si="11"/>
        <v>#N/A</v>
      </c>
      <c r="R139" t="e">
        <f xml:space="preserve"> --(J139 &lt;=#REF!)</f>
        <v>#REF!</v>
      </c>
      <c r="S139" t="e">
        <f xml:space="preserve"> --(M139 &gt;=#REF!)</f>
        <v>#REF!</v>
      </c>
    </row>
    <row r="140" spans="10:19" x14ac:dyDescent="0.2">
      <c r="J140">
        <v>8</v>
      </c>
      <c r="L140">
        <v>0</v>
      </c>
      <c r="M140">
        <v>67.959999999999994</v>
      </c>
      <c r="N140">
        <f t="shared" si="8"/>
        <v>8</v>
      </c>
      <c r="O140">
        <f t="shared" si="9"/>
        <v>67.959999999999994</v>
      </c>
      <c r="P140" t="e">
        <f t="shared" si="10"/>
        <v>#N/A</v>
      </c>
      <c r="Q140" t="e">
        <f t="shared" si="11"/>
        <v>#N/A</v>
      </c>
      <c r="R140" t="e">
        <f xml:space="preserve"> --(J140 &lt;=#REF!)</f>
        <v>#REF!</v>
      </c>
      <c r="S140" t="e">
        <f xml:space="preserve"> --(M140 &gt;=#REF!)</f>
        <v>#REF!</v>
      </c>
    </row>
    <row r="141" spans="10:19" x14ac:dyDescent="0.2">
      <c r="J141">
        <v>2</v>
      </c>
      <c r="L141">
        <v>1</v>
      </c>
      <c r="M141">
        <v>78.42</v>
      </c>
      <c r="N141" t="e">
        <f t="shared" si="8"/>
        <v>#N/A</v>
      </c>
      <c r="O141" t="e">
        <f t="shared" si="9"/>
        <v>#N/A</v>
      </c>
      <c r="P141">
        <f t="shared" si="10"/>
        <v>2</v>
      </c>
      <c r="Q141">
        <f t="shared" si="11"/>
        <v>78.42</v>
      </c>
      <c r="R141" t="e">
        <f xml:space="preserve"> --(J141 &lt;=#REF!)</f>
        <v>#REF!</v>
      </c>
      <c r="S141" t="e">
        <f xml:space="preserve"> --(M141 &gt;=#REF!)</f>
        <v>#REF!</v>
      </c>
    </row>
    <row r="142" spans="10:19" x14ac:dyDescent="0.2">
      <c r="J142">
        <v>7</v>
      </c>
      <c r="L142">
        <v>0</v>
      </c>
      <c r="M142">
        <v>93.68</v>
      </c>
      <c r="N142">
        <f t="shared" si="8"/>
        <v>7</v>
      </c>
      <c r="O142">
        <f t="shared" si="9"/>
        <v>93.68</v>
      </c>
      <c r="P142" t="e">
        <f t="shared" si="10"/>
        <v>#N/A</v>
      </c>
      <c r="Q142" t="e">
        <f t="shared" si="11"/>
        <v>#N/A</v>
      </c>
      <c r="R142" t="e">
        <f xml:space="preserve"> --(J142 &lt;=#REF!)</f>
        <v>#REF!</v>
      </c>
      <c r="S142" t="e">
        <f xml:space="preserve"> --(M142 &gt;=#REF!)</f>
        <v>#REF!</v>
      </c>
    </row>
    <row r="143" spans="10:19" x14ac:dyDescent="0.2">
      <c r="J143">
        <v>9</v>
      </c>
      <c r="L143">
        <v>0</v>
      </c>
      <c r="M143">
        <v>75.77</v>
      </c>
      <c r="N143">
        <f t="shared" si="8"/>
        <v>9</v>
      </c>
      <c r="O143">
        <f t="shared" si="9"/>
        <v>75.77</v>
      </c>
      <c r="P143" t="e">
        <f t="shared" si="10"/>
        <v>#N/A</v>
      </c>
      <c r="Q143" t="e">
        <f t="shared" si="11"/>
        <v>#N/A</v>
      </c>
      <c r="R143" t="e">
        <f xml:space="preserve"> --(J143 &lt;=#REF!)</f>
        <v>#REF!</v>
      </c>
      <c r="S143" t="e">
        <f xml:space="preserve"> --(M143 &gt;=#REF!)</f>
        <v>#REF!</v>
      </c>
    </row>
    <row r="144" spans="10:19" x14ac:dyDescent="0.2">
      <c r="J144">
        <v>1</v>
      </c>
      <c r="L144">
        <v>1</v>
      </c>
      <c r="M144">
        <v>78.650000000000006</v>
      </c>
      <c r="N144" t="e">
        <f t="shared" si="8"/>
        <v>#N/A</v>
      </c>
      <c r="O144" t="e">
        <f t="shared" si="9"/>
        <v>#N/A</v>
      </c>
      <c r="P144">
        <f t="shared" si="10"/>
        <v>1</v>
      </c>
      <c r="Q144">
        <f t="shared" si="11"/>
        <v>78.650000000000006</v>
      </c>
      <c r="R144" t="e">
        <f xml:space="preserve"> --(J144 &lt;=#REF!)</f>
        <v>#REF!</v>
      </c>
      <c r="S144" t="e">
        <f xml:space="preserve"> --(M144 &gt;=#REF!)</f>
        <v>#REF!</v>
      </c>
    </row>
    <row r="145" spans="10:19" x14ac:dyDescent="0.2">
      <c r="J145">
        <v>8</v>
      </c>
      <c r="L145">
        <v>0</v>
      </c>
      <c r="M145">
        <v>76.45</v>
      </c>
      <c r="N145">
        <f t="shared" si="8"/>
        <v>8</v>
      </c>
      <c r="O145">
        <f t="shared" si="9"/>
        <v>76.45</v>
      </c>
      <c r="P145" t="e">
        <f t="shared" si="10"/>
        <v>#N/A</v>
      </c>
      <c r="Q145" t="e">
        <f t="shared" si="11"/>
        <v>#N/A</v>
      </c>
      <c r="R145" t="e">
        <f xml:space="preserve"> --(J145 &lt;=#REF!)</f>
        <v>#REF!</v>
      </c>
      <c r="S145" t="e">
        <f xml:space="preserve"> --(M145 &gt;=#REF!)</f>
        <v>#REF!</v>
      </c>
    </row>
    <row r="146" spans="10:19" x14ac:dyDescent="0.2">
      <c r="J146">
        <v>7</v>
      </c>
      <c r="L146">
        <v>0</v>
      </c>
      <c r="M146">
        <v>57.88</v>
      </c>
      <c r="N146">
        <f t="shared" si="8"/>
        <v>7</v>
      </c>
      <c r="O146">
        <f t="shared" si="9"/>
        <v>57.88</v>
      </c>
      <c r="P146" t="e">
        <f t="shared" si="10"/>
        <v>#N/A</v>
      </c>
      <c r="Q146" t="e">
        <f t="shared" si="11"/>
        <v>#N/A</v>
      </c>
      <c r="R146" t="e">
        <f xml:space="preserve"> --(J146 &lt;=#REF!)</f>
        <v>#REF!</v>
      </c>
      <c r="S146" t="e">
        <f xml:space="preserve"> --(M146 &gt;=#REF!)</f>
        <v>#REF!</v>
      </c>
    </row>
    <row r="147" spans="10:19" x14ac:dyDescent="0.2">
      <c r="J147">
        <v>6</v>
      </c>
      <c r="L147">
        <v>0</v>
      </c>
      <c r="M147">
        <v>53.74</v>
      </c>
      <c r="N147">
        <f t="shared" si="8"/>
        <v>6</v>
      </c>
      <c r="O147">
        <f t="shared" si="9"/>
        <v>53.74</v>
      </c>
      <c r="P147" t="e">
        <f t="shared" si="10"/>
        <v>#N/A</v>
      </c>
      <c r="Q147" t="e">
        <f t="shared" si="11"/>
        <v>#N/A</v>
      </c>
      <c r="R147" t="e">
        <f xml:space="preserve"> --(J147 &lt;=#REF!)</f>
        <v>#REF!</v>
      </c>
      <c r="S147" t="e">
        <f xml:space="preserve"> --(M147 &gt;=#REF!)</f>
        <v>#REF!</v>
      </c>
    </row>
    <row r="148" spans="10:19" x14ac:dyDescent="0.2">
      <c r="J148">
        <v>6</v>
      </c>
      <c r="L148">
        <v>0</v>
      </c>
      <c r="M148">
        <v>109.96</v>
      </c>
      <c r="N148">
        <f t="shared" si="8"/>
        <v>6</v>
      </c>
      <c r="O148">
        <f t="shared" si="9"/>
        <v>109.96</v>
      </c>
      <c r="P148" t="e">
        <f t="shared" si="10"/>
        <v>#N/A</v>
      </c>
      <c r="Q148" t="e">
        <f t="shared" si="11"/>
        <v>#N/A</v>
      </c>
      <c r="R148" t="e">
        <f xml:space="preserve"> --(J148 &lt;=#REF!)</f>
        <v>#REF!</v>
      </c>
      <c r="S148" t="e">
        <f xml:space="preserve"> --(M148 &gt;=#REF!)</f>
        <v>#REF!</v>
      </c>
    </row>
    <row r="149" spans="10:19" x14ac:dyDescent="0.2">
      <c r="J149">
        <v>6</v>
      </c>
      <c r="L149">
        <v>0</v>
      </c>
      <c r="M149">
        <v>80.760000000000005</v>
      </c>
      <c r="N149">
        <f t="shared" si="8"/>
        <v>6</v>
      </c>
      <c r="O149">
        <f t="shared" si="9"/>
        <v>80.760000000000005</v>
      </c>
      <c r="P149" t="e">
        <f t="shared" si="10"/>
        <v>#N/A</v>
      </c>
      <c r="Q149" t="e">
        <f t="shared" si="11"/>
        <v>#N/A</v>
      </c>
      <c r="R149" t="e">
        <f xml:space="preserve"> --(J149 &lt;=#REF!)</f>
        <v>#REF!</v>
      </c>
      <c r="S149" t="e">
        <f xml:space="preserve"> --(M149 &gt;=#REF!)</f>
        <v>#REF!</v>
      </c>
    </row>
    <row r="150" spans="10:19" x14ac:dyDescent="0.2">
      <c r="J150">
        <v>9</v>
      </c>
      <c r="L150">
        <v>1</v>
      </c>
      <c r="M150">
        <v>44.44</v>
      </c>
      <c r="N150" t="e">
        <f t="shared" si="8"/>
        <v>#N/A</v>
      </c>
      <c r="O150" t="e">
        <f t="shared" si="9"/>
        <v>#N/A</v>
      </c>
      <c r="P150">
        <f t="shared" si="10"/>
        <v>9</v>
      </c>
      <c r="Q150">
        <f t="shared" si="11"/>
        <v>44.44</v>
      </c>
      <c r="R150" t="e">
        <f xml:space="preserve"> --(J150 &lt;=#REF!)</f>
        <v>#REF!</v>
      </c>
      <c r="S150" t="e">
        <f xml:space="preserve"> --(M150 &gt;=#REF!)</f>
        <v>#REF!</v>
      </c>
    </row>
    <row r="151" spans="10:19" x14ac:dyDescent="0.2">
      <c r="J151">
        <v>2</v>
      </c>
      <c r="L151">
        <v>1</v>
      </c>
      <c r="M151">
        <v>69.819999999999993</v>
      </c>
      <c r="N151" t="e">
        <f t="shared" si="8"/>
        <v>#N/A</v>
      </c>
      <c r="O151" t="e">
        <f t="shared" si="9"/>
        <v>#N/A</v>
      </c>
      <c r="P151">
        <f t="shared" si="10"/>
        <v>2</v>
      </c>
      <c r="Q151">
        <f t="shared" si="11"/>
        <v>69.819999999999993</v>
      </c>
      <c r="R151" t="e">
        <f xml:space="preserve"> --(J151 &lt;=#REF!)</f>
        <v>#REF!</v>
      </c>
      <c r="S151" t="e">
        <f xml:space="preserve"> --(M151 &gt;=#REF!)</f>
        <v>#REF!</v>
      </c>
    </row>
    <row r="152" spans="10:19" x14ac:dyDescent="0.2">
      <c r="J152">
        <v>1</v>
      </c>
      <c r="L152">
        <v>1</v>
      </c>
      <c r="M152">
        <v>53.03</v>
      </c>
      <c r="N152" t="e">
        <f t="shared" si="8"/>
        <v>#N/A</v>
      </c>
      <c r="O152" t="e">
        <f t="shared" si="9"/>
        <v>#N/A</v>
      </c>
      <c r="P152">
        <f t="shared" si="10"/>
        <v>1</v>
      </c>
      <c r="Q152">
        <f t="shared" si="11"/>
        <v>53.03</v>
      </c>
      <c r="R152" t="e">
        <f xml:space="preserve"> --(J152 &lt;=#REF!)</f>
        <v>#REF!</v>
      </c>
      <c r="S152" t="e">
        <f xml:space="preserve"> --(M152 &gt;=#REF!)</f>
        <v>#REF!</v>
      </c>
    </row>
    <row r="153" spans="10:19" x14ac:dyDescent="0.2">
      <c r="J153">
        <v>6</v>
      </c>
      <c r="L153">
        <v>0</v>
      </c>
      <c r="M153">
        <v>113.37</v>
      </c>
      <c r="N153">
        <f t="shared" si="8"/>
        <v>6</v>
      </c>
      <c r="O153">
        <f t="shared" si="9"/>
        <v>113.37</v>
      </c>
      <c r="P153" t="e">
        <f t="shared" si="10"/>
        <v>#N/A</v>
      </c>
      <c r="Q153" t="e">
        <f t="shared" si="11"/>
        <v>#N/A</v>
      </c>
      <c r="R153" t="e">
        <f xml:space="preserve"> --(J153 &lt;=#REF!)</f>
        <v>#REF!</v>
      </c>
      <c r="S153" t="e">
        <f xml:space="preserve"> --(M153 &gt;=#REF!)</f>
        <v>#REF!</v>
      </c>
    </row>
    <row r="154" spans="10:19" x14ac:dyDescent="0.2">
      <c r="J154">
        <v>10</v>
      </c>
      <c r="L154">
        <v>0</v>
      </c>
      <c r="M154">
        <v>20.75</v>
      </c>
      <c r="N154">
        <f t="shared" si="8"/>
        <v>10</v>
      </c>
      <c r="O154">
        <f t="shared" si="9"/>
        <v>20.75</v>
      </c>
      <c r="P154" t="e">
        <f t="shared" si="10"/>
        <v>#N/A</v>
      </c>
      <c r="Q154" t="e">
        <f t="shared" si="11"/>
        <v>#N/A</v>
      </c>
      <c r="R154" t="e">
        <f xml:space="preserve"> --(J154 &lt;=#REF!)</f>
        <v>#REF!</v>
      </c>
      <c r="S154" t="e">
        <f xml:space="preserve"> --(M154 &gt;=#REF!)</f>
        <v>#REF!</v>
      </c>
    </row>
    <row r="155" spans="10:19" x14ac:dyDescent="0.2">
      <c r="J155">
        <v>8</v>
      </c>
      <c r="L155">
        <v>1</v>
      </c>
      <c r="M155">
        <v>42.53</v>
      </c>
      <c r="N155" t="e">
        <f t="shared" si="8"/>
        <v>#N/A</v>
      </c>
      <c r="O155" t="e">
        <f t="shared" si="9"/>
        <v>#N/A</v>
      </c>
      <c r="P155">
        <f t="shared" si="10"/>
        <v>8</v>
      </c>
      <c r="Q155">
        <f t="shared" si="11"/>
        <v>42.53</v>
      </c>
      <c r="R155" t="e">
        <f xml:space="preserve"> --(J155 &lt;=#REF!)</f>
        <v>#REF!</v>
      </c>
      <c r="S155" t="e">
        <f xml:space="preserve"> --(M155 &gt;=#REF!)</f>
        <v>#REF!</v>
      </c>
    </row>
    <row r="156" spans="10:19" x14ac:dyDescent="0.2">
      <c r="J156">
        <v>3</v>
      </c>
      <c r="L156">
        <v>0</v>
      </c>
      <c r="M156">
        <v>56.54</v>
      </c>
      <c r="N156">
        <f t="shared" si="8"/>
        <v>3</v>
      </c>
      <c r="O156">
        <f t="shared" si="9"/>
        <v>56.54</v>
      </c>
      <c r="P156" t="e">
        <f t="shared" si="10"/>
        <v>#N/A</v>
      </c>
      <c r="Q156" t="e">
        <f t="shared" si="11"/>
        <v>#N/A</v>
      </c>
      <c r="R156" t="e">
        <f xml:space="preserve"> --(J156 &lt;=#REF!)</f>
        <v>#REF!</v>
      </c>
      <c r="S156" t="e">
        <f xml:space="preserve"> --(M156 &gt;=#REF!)</f>
        <v>#REF!</v>
      </c>
    </row>
    <row r="157" spans="10:19" x14ac:dyDescent="0.2">
      <c r="J157">
        <v>10</v>
      </c>
      <c r="L157">
        <v>0</v>
      </c>
      <c r="M157">
        <v>68.78</v>
      </c>
      <c r="N157">
        <f t="shared" si="8"/>
        <v>10</v>
      </c>
      <c r="O157">
        <f t="shared" si="9"/>
        <v>68.78</v>
      </c>
      <c r="P157" t="e">
        <f t="shared" si="10"/>
        <v>#N/A</v>
      </c>
      <c r="Q157" t="e">
        <f t="shared" si="11"/>
        <v>#N/A</v>
      </c>
      <c r="R157" t="e">
        <f xml:space="preserve"> --(J157 &lt;=#REF!)</f>
        <v>#REF!</v>
      </c>
      <c r="S157" t="e">
        <f xml:space="preserve"> --(M157 &gt;=#REF!)</f>
        <v>#REF!</v>
      </c>
    </row>
    <row r="158" spans="10:19" x14ac:dyDescent="0.2">
      <c r="J158">
        <v>1</v>
      </c>
      <c r="L158">
        <v>1</v>
      </c>
      <c r="M158">
        <v>105.08</v>
      </c>
      <c r="N158" t="e">
        <f t="shared" si="8"/>
        <v>#N/A</v>
      </c>
      <c r="O158" t="e">
        <f t="shared" si="9"/>
        <v>#N/A</v>
      </c>
      <c r="P158">
        <f t="shared" si="10"/>
        <v>1</v>
      </c>
      <c r="Q158">
        <f t="shared" si="11"/>
        <v>105.08</v>
      </c>
      <c r="R158" t="e">
        <f xml:space="preserve"> --(J158 &lt;=#REF!)</f>
        <v>#REF!</v>
      </c>
      <c r="S158" t="e">
        <f xml:space="preserve"> --(M158 &gt;=#REF!)</f>
        <v>#REF!</v>
      </c>
    </row>
    <row r="159" spans="10:19" x14ac:dyDescent="0.2">
      <c r="J159">
        <v>9</v>
      </c>
      <c r="L159">
        <v>0</v>
      </c>
      <c r="M159">
        <v>28.79</v>
      </c>
      <c r="N159">
        <f t="shared" si="8"/>
        <v>9</v>
      </c>
      <c r="O159">
        <f t="shared" si="9"/>
        <v>28.79</v>
      </c>
      <c r="P159" t="e">
        <f t="shared" si="10"/>
        <v>#N/A</v>
      </c>
      <c r="Q159" t="e">
        <f t="shared" si="11"/>
        <v>#N/A</v>
      </c>
      <c r="R159" t="e">
        <f xml:space="preserve"> --(J159 &lt;=#REF!)</f>
        <v>#REF!</v>
      </c>
      <c r="S159" t="e">
        <f xml:space="preserve"> --(M159 &gt;=#REF!)</f>
        <v>#REF!</v>
      </c>
    </row>
    <row r="160" spans="10:19" x14ac:dyDescent="0.2">
      <c r="J160">
        <v>1</v>
      </c>
      <c r="L160">
        <v>0</v>
      </c>
      <c r="M160">
        <v>100.59</v>
      </c>
      <c r="N160">
        <f t="shared" si="8"/>
        <v>1</v>
      </c>
      <c r="O160">
        <f t="shared" si="9"/>
        <v>100.59</v>
      </c>
      <c r="P160" t="e">
        <f t="shared" si="10"/>
        <v>#N/A</v>
      </c>
      <c r="Q160" t="e">
        <f t="shared" si="11"/>
        <v>#N/A</v>
      </c>
      <c r="R160" t="e">
        <f xml:space="preserve"> --(J160 &lt;=#REF!)</f>
        <v>#REF!</v>
      </c>
      <c r="S160" t="e">
        <f xml:space="preserve"> --(M160 &gt;=#REF!)</f>
        <v>#REF!</v>
      </c>
    </row>
    <row r="161" spans="10:19" x14ac:dyDescent="0.2">
      <c r="J161">
        <v>3</v>
      </c>
      <c r="L161">
        <v>1</v>
      </c>
      <c r="M161">
        <v>25.57</v>
      </c>
      <c r="N161" t="e">
        <f t="shared" si="8"/>
        <v>#N/A</v>
      </c>
      <c r="O161" t="e">
        <f t="shared" si="9"/>
        <v>#N/A</v>
      </c>
      <c r="P161">
        <f t="shared" si="10"/>
        <v>3</v>
      </c>
      <c r="Q161">
        <f t="shared" si="11"/>
        <v>25.57</v>
      </c>
      <c r="R161" t="e">
        <f xml:space="preserve"> --(J161 &lt;=#REF!)</f>
        <v>#REF!</v>
      </c>
      <c r="S161" t="e">
        <f xml:space="preserve"> --(M161 &gt;=#REF!)</f>
        <v>#REF!</v>
      </c>
    </row>
    <row r="162" spans="10:19" x14ac:dyDescent="0.2">
      <c r="J162">
        <v>8</v>
      </c>
      <c r="L162">
        <v>0</v>
      </c>
      <c r="M162">
        <v>104.23</v>
      </c>
      <c r="N162">
        <f t="shared" si="8"/>
        <v>8</v>
      </c>
      <c r="O162">
        <f t="shared" si="9"/>
        <v>104.23</v>
      </c>
      <c r="P162" t="e">
        <f t="shared" si="10"/>
        <v>#N/A</v>
      </c>
      <c r="Q162" t="e">
        <f t="shared" si="11"/>
        <v>#N/A</v>
      </c>
      <c r="R162" t="e">
        <f xml:space="preserve"> --(J162 &lt;=#REF!)</f>
        <v>#REF!</v>
      </c>
      <c r="S162" t="e">
        <f xml:space="preserve"> --(M162 &gt;=#REF!)</f>
        <v>#REF!</v>
      </c>
    </row>
    <row r="163" spans="10:19" x14ac:dyDescent="0.2">
      <c r="J163">
        <v>3</v>
      </c>
      <c r="L163">
        <v>0</v>
      </c>
      <c r="M163">
        <v>25.16</v>
      </c>
      <c r="N163">
        <f t="shared" si="8"/>
        <v>3</v>
      </c>
      <c r="O163">
        <f t="shared" si="9"/>
        <v>25.16</v>
      </c>
      <c r="P163" t="e">
        <f t="shared" si="10"/>
        <v>#N/A</v>
      </c>
      <c r="Q163" t="e">
        <f t="shared" si="11"/>
        <v>#N/A</v>
      </c>
      <c r="R163" t="e">
        <f xml:space="preserve"> --(J163 &lt;=#REF!)</f>
        <v>#REF!</v>
      </c>
      <c r="S163" t="e">
        <f xml:space="preserve"> --(M163 &gt;=#REF!)</f>
        <v>#REF!</v>
      </c>
    </row>
    <row r="164" spans="10:19" x14ac:dyDescent="0.2">
      <c r="J164">
        <v>4</v>
      </c>
      <c r="L164">
        <v>1</v>
      </c>
      <c r="M164">
        <v>21.82</v>
      </c>
      <c r="N164" t="e">
        <f t="shared" si="8"/>
        <v>#N/A</v>
      </c>
      <c r="O164" t="e">
        <f t="shared" si="9"/>
        <v>#N/A</v>
      </c>
      <c r="P164">
        <f t="shared" si="10"/>
        <v>4</v>
      </c>
      <c r="Q164">
        <f t="shared" si="11"/>
        <v>21.82</v>
      </c>
      <c r="R164" t="e">
        <f xml:space="preserve"> --(J164 &lt;=#REF!)</f>
        <v>#REF!</v>
      </c>
      <c r="S164" t="e">
        <f xml:space="preserve"> --(M164 &gt;=#REF!)</f>
        <v>#REF!</v>
      </c>
    </row>
    <row r="165" spans="10:19" x14ac:dyDescent="0.2">
      <c r="J165">
        <v>8</v>
      </c>
      <c r="L165">
        <v>0</v>
      </c>
      <c r="M165">
        <v>89.7</v>
      </c>
      <c r="N165">
        <f t="shared" si="8"/>
        <v>8</v>
      </c>
      <c r="O165">
        <f t="shared" si="9"/>
        <v>89.7</v>
      </c>
      <c r="P165" t="e">
        <f t="shared" si="10"/>
        <v>#N/A</v>
      </c>
      <c r="Q165" t="e">
        <f t="shared" si="11"/>
        <v>#N/A</v>
      </c>
      <c r="R165" t="e">
        <f xml:space="preserve"> --(J165 &lt;=#REF!)</f>
        <v>#REF!</v>
      </c>
      <c r="S165" t="e">
        <f xml:space="preserve"> --(M165 &gt;=#REF!)</f>
        <v>#REF!</v>
      </c>
    </row>
    <row r="166" spans="10:19" x14ac:dyDescent="0.2">
      <c r="J166">
        <v>1</v>
      </c>
      <c r="L166">
        <v>1</v>
      </c>
      <c r="M166">
        <v>119.73</v>
      </c>
      <c r="N166" t="e">
        <f t="shared" si="8"/>
        <v>#N/A</v>
      </c>
      <c r="O166" t="e">
        <f t="shared" si="9"/>
        <v>#N/A</v>
      </c>
      <c r="P166">
        <f t="shared" si="10"/>
        <v>1</v>
      </c>
      <c r="Q166">
        <f t="shared" si="11"/>
        <v>119.73</v>
      </c>
      <c r="R166" t="e">
        <f xml:space="preserve"> --(J166 &lt;=#REF!)</f>
        <v>#REF!</v>
      </c>
      <c r="S166" t="e">
        <f xml:space="preserve"> --(M166 &gt;=#REF!)</f>
        <v>#REF!</v>
      </c>
    </row>
    <row r="167" spans="10:19" x14ac:dyDescent="0.2">
      <c r="J167">
        <v>6</v>
      </c>
      <c r="L167">
        <v>1</v>
      </c>
      <c r="M167">
        <v>109.66</v>
      </c>
      <c r="N167" t="e">
        <f t="shared" si="8"/>
        <v>#N/A</v>
      </c>
      <c r="O167" t="e">
        <f t="shared" si="9"/>
        <v>#N/A</v>
      </c>
      <c r="P167">
        <f t="shared" si="10"/>
        <v>6</v>
      </c>
      <c r="Q167">
        <f t="shared" si="11"/>
        <v>109.66</v>
      </c>
      <c r="R167" t="e">
        <f xml:space="preserve"> --(J167 &lt;=#REF!)</f>
        <v>#REF!</v>
      </c>
      <c r="S167" t="e">
        <f xml:space="preserve"> --(M167 &gt;=#REF!)</f>
        <v>#REF!</v>
      </c>
    </row>
    <row r="168" spans="10:19" x14ac:dyDescent="0.2">
      <c r="J168">
        <v>1</v>
      </c>
      <c r="L168">
        <v>1</v>
      </c>
      <c r="M168">
        <v>77.599999999999994</v>
      </c>
      <c r="N168" t="e">
        <f t="shared" si="8"/>
        <v>#N/A</v>
      </c>
      <c r="O168" t="e">
        <f t="shared" si="9"/>
        <v>#N/A</v>
      </c>
      <c r="P168">
        <f t="shared" si="10"/>
        <v>1</v>
      </c>
      <c r="Q168">
        <f t="shared" si="11"/>
        <v>77.599999999999994</v>
      </c>
      <c r="R168" t="e">
        <f xml:space="preserve"> --(J168 &lt;=#REF!)</f>
        <v>#REF!</v>
      </c>
      <c r="S168" t="e">
        <f xml:space="preserve"> --(M168 &gt;=#REF!)</f>
        <v>#REF!</v>
      </c>
    </row>
    <row r="169" spans="10:19" x14ac:dyDescent="0.2">
      <c r="J169">
        <v>1</v>
      </c>
      <c r="L169">
        <v>1</v>
      </c>
      <c r="M169">
        <v>111.74</v>
      </c>
      <c r="N169" t="e">
        <f t="shared" si="8"/>
        <v>#N/A</v>
      </c>
      <c r="O169" t="e">
        <f t="shared" si="9"/>
        <v>#N/A</v>
      </c>
      <c r="P169">
        <f t="shared" si="10"/>
        <v>1</v>
      </c>
      <c r="Q169">
        <f t="shared" si="11"/>
        <v>111.74</v>
      </c>
      <c r="R169" t="e">
        <f xml:space="preserve"> --(J169 &lt;=#REF!)</f>
        <v>#REF!</v>
      </c>
      <c r="S169" t="e">
        <f xml:space="preserve"> --(M169 &gt;=#REF!)</f>
        <v>#REF!</v>
      </c>
    </row>
    <row r="170" spans="10:19" x14ac:dyDescent="0.2">
      <c r="J170">
        <v>8</v>
      </c>
      <c r="L170">
        <v>1</v>
      </c>
      <c r="M170">
        <v>20.53</v>
      </c>
      <c r="N170" t="e">
        <f t="shared" si="8"/>
        <v>#N/A</v>
      </c>
      <c r="O170" t="e">
        <f t="shared" si="9"/>
        <v>#N/A</v>
      </c>
      <c r="P170">
        <f t="shared" si="10"/>
        <v>8</v>
      </c>
      <c r="Q170">
        <f t="shared" si="11"/>
        <v>20.53</v>
      </c>
      <c r="R170" t="e">
        <f xml:space="preserve"> --(J170 &lt;=#REF!)</f>
        <v>#REF!</v>
      </c>
      <c r="S170" t="e">
        <f xml:space="preserve"> --(M170 &gt;=#REF!)</f>
        <v>#REF!</v>
      </c>
    </row>
    <row r="171" spans="10:19" x14ac:dyDescent="0.2">
      <c r="J171">
        <v>4</v>
      </c>
      <c r="L171">
        <v>1</v>
      </c>
      <c r="M171">
        <v>117.51</v>
      </c>
      <c r="N171" t="e">
        <f t="shared" si="8"/>
        <v>#N/A</v>
      </c>
      <c r="O171" t="e">
        <f t="shared" si="9"/>
        <v>#N/A</v>
      </c>
      <c r="P171">
        <f t="shared" si="10"/>
        <v>4</v>
      </c>
      <c r="Q171">
        <f t="shared" si="11"/>
        <v>117.51</v>
      </c>
      <c r="R171" t="e">
        <f xml:space="preserve"> --(J171 &lt;=#REF!)</f>
        <v>#REF!</v>
      </c>
      <c r="S171" t="e">
        <f xml:space="preserve"> --(M171 &gt;=#REF!)</f>
        <v>#REF!</v>
      </c>
    </row>
    <row r="172" spans="10:19" x14ac:dyDescent="0.2">
      <c r="J172">
        <v>1</v>
      </c>
      <c r="L172">
        <v>0</v>
      </c>
      <c r="M172">
        <v>69.069999999999993</v>
      </c>
      <c r="N172">
        <f t="shared" si="8"/>
        <v>1</v>
      </c>
      <c r="O172">
        <f t="shared" si="9"/>
        <v>69.069999999999993</v>
      </c>
      <c r="P172" t="e">
        <f t="shared" si="10"/>
        <v>#N/A</v>
      </c>
      <c r="Q172" t="e">
        <f t="shared" si="11"/>
        <v>#N/A</v>
      </c>
      <c r="R172" t="e">
        <f xml:space="preserve"> --(J172 &lt;=#REF!)</f>
        <v>#REF!</v>
      </c>
      <c r="S172" t="e">
        <f xml:space="preserve"> --(M172 &gt;=#REF!)</f>
        <v>#REF!</v>
      </c>
    </row>
    <row r="173" spans="10:19" x14ac:dyDescent="0.2">
      <c r="J173">
        <v>10</v>
      </c>
      <c r="L173">
        <v>0</v>
      </c>
      <c r="M173">
        <v>92.29</v>
      </c>
      <c r="N173">
        <f t="shared" si="8"/>
        <v>10</v>
      </c>
      <c r="O173">
        <f t="shared" si="9"/>
        <v>92.29</v>
      </c>
      <c r="P173" t="e">
        <f t="shared" si="10"/>
        <v>#N/A</v>
      </c>
      <c r="Q173" t="e">
        <f t="shared" si="11"/>
        <v>#N/A</v>
      </c>
      <c r="R173" t="e">
        <f xml:space="preserve"> --(J173 &lt;=#REF!)</f>
        <v>#REF!</v>
      </c>
      <c r="S173" t="e">
        <f xml:space="preserve"> --(M173 &gt;=#REF!)</f>
        <v>#REF!</v>
      </c>
    </row>
    <row r="174" spans="10:19" x14ac:dyDescent="0.2">
      <c r="J174">
        <v>7</v>
      </c>
      <c r="L174">
        <v>0</v>
      </c>
      <c r="M174">
        <v>102.09</v>
      </c>
      <c r="N174">
        <f t="shared" si="8"/>
        <v>7</v>
      </c>
      <c r="O174">
        <f t="shared" si="9"/>
        <v>102.09</v>
      </c>
      <c r="P174" t="e">
        <f t="shared" si="10"/>
        <v>#N/A</v>
      </c>
      <c r="Q174" t="e">
        <f t="shared" si="11"/>
        <v>#N/A</v>
      </c>
      <c r="R174" t="e">
        <f xml:space="preserve"> --(J174 &lt;=#REF!)</f>
        <v>#REF!</v>
      </c>
      <c r="S174" t="e">
        <f xml:space="preserve"> --(M174 &gt;=#REF!)</f>
        <v>#REF!</v>
      </c>
    </row>
    <row r="175" spans="10:19" x14ac:dyDescent="0.2">
      <c r="J175">
        <v>5</v>
      </c>
      <c r="L175">
        <v>0</v>
      </c>
      <c r="M175">
        <v>91.85</v>
      </c>
      <c r="N175">
        <f t="shared" si="8"/>
        <v>5</v>
      </c>
      <c r="O175">
        <f t="shared" si="9"/>
        <v>91.85</v>
      </c>
      <c r="P175" t="e">
        <f t="shared" si="10"/>
        <v>#N/A</v>
      </c>
      <c r="Q175" t="e">
        <f t="shared" si="11"/>
        <v>#N/A</v>
      </c>
      <c r="R175" t="e">
        <f xml:space="preserve"> --(J175 &lt;=#REF!)</f>
        <v>#REF!</v>
      </c>
      <c r="S175" t="e">
        <f xml:space="preserve"> --(M175 &gt;=#REF!)</f>
        <v>#REF!</v>
      </c>
    </row>
    <row r="176" spans="10:19" x14ac:dyDescent="0.2">
      <c r="J176">
        <v>5</v>
      </c>
      <c r="L176">
        <v>0</v>
      </c>
      <c r="M176">
        <v>73.5</v>
      </c>
      <c r="N176">
        <f t="shared" si="8"/>
        <v>5</v>
      </c>
      <c r="O176">
        <f t="shared" si="9"/>
        <v>73.5</v>
      </c>
      <c r="P176" t="e">
        <f t="shared" si="10"/>
        <v>#N/A</v>
      </c>
      <c r="Q176" t="e">
        <f t="shared" si="11"/>
        <v>#N/A</v>
      </c>
      <c r="R176" t="e">
        <f xml:space="preserve"> --(J176 &lt;=#REF!)</f>
        <v>#REF!</v>
      </c>
      <c r="S176" t="e">
        <f xml:space="preserve"> --(M176 &gt;=#REF!)</f>
        <v>#REF!</v>
      </c>
    </row>
    <row r="177" spans="10:19" x14ac:dyDescent="0.2">
      <c r="J177">
        <v>1</v>
      </c>
      <c r="L177">
        <v>0</v>
      </c>
      <c r="M177">
        <v>67.66</v>
      </c>
      <c r="N177">
        <f t="shared" si="8"/>
        <v>1</v>
      </c>
      <c r="O177">
        <f t="shared" si="9"/>
        <v>67.66</v>
      </c>
      <c r="P177" t="e">
        <f t="shared" si="10"/>
        <v>#N/A</v>
      </c>
      <c r="Q177" t="e">
        <f t="shared" si="11"/>
        <v>#N/A</v>
      </c>
      <c r="R177" t="e">
        <f xml:space="preserve"> --(J177 &lt;=#REF!)</f>
        <v>#REF!</v>
      </c>
      <c r="S177" t="e">
        <f xml:space="preserve"> --(M177 &gt;=#REF!)</f>
        <v>#REF!</v>
      </c>
    </row>
    <row r="178" spans="10:19" x14ac:dyDescent="0.2">
      <c r="J178">
        <v>10</v>
      </c>
      <c r="L178">
        <v>1</v>
      </c>
      <c r="M178">
        <v>103.86</v>
      </c>
      <c r="N178" t="e">
        <f t="shared" si="8"/>
        <v>#N/A</v>
      </c>
      <c r="O178" t="e">
        <f t="shared" si="9"/>
        <v>#N/A</v>
      </c>
      <c r="P178">
        <f t="shared" si="10"/>
        <v>10</v>
      </c>
      <c r="Q178">
        <f t="shared" si="11"/>
        <v>103.86</v>
      </c>
      <c r="R178" t="e">
        <f xml:space="preserve"> --(J178 &lt;=#REF!)</f>
        <v>#REF!</v>
      </c>
      <c r="S178" t="e">
        <f xml:space="preserve"> --(M178 &gt;=#REF!)</f>
        <v>#REF!</v>
      </c>
    </row>
    <row r="179" spans="10:19" x14ac:dyDescent="0.2">
      <c r="J179">
        <v>6</v>
      </c>
      <c r="L179">
        <v>0</v>
      </c>
      <c r="M179">
        <v>40.51</v>
      </c>
      <c r="N179">
        <f t="shared" si="8"/>
        <v>6</v>
      </c>
      <c r="O179">
        <f t="shared" si="9"/>
        <v>40.51</v>
      </c>
      <c r="P179" t="e">
        <f t="shared" si="10"/>
        <v>#N/A</v>
      </c>
      <c r="Q179" t="e">
        <f t="shared" si="11"/>
        <v>#N/A</v>
      </c>
      <c r="R179" t="e">
        <f xml:space="preserve"> --(J179 &lt;=#REF!)</f>
        <v>#REF!</v>
      </c>
      <c r="S179" t="e">
        <f xml:space="preserve"> --(M179 &gt;=#REF!)</f>
        <v>#REF!</v>
      </c>
    </row>
    <row r="180" spans="10:19" x14ac:dyDescent="0.2">
      <c r="J180">
        <v>9</v>
      </c>
      <c r="L180">
        <v>0</v>
      </c>
      <c r="M180">
        <v>116.8</v>
      </c>
      <c r="N180">
        <f t="shared" si="8"/>
        <v>9</v>
      </c>
      <c r="O180">
        <f t="shared" si="9"/>
        <v>116.8</v>
      </c>
      <c r="P180" t="e">
        <f t="shared" si="10"/>
        <v>#N/A</v>
      </c>
      <c r="Q180" t="e">
        <f t="shared" si="11"/>
        <v>#N/A</v>
      </c>
      <c r="R180" t="e">
        <f xml:space="preserve"> --(J180 &lt;=#REF!)</f>
        <v>#REF!</v>
      </c>
      <c r="S180" t="e">
        <f xml:space="preserve"> --(M180 &gt;=#REF!)</f>
        <v>#REF!</v>
      </c>
    </row>
    <row r="181" spans="10:19" x14ac:dyDescent="0.2">
      <c r="J181">
        <v>9</v>
      </c>
      <c r="L181">
        <v>0</v>
      </c>
      <c r="M181">
        <v>91.1</v>
      </c>
      <c r="N181">
        <f t="shared" si="8"/>
        <v>9</v>
      </c>
      <c r="O181">
        <f t="shared" si="9"/>
        <v>91.1</v>
      </c>
      <c r="P181" t="e">
        <f t="shared" si="10"/>
        <v>#N/A</v>
      </c>
      <c r="Q181" t="e">
        <f t="shared" si="11"/>
        <v>#N/A</v>
      </c>
      <c r="R181" t="e">
        <f xml:space="preserve"> --(J181 &lt;=#REF!)</f>
        <v>#REF!</v>
      </c>
      <c r="S181" t="e">
        <f xml:space="preserve"> --(M181 &gt;=#REF!)</f>
        <v>#REF!</v>
      </c>
    </row>
    <row r="182" spans="10:19" x14ac:dyDescent="0.2">
      <c r="J182">
        <v>8</v>
      </c>
      <c r="L182">
        <v>0</v>
      </c>
      <c r="M182">
        <v>39.950000000000003</v>
      </c>
      <c r="N182">
        <f t="shared" si="8"/>
        <v>8</v>
      </c>
      <c r="O182">
        <f t="shared" si="9"/>
        <v>39.950000000000003</v>
      </c>
      <c r="P182" t="e">
        <f t="shared" si="10"/>
        <v>#N/A</v>
      </c>
      <c r="Q182" t="e">
        <f t="shared" si="11"/>
        <v>#N/A</v>
      </c>
      <c r="R182" t="e">
        <f xml:space="preserve"> --(J182 &lt;=#REF!)</f>
        <v>#REF!</v>
      </c>
      <c r="S182" t="e">
        <f xml:space="preserve"> --(M182 &gt;=#REF!)</f>
        <v>#REF!</v>
      </c>
    </row>
    <row r="183" spans="10:19" x14ac:dyDescent="0.2">
      <c r="J183">
        <v>5</v>
      </c>
      <c r="L183">
        <v>0</v>
      </c>
      <c r="M183">
        <v>93.62</v>
      </c>
      <c r="N183">
        <f t="shared" si="8"/>
        <v>5</v>
      </c>
      <c r="O183">
        <f t="shared" si="9"/>
        <v>93.62</v>
      </c>
      <c r="P183" t="e">
        <f t="shared" si="10"/>
        <v>#N/A</v>
      </c>
      <c r="Q183" t="e">
        <f t="shared" si="11"/>
        <v>#N/A</v>
      </c>
      <c r="R183" t="e">
        <f xml:space="preserve"> --(J183 &lt;=#REF!)</f>
        <v>#REF!</v>
      </c>
      <c r="S183" t="e">
        <f xml:space="preserve"> --(M183 &gt;=#REF!)</f>
        <v>#REF!</v>
      </c>
    </row>
    <row r="184" spans="10:19" x14ac:dyDescent="0.2">
      <c r="J184">
        <v>1</v>
      </c>
      <c r="L184">
        <v>1</v>
      </c>
      <c r="M184">
        <v>72.98</v>
      </c>
      <c r="N184" t="e">
        <f t="shared" si="8"/>
        <v>#N/A</v>
      </c>
      <c r="O184" t="e">
        <f t="shared" si="9"/>
        <v>#N/A</v>
      </c>
      <c r="P184">
        <f t="shared" si="10"/>
        <v>1</v>
      </c>
      <c r="Q184">
        <f t="shared" si="11"/>
        <v>72.98</v>
      </c>
      <c r="R184" t="e">
        <f xml:space="preserve"> --(J184 &lt;=#REF!)</f>
        <v>#REF!</v>
      </c>
      <c r="S184" t="e">
        <f xml:space="preserve"> --(M184 &gt;=#REF!)</f>
        <v>#REF!</v>
      </c>
    </row>
    <row r="185" spans="10:19" x14ac:dyDescent="0.2">
      <c r="J185">
        <v>9</v>
      </c>
      <c r="L185">
        <v>1</v>
      </c>
      <c r="M185">
        <v>90.72</v>
      </c>
      <c r="N185" t="e">
        <f t="shared" si="8"/>
        <v>#N/A</v>
      </c>
      <c r="O185" t="e">
        <f t="shared" si="9"/>
        <v>#N/A</v>
      </c>
      <c r="P185">
        <f t="shared" si="10"/>
        <v>9</v>
      </c>
      <c r="Q185">
        <f t="shared" si="11"/>
        <v>90.72</v>
      </c>
      <c r="R185" t="e">
        <f xml:space="preserve"> --(J185 &lt;=#REF!)</f>
        <v>#REF!</v>
      </c>
      <c r="S185" t="e">
        <f xml:space="preserve"> --(M185 &gt;=#REF!)</f>
        <v>#REF!</v>
      </c>
    </row>
    <row r="186" spans="10:19" x14ac:dyDescent="0.2">
      <c r="J186">
        <v>1</v>
      </c>
      <c r="L186">
        <v>1</v>
      </c>
      <c r="M186">
        <v>96.78</v>
      </c>
      <c r="N186" t="e">
        <f t="shared" si="8"/>
        <v>#N/A</v>
      </c>
      <c r="O186" t="e">
        <f t="shared" si="9"/>
        <v>#N/A</v>
      </c>
      <c r="P186">
        <f t="shared" si="10"/>
        <v>1</v>
      </c>
      <c r="Q186">
        <f t="shared" si="11"/>
        <v>96.78</v>
      </c>
      <c r="R186" t="e">
        <f xml:space="preserve"> --(J186 &lt;=#REF!)</f>
        <v>#REF!</v>
      </c>
      <c r="S186" t="e">
        <f xml:space="preserve"> --(M186 &gt;=#REF!)</f>
        <v>#REF!</v>
      </c>
    </row>
    <row r="187" spans="10:19" x14ac:dyDescent="0.2">
      <c r="J187">
        <v>8</v>
      </c>
      <c r="L187">
        <v>1</v>
      </c>
      <c r="M187">
        <v>28.73</v>
      </c>
      <c r="N187" t="e">
        <f t="shared" si="8"/>
        <v>#N/A</v>
      </c>
      <c r="O187" t="e">
        <f t="shared" si="9"/>
        <v>#N/A</v>
      </c>
      <c r="P187">
        <f t="shared" si="10"/>
        <v>8</v>
      </c>
      <c r="Q187">
        <f t="shared" si="11"/>
        <v>28.73</v>
      </c>
      <c r="R187" t="e">
        <f xml:space="preserve"> --(J187 &lt;=#REF!)</f>
        <v>#REF!</v>
      </c>
      <c r="S187" t="e">
        <f xml:space="preserve"> --(M187 &gt;=#REF!)</f>
        <v>#REF!</v>
      </c>
    </row>
    <row r="188" spans="10:19" x14ac:dyDescent="0.2">
      <c r="J188">
        <v>5</v>
      </c>
      <c r="L188">
        <v>0</v>
      </c>
      <c r="M188">
        <v>70.61</v>
      </c>
      <c r="N188">
        <f t="shared" si="8"/>
        <v>5</v>
      </c>
      <c r="O188">
        <f t="shared" si="9"/>
        <v>70.61</v>
      </c>
      <c r="P188" t="e">
        <f t="shared" si="10"/>
        <v>#N/A</v>
      </c>
      <c r="Q188" t="e">
        <f t="shared" si="11"/>
        <v>#N/A</v>
      </c>
      <c r="R188" t="e">
        <f xml:space="preserve"> --(J188 &lt;=#REF!)</f>
        <v>#REF!</v>
      </c>
      <c r="S188" t="e">
        <f xml:space="preserve"> --(M188 &gt;=#REF!)</f>
        <v>#REF!</v>
      </c>
    </row>
    <row r="189" spans="10:19" x14ac:dyDescent="0.2">
      <c r="J189">
        <v>3</v>
      </c>
      <c r="L189">
        <v>0</v>
      </c>
      <c r="M189">
        <v>113.2</v>
      </c>
      <c r="N189">
        <f t="shared" si="8"/>
        <v>3</v>
      </c>
      <c r="O189">
        <f t="shared" si="9"/>
        <v>113.2</v>
      </c>
      <c r="P189" t="e">
        <f t="shared" si="10"/>
        <v>#N/A</v>
      </c>
      <c r="Q189" t="e">
        <f t="shared" si="11"/>
        <v>#N/A</v>
      </c>
      <c r="R189" t="e">
        <f xml:space="preserve"> --(J189 &lt;=#REF!)</f>
        <v>#REF!</v>
      </c>
      <c r="S189" t="e">
        <f xml:space="preserve"> --(M189 &gt;=#REF!)</f>
        <v>#REF!</v>
      </c>
    </row>
    <row r="190" spans="10:19" x14ac:dyDescent="0.2">
      <c r="J190">
        <v>7</v>
      </c>
      <c r="L190">
        <v>1</v>
      </c>
      <c r="M190">
        <v>52.06</v>
      </c>
      <c r="N190" t="e">
        <f t="shared" si="8"/>
        <v>#N/A</v>
      </c>
      <c r="O190" t="e">
        <f t="shared" si="9"/>
        <v>#N/A</v>
      </c>
      <c r="P190">
        <f t="shared" si="10"/>
        <v>7</v>
      </c>
      <c r="Q190">
        <f t="shared" si="11"/>
        <v>52.06</v>
      </c>
      <c r="R190" t="e">
        <f xml:space="preserve"> --(J190 &lt;=#REF!)</f>
        <v>#REF!</v>
      </c>
      <c r="S190" t="e">
        <f xml:space="preserve"> --(M190 &gt;=#REF!)</f>
        <v>#REF!</v>
      </c>
    </row>
    <row r="191" spans="10:19" x14ac:dyDescent="0.2">
      <c r="J191">
        <v>7</v>
      </c>
      <c r="L191">
        <v>0</v>
      </c>
      <c r="M191">
        <v>79.39</v>
      </c>
      <c r="N191">
        <f t="shared" si="8"/>
        <v>7</v>
      </c>
      <c r="O191">
        <f t="shared" si="9"/>
        <v>79.39</v>
      </c>
      <c r="P191" t="e">
        <f t="shared" si="10"/>
        <v>#N/A</v>
      </c>
      <c r="Q191" t="e">
        <f t="shared" si="11"/>
        <v>#N/A</v>
      </c>
      <c r="R191" t="e">
        <f xml:space="preserve"> --(J191 &lt;=#REF!)</f>
        <v>#REF!</v>
      </c>
      <c r="S191" t="e">
        <f xml:space="preserve"> --(M191 &gt;=#REF!)</f>
        <v>#REF!</v>
      </c>
    </row>
    <row r="192" spans="10:19" x14ac:dyDescent="0.2">
      <c r="J192">
        <v>9</v>
      </c>
      <c r="L192">
        <v>0</v>
      </c>
      <c r="M192">
        <v>56.92</v>
      </c>
      <c r="N192">
        <f t="shared" si="8"/>
        <v>9</v>
      </c>
      <c r="O192">
        <f t="shared" si="9"/>
        <v>56.92</v>
      </c>
      <c r="P192" t="e">
        <f t="shared" si="10"/>
        <v>#N/A</v>
      </c>
      <c r="Q192" t="e">
        <f t="shared" si="11"/>
        <v>#N/A</v>
      </c>
      <c r="R192" t="e">
        <f xml:space="preserve"> --(J192 &lt;=#REF!)</f>
        <v>#REF!</v>
      </c>
      <c r="S192" t="e">
        <f xml:space="preserve"> --(M192 &gt;=#REF!)</f>
        <v>#REF!</v>
      </c>
    </row>
    <row r="193" spans="10:19" x14ac:dyDescent="0.2">
      <c r="J193">
        <v>7</v>
      </c>
      <c r="L193">
        <v>0</v>
      </c>
      <c r="M193">
        <v>65.430000000000007</v>
      </c>
      <c r="N193">
        <f t="shared" si="8"/>
        <v>7</v>
      </c>
      <c r="O193">
        <f t="shared" si="9"/>
        <v>65.430000000000007</v>
      </c>
      <c r="P193" t="e">
        <f t="shared" si="10"/>
        <v>#N/A</v>
      </c>
      <c r="Q193" t="e">
        <f t="shared" si="11"/>
        <v>#N/A</v>
      </c>
      <c r="R193" t="e">
        <f xml:space="preserve"> --(J193 &lt;=#REF!)</f>
        <v>#REF!</v>
      </c>
      <c r="S193" t="e">
        <f xml:space="preserve"> --(M193 &gt;=#REF!)</f>
        <v>#REF!</v>
      </c>
    </row>
    <row r="194" spans="10:19" x14ac:dyDescent="0.2">
      <c r="J194">
        <v>3</v>
      </c>
      <c r="L194">
        <v>0</v>
      </c>
      <c r="M194">
        <v>74.86</v>
      </c>
      <c r="N194">
        <f t="shared" si="8"/>
        <v>3</v>
      </c>
      <c r="O194">
        <f t="shared" si="9"/>
        <v>74.86</v>
      </c>
      <c r="P194" t="e">
        <f t="shared" si="10"/>
        <v>#N/A</v>
      </c>
      <c r="Q194" t="e">
        <f t="shared" si="11"/>
        <v>#N/A</v>
      </c>
      <c r="R194" t="e">
        <f xml:space="preserve"> --(J194 &lt;=#REF!)</f>
        <v>#REF!</v>
      </c>
      <c r="S194" t="e">
        <f xml:space="preserve"> --(M194 &gt;=#REF!)</f>
        <v>#REF!</v>
      </c>
    </row>
    <row r="195" spans="10:19" x14ac:dyDescent="0.2">
      <c r="J195">
        <v>1</v>
      </c>
      <c r="L195">
        <v>1</v>
      </c>
      <c r="M195">
        <v>74.89</v>
      </c>
      <c r="N195" t="e">
        <f t="shared" ref="N195:N251" si="12" xml:space="preserve"> IF($L195=0, $J195, NA())</f>
        <v>#N/A</v>
      </c>
      <c r="O195" t="e">
        <f t="shared" ref="O195:O251" si="13" xml:space="preserve"> IF($L195=0, $M195, NA())</f>
        <v>#N/A</v>
      </c>
      <c r="P195">
        <f t="shared" ref="P195:P251" si="14" xml:space="preserve"> IF($L195=1, $J195, NA())</f>
        <v>1</v>
      </c>
      <c r="Q195">
        <f t="shared" ref="Q195:Q251" si="15" xml:space="preserve"> IF($L195=1, $M195, NA())</f>
        <v>74.89</v>
      </c>
      <c r="R195" t="e">
        <f xml:space="preserve"> --(J195 &lt;=#REF!)</f>
        <v>#REF!</v>
      </c>
      <c r="S195" t="e">
        <f xml:space="preserve"> --(M195 &gt;=#REF!)</f>
        <v>#REF!</v>
      </c>
    </row>
    <row r="196" spans="10:19" x14ac:dyDescent="0.2">
      <c r="J196">
        <v>8</v>
      </c>
      <c r="L196">
        <v>0</v>
      </c>
      <c r="M196">
        <v>40.17</v>
      </c>
      <c r="N196">
        <f t="shared" si="12"/>
        <v>8</v>
      </c>
      <c r="O196">
        <f t="shared" si="13"/>
        <v>40.17</v>
      </c>
      <c r="P196" t="e">
        <f t="shared" si="14"/>
        <v>#N/A</v>
      </c>
      <c r="Q196" t="e">
        <f t="shared" si="15"/>
        <v>#N/A</v>
      </c>
      <c r="R196" t="e">
        <f xml:space="preserve"> --(J196 &lt;=#REF!)</f>
        <v>#REF!</v>
      </c>
      <c r="S196" t="e">
        <f xml:space="preserve"> --(M196 &gt;=#REF!)</f>
        <v>#REF!</v>
      </c>
    </row>
    <row r="197" spans="10:19" x14ac:dyDescent="0.2">
      <c r="J197">
        <v>3</v>
      </c>
      <c r="L197">
        <v>0</v>
      </c>
      <c r="M197">
        <v>88.46</v>
      </c>
      <c r="N197">
        <f t="shared" si="12"/>
        <v>3</v>
      </c>
      <c r="O197">
        <f t="shared" si="13"/>
        <v>88.46</v>
      </c>
      <c r="P197" t="e">
        <f t="shared" si="14"/>
        <v>#N/A</v>
      </c>
      <c r="Q197" t="e">
        <f t="shared" si="15"/>
        <v>#N/A</v>
      </c>
      <c r="R197" t="e">
        <f xml:space="preserve"> --(J197 &lt;=#REF!)</f>
        <v>#REF!</v>
      </c>
      <c r="S197" t="e">
        <f xml:space="preserve"> --(M197 &gt;=#REF!)</f>
        <v>#REF!</v>
      </c>
    </row>
    <row r="198" spans="10:19" x14ac:dyDescent="0.2">
      <c r="J198">
        <v>8</v>
      </c>
      <c r="L198">
        <v>1</v>
      </c>
      <c r="M198">
        <v>28.79</v>
      </c>
      <c r="N198" t="e">
        <f t="shared" si="12"/>
        <v>#N/A</v>
      </c>
      <c r="O198" t="e">
        <f t="shared" si="13"/>
        <v>#N/A</v>
      </c>
      <c r="P198">
        <f t="shared" si="14"/>
        <v>8</v>
      </c>
      <c r="Q198">
        <f t="shared" si="15"/>
        <v>28.79</v>
      </c>
      <c r="R198" t="e">
        <f xml:space="preserve"> --(J198 &lt;=#REF!)</f>
        <v>#REF!</v>
      </c>
      <c r="S198" t="e">
        <f xml:space="preserve"> --(M198 &gt;=#REF!)</f>
        <v>#REF!</v>
      </c>
    </row>
    <row r="199" spans="10:19" x14ac:dyDescent="0.2">
      <c r="J199">
        <v>8</v>
      </c>
      <c r="L199">
        <v>0</v>
      </c>
      <c r="M199">
        <v>33.880000000000003</v>
      </c>
      <c r="N199">
        <f t="shared" si="12"/>
        <v>8</v>
      </c>
      <c r="O199">
        <f t="shared" si="13"/>
        <v>33.880000000000003</v>
      </c>
      <c r="P199" t="e">
        <f t="shared" si="14"/>
        <v>#N/A</v>
      </c>
      <c r="Q199" t="e">
        <f t="shared" si="15"/>
        <v>#N/A</v>
      </c>
      <c r="R199" t="e">
        <f xml:space="preserve"> --(J199 &lt;=#REF!)</f>
        <v>#REF!</v>
      </c>
      <c r="S199" t="e">
        <f xml:space="preserve"> --(M199 &gt;=#REF!)</f>
        <v>#REF!</v>
      </c>
    </row>
    <row r="200" spans="10:19" x14ac:dyDescent="0.2">
      <c r="J200">
        <v>5</v>
      </c>
      <c r="L200">
        <v>0</v>
      </c>
      <c r="M200">
        <v>20.27</v>
      </c>
      <c r="N200">
        <f t="shared" si="12"/>
        <v>5</v>
      </c>
      <c r="O200">
        <f t="shared" si="13"/>
        <v>20.27</v>
      </c>
      <c r="P200" t="e">
        <f t="shared" si="14"/>
        <v>#N/A</v>
      </c>
      <c r="Q200" t="e">
        <f t="shared" si="15"/>
        <v>#N/A</v>
      </c>
      <c r="R200" t="e">
        <f xml:space="preserve"> --(J200 &lt;=#REF!)</f>
        <v>#REF!</v>
      </c>
      <c r="S200" t="e">
        <f xml:space="preserve"> --(M200 &gt;=#REF!)</f>
        <v>#REF!</v>
      </c>
    </row>
    <row r="201" spans="10:19" x14ac:dyDescent="0.2">
      <c r="J201">
        <v>1</v>
      </c>
      <c r="L201">
        <v>1</v>
      </c>
      <c r="M201">
        <v>31.67</v>
      </c>
      <c r="N201" t="e">
        <f t="shared" si="12"/>
        <v>#N/A</v>
      </c>
      <c r="O201" t="e">
        <f t="shared" si="13"/>
        <v>#N/A</v>
      </c>
      <c r="P201">
        <f t="shared" si="14"/>
        <v>1</v>
      </c>
      <c r="Q201">
        <f t="shared" si="15"/>
        <v>31.67</v>
      </c>
      <c r="R201" t="e">
        <f xml:space="preserve"> --(J201 &lt;=#REF!)</f>
        <v>#REF!</v>
      </c>
      <c r="S201" t="e">
        <f xml:space="preserve"> --(M201 &gt;=#REF!)</f>
        <v>#REF!</v>
      </c>
    </row>
    <row r="202" spans="10:19" x14ac:dyDescent="0.2">
      <c r="J202">
        <v>10</v>
      </c>
      <c r="L202">
        <v>0</v>
      </c>
      <c r="M202">
        <v>67.319999999999993</v>
      </c>
      <c r="N202">
        <f t="shared" si="12"/>
        <v>10</v>
      </c>
      <c r="O202">
        <f t="shared" si="13"/>
        <v>67.319999999999993</v>
      </c>
      <c r="P202" t="e">
        <f t="shared" si="14"/>
        <v>#N/A</v>
      </c>
      <c r="Q202" t="e">
        <f t="shared" si="15"/>
        <v>#N/A</v>
      </c>
      <c r="R202" t="e">
        <f xml:space="preserve"> --(J202 &lt;=#REF!)</f>
        <v>#REF!</v>
      </c>
      <c r="S202" t="e">
        <f xml:space="preserve"> --(M202 &gt;=#REF!)</f>
        <v>#REF!</v>
      </c>
    </row>
    <row r="203" spans="10:19" x14ac:dyDescent="0.2">
      <c r="J203">
        <v>7</v>
      </c>
      <c r="L203">
        <v>0</v>
      </c>
      <c r="M203">
        <v>80.61</v>
      </c>
      <c r="N203">
        <f t="shared" si="12"/>
        <v>7</v>
      </c>
      <c r="O203">
        <f t="shared" si="13"/>
        <v>80.61</v>
      </c>
      <c r="P203" t="e">
        <f t="shared" si="14"/>
        <v>#N/A</v>
      </c>
      <c r="Q203" t="e">
        <f t="shared" si="15"/>
        <v>#N/A</v>
      </c>
      <c r="R203" t="e">
        <f xml:space="preserve"> --(J203 &lt;=#REF!)</f>
        <v>#REF!</v>
      </c>
      <c r="S203" t="e">
        <f xml:space="preserve"> --(M203 &gt;=#REF!)</f>
        <v>#REF!</v>
      </c>
    </row>
    <row r="204" spans="10:19" x14ac:dyDescent="0.2">
      <c r="J204">
        <v>10</v>
      </c>
      <c r="L204">
        <v>1</v>
      </c>
      <c r="M204">
        <v>99.43</v>
      </c>
      <c r="N204" t="e">
        <f t="shared" si="12"/>
        <v>#N/A</v>
      </c>
      <c r="O204" t="e">
        <f t="shared" si="13"/>
        <v>#N/A</v>
      </c>
      <c r="P204">
        <f t="shared" si="14"/>
        <v>10</v>
      </c>
      <c r="Q204">
        <f t="shared" si="15"/>
        <v>99.43</v>
      </c>
      <c r="R204" t="e">
        <f xml:space="preserve"> --(J204 &lt;=#REF!)</f>
        <v>#REF!</v>
      </c>
      <c r="S204" t="e">
        <f xml:space="preserve"> --(M204 &gt;=#REF!)</f>
        <v>#REF!</v>
      </c>
    </row>
    <row r="205" spans="10:19" x14ac:dyDescent="0.2">
      <c r="J205">
        <v>5</v>
      </c>
      <c r="L205">
        <v>0</v>
      </c>
      <c r="M205">
        <v>30.67</v>
      </c>
      <c r="N205">
        <f t="shared" si="12"/>
        <v>5</v>
      </c>
      <c r="O205">
        <f t="shared" si="13"/>
        <v>30.67</v>
      </c>
      <c r="P205" t="e">
        <f t="shared" si="14"/>
        <v>#N/A</v>
      </c>
      <c r="Q205" t="e">
        <f t="shared" si="15"/>
        <v>#N/A</v>
      </c>
      <c r="R205" t="e">
        <f xml:space="preserve"> --(J205 &lt;=#REF!)</f>
        <v>#REF!</v>
      </c>
      <c r="S205" t="e">
        <f xml:space="preserve"> --(M205 &gt;=#REF!)</f>
        <v>#REF!</v>
      </c>
    </row>
    <row r="206" spans="10:19" x14ac:dyDescent="0.2">
      <c r="J206">
        <v>8</v>
      </c>
      <c r="L206">
        <v>0</v>
      </c>
      <c r="M206">
        <v>105.07</v>
      </c>
      <c r="N206">
        <f t="shared" si="12"/>
        <v>8</v>
      </c>
      <c r="O206">
        <f t="shared" si="13"/>
        <v>105.07</v>
      </c>
      <c r="P206" t="e">
        <f t="shared" si="14"/>
        <v>#N/A</v>
      </c>
      <c r="Q206" t="e">
        <f t="shared" si="15"/>
        <v>#N/A</v>
      </c>
      <c r="R206" t="e">
        <f xml:space="preserve"> --(J206 &lt;=#REF!)</f>
        <v>#REF!</v>
      </c>
      <c r="S206" t="e">
        <f xml:space="preserve"> --(M206 &gt;=#REF!)</f>
        <v>#REF!</v>
      </c>
    </row>
    <row r="207" spans="10:19" x14ac:dyDescent="0.2">
      <c r="J207">
        <v>9</v>
      </c>
      <c r="L207">
        <v>0</v>
      </c>
      <c r="M207">
        <v>94.6</v>
      </c>
      <c r="N207">
        <f t="shared" si="12"/>
        <v>9</v>
      </c>
      <c r="O207">
        <f t="shared" si="13"/>
        <v>94.6</v>
      </c>
      <c r="P207" t="e">
        <f t="shared" si="14"/>
        <v>#N/A</v>
      </c>
      <c r="Q207" t="e">
        <f t="shared" si="15"/>
        <v>#N/A</v>
      </c>
      <c r="R207" t="e">
        <f xml:space="preserve"> --(J207 &lt;=#REF!)</f>
        <v>#REF!</v>
      </c>
      <c r="S207" t="e">
        <f xml:space="preserve"> --(M207 &gt;=#REF!)</f>
        <v>#REF!</v>
      </c>
    </row>
    <row r="208" spans="10:19" x14ac:dyDescent="0.2">
      <c r="J208">
        <v>7</v>
      </c>
      <c r="L208">
        <v>1</v>
      </c>
      <c r="M208">
        <v>60.85</v>
      </c>
      <c r="N208" t="e">
        <f t="shared" si="12"/>
        <v>#N/A</v>
      </c>
      <c r="O208" t="e">
        <f t="shared" si="13"/>
        <v>#N/A</v>
      </c>
      <c r="P208">
        <f t="shared" si="14"/>
        <v>7</v>
      </c>
      <c r="Q208">
        <f t="shared" si="15"/>
        <v>60.85</v>
      </c>
      <c r="R208" t="e">
        <f xml:space="preserve"> --(J208 &lt;=#REF!)</f>
        <v>#REF!</v>
      </c>
      <c r="S208" t="e">
        <f xml:space="preserve"> --(M208 &gt;=#REF!)</f>
        <v>#REF!</v>
      </c>
    </row>
    <row r="209" spans="10:19" x14ac:dyDescent="0.2">
      <c r="J209">
        <v>7</v>
      </c>
      <c r="L209">
        <v>1</v>
      </c>
      <c r="M209">
        <v>113.29</v>
      </c>
      <c r="N209" t="e">
        <f t="shared" si="12"/>
        <v>#N/A</v>
      </c>
      <c r="O209" t="e">
        <f t="shared" si="13"/>
        <v>#N/A</v>
      </c>
      <c r="P209">
        <f t="shared" si="14"/>
        <v>7</v>
      </c>
      <c r="Q209">
        <f t="shared" si="15"/>
        <v>113.29</v>
      </c>
      <c r="R209" t="e">
        <f xml:space="preserve"> --(J209 &lt;=#REF!)</f>
        <v>#REF!</v>
      </c>
      <c r="S209" t="e">
        <f xml:space="preserve"> --(M209 &gt;=#REF!)</f>
        <v>#REF!</v>
      </c>
    </row>
    <row r="210" spans="10:19" x14ac:dyDescent="0.2">
      <c r="J210">
        <v>1</v>
      </c>
      <c r="L210">
        <v>1</v>
      </c>
      <c r="M210">
        <v>119.09</v>
      </c>
      <c r="N210" t="e">
        <f t="shared" si="12"/>
        <v>#N/A</v>
      </c>
      <c r="O210" t="e">
        <f t="shared" si="13"/>
        <v>#N/A</v>
      </c>
      <c r="P210">
        <f t="shared" si="14"/>
        <v>1</v>
      </c>
      <c r="Q210">
        <f t="shared" si="15"/>
        <v>119.09</v>
      </c>
      <c r="R210" t="e">
        <f xml:space="preserve"> --(J210 &lt;=#REF!)</f>
        <v>#REF!</v>
      </c>
      <c r="S210" t="e">
        <f xml:space="preserve"> --(M210 &gt;=#REF!)</f>
        <v>#REF!</v>
      </c>
    </row>
    <row r="211" spans="10:19" x14ac:dyDescent="0.2">
      <c r="J211">
        <v>4</v>
      </c>
      <c r="L211">
        <v>0</v>
      </c>
      <c r="M211">
        <v>40.5</v>
      </c>
      <c r="N211">
        <f t="shared" si="12"/>
        <v>4</v>
      </c>
      <c r="O211">
        <f t="shared" si="13"/>
        <v>40.5</v>
      </c>
      <c r="P211" t="e">
        <f t="shared" si="14"/>
        <v>#N/A</v>
      </c>
      <c r="Q211" t="e">
        <f t="shared" si="15"/>
        <v>#N/A</v>
      </c>
      <c r="R211" t="e">
        <f xml:space="preserve"> --(J211 &lt;=#REF!)</f>
        <v>#REF!</v>
      </c>
      <c r="S211" t="e">
        <f xml:space="preserve"> --(M211 &gt;=#REF!)</f>
        <v>#REF!</v>
      </c>
    </row>
    <row r="212" spans="10:19" x14ac:dyDescent="0.2">
      <c r="J212">
        <v>2</v>
      </c>
      <c r="L212">
        <v>1</v>
      </c>
      <c r="M212">
        <v>57.92</v>
      </c>
      <c r="N212" t="e">
        <f t="shared" si="12"/>
        <v>#N/A</v>
      </c>
      <c r="O212" t="e">
        <f t="shared" si="13"/>
        <v>#N/A</v>
      </c>
      <c r="P212">
        <f t="shared" si="14"/>
        <v>2</v>
      </c>
      <c r="Q212">
        <f t="shared" si="15"/>
        <v>57.92</v>
      </c>
      <c r="R212" t="e">
        <f xml:space="preserve"> --(J212 &lt;=#REF!)</f>
        <v>#REF!</v>
      </c>
      <c r="S212" t="e">
        <f xml:space="preserve"> --(M212 &gt;=#REF!)</f>
        <v>#REF!</v>
      </c>
    </row>
    <row r="213" spans="10:19" x14ac:dyDescent="0.2">
      <c r="J213">
        <v>2</v>
      </c>
      <c r="L213">
        <v>1</v>
      </c>
      <c r="M213">
        <v>112.64</v>
      </c>
      <c r="N213" t="e">
        <f t="shared" si="12"/>
        <v>#N/A</v>
      </c>
      <c r="O213" t="e">
        <f t="shared" si="13"/>
        <v>#N/A</v>
      </c>
      <c r="P213">
        <f t="shared" si="14"/>
        <v>2</v>
      </c>
      <c r="Q213">
        <f t="shared" si="15"/>
        <v>112.64</v>
      </c>
      <c r="R213" t="e">
        <f xml:space="preserve"> --(J213 &lt;=#REF!)</f>
        <v>#REF!</v>
      </c>
      <c r="S213" t="e">
        <f xml:space="preserve"> --(M213 &gt;=#REF!)</f>
        <v>#REF!</v>
      </c>
    </row>
    <row r="214" spans="10:19" x14ac:dyDescent="0.2">
      <c r="J214">
        <v>2</v>
      </c>
      <c r="L214">
        <v>1</v>
      </c>
      <c r="M214">
        <v>92.16</v>
      </c>
      <c r="N214" t="e">
        <f t="shared" si="12"/>
        <v>#N/A</v>
      </c>
      <c r="O214" t="e">
        <f t="shared" si="13"/>
        <v>#N/A</v>
      </c>
      <c r="P214">
        <f t="shared" si="14"/>
        <v>2</v>
      </c>
      <c r="Q214">
        <f t="shared" si="15"/>
        <v>92.16</v>
      </c>
      <c r="R214" t="e">
        <f xml:space="preserve"> --(J214 &lt;=#REF!)</f>
        <v>#REF!</v>
      </c>
      <c r="S214" t="e">
        <f xml:space="preserve"> --(M214 &gt;=#REF!)</f>
        <v>#REF!</v>
      </c>
    </row>
    <row r="215" spans="10:19" x14ac:dyDescent="0.2">
      <c r="J215">
        <v>4</v>
      </c>
      <c r="L215">
        <v>1</v>
      </c>
      <c r="M215">
        <v>24.81</v>
      </c>
      <c r="N215" t="e">
        <f t="shared" si="12"/>
        <v>#N/A</v>
      </c>
      <c r="O215" t="e">
        <f t="shared" si="13"/>
        <v>#N/A</v>
      </c>
      <c r="P215">
        <f t="shared" si="14"/>
        <v>4</v>
      </c>
      <c r="Q215">
        <f t="shared" si="15"/>
        <v>24.81</v>
      </c>
      <c r="R215" t="e">
        <f xml:space="preserve"> --(J215 &lt;=#REF!)</f>
        <v>#REF!</v>
      </c>
      <c r="S215" t="e">
        <f xml:space="preserve"> --(M215 &gt;=#REF!)</f>
        <v>#REF!</v>
      </c>
    </row>
    <row r="216" spans="10:19" x14ac:dyDescent="0.2">
      <c r="J216">
        <v>1</v>
      </c>
      <c r="L216">
        <v>0</v>
      </c>
      <c r="M216">
        <v>98.15</v>
      </c>
      <c r="N216">
        <f t="shared" si="12"/>
        <v>1</v>
      </c>
      <c r="O216">
        <f t="shared" si="13"/>
        <v>98.15</v>
      </c>
      <c r="P216" t="e">
        <f t="shared" si="14"/>
        <v>#N/A</v>
      </c>
      <c r="Q216" t="e">
        <f t="shared" si="15"/>
        <v>#N/A</v>
      </c>
      <c r="R216" t="e">
        <f xml:space="preserve"> --(J216 &lt;=#REF!)</f>
        <v>#REF!</v>
      </c>
      <c r="S216" t="e">
        <f xml:space="preserve"> --(M216 &gt;=#REF!)</f>
        <v>#REF!</v>
      </c>
    </row>
    <row r="217" spans="10:19" x14ac:dyDescent="0.2">
      <c r="J217">
        <v>4</v>
      </c>
      <c r="L217">
        <v>0</v>
      </c>
      <c r="M217">
        <v>102.79</v>
      </c>
      <c r="N217">
        <f t="shared" si="12"/>
        <v>4</v>
      </c>
      <c r="O217">
        <f t="shared" si="13"/>
        <v>102.79</v>
      </c>
      <c r="P217" t="e">
        <f t="shared" si="14"/>
        <v>#N/A</v>
      </c>
      <c r="Q217" t="e">
        <f t="shared" si="15"/>
        <v>#N/A</v>
      </c>
      <c r="R217" t="e">
        <f xml:space="preserve"> --(J217 &lt;=#REF!)</f>
        <v>#REF!</v>
      </c>
      <c r="S217" t="e">
        <f xml:space="preserve"> --(M217 &gt;=#REF!)</f>
        <v>#REF!</v>
      </c>
    </row>
    <row r="218" spans="10:19" x14ac:dyDescent="0.2">
      <c r="J218">
        <v>2</v>
      </c>
      <c r="L218">
        <v>1</v>
      </c>
      <c r="M218">
        <v>95.05</v>
      </c>
      <c r="N218" t="e">
        <f t="shared" si="12"/>
        <v>#N/A</v>
      </c>
      <c r="O218" t="e">
        <f t="shared" si="13"/>
        <v>#N/A</v>
      </c>
      <c r="P218">
        <f t="shared" si="14"/>
        <v>2</v>
      </c>
      <c r="Q218">
        <f t="shared" si="15"/>
        <v>95.05</v>
      </c>
      <c r="R218" t="e">
        <f xml:space="preserve"> --(J218 &lt;=#REF!)</f>
        <v>#REF!</v>
      </c>
      <c r="S218" t="e">
        <f xml:space="preserve"> --(M218 &gt;=#REF!)</f>
        <v>#REF!</v>
      </c>
    </row>
    <row r="219" spans="10:19" x14ac:dyDescent="0.2">
      <c r="J219">
        <v>5</v>
      </c>
      <c r="L219">
        <v>0</v>
      </c>
      <c r="M219">
        <v>99.95</v>
      </c>
      <c r="N219">
        <f t="shared" si="12"/>
        <v>5</v>
      </c>
      <c r="O219">
        <f t="shared" si="13"/>
        <v>99.95</v>
      </c>
      <c r="P219" t="e">
        <f t="shared" si="14"/>
        <v>#N/A</v>
      </c>
      <c r="Q219" t="e">
        <f t="shared" si="15"/>
        <v>#N/A</v>
      </c>
      <c r="R219" t="e">
        <f xml:space="preserve"> --(J219 &lt;=#REF!)</f>
        <v>#REF!</v>
      </c>
      <c r="S219" t="e">
        <f xml:space="preserve"> --(M219 &gt;=#REF!)</f>
        <v>#REF!</v>
      </c>
    </row>
    <row r="220" spans="10:19" x14ac:dyDescent="0.2">
      <c r="J220">
        <v>3</v>
      </c>
      <c r="L220">
        <v>1</v>
      </c>
      <c r="M220">
        <v>102.51</v>
      </c>
      <c r="N220" t="e">
        <f t="shared" si="12"/>
        <v>#N/A</v>
      </c>
      <c r="O220" t="e">
        <f t="shared" si="13"/>
        <v>#N/A</v>
      </c>
      <c r="P220">
        <f t="shared" si="14"/>
        <v>3</v>
      </c>
      <c r="Q220">
        <f t="shared" si="15"/>
        <v>102.51</v>
      </c>
      <c r="R220" t="e">
        <f xml:space="preserve"> --(J220 &lt;=#REF!)</f>
        <v>#REF!</v>
      </c>
      <c r="S220" t="e">
        <f xml:space="preserve"> --(M220 &gt;=#REF!)</f>
        <v>#REF!</v>
      </c>
    </row>
    <row r="221" spans="10:19" x14ac:dyDescent="0.2">
      <c r="J221">
        <v>8</v>
      </c>
      <c r="L221">
        <v>0</v>
      </c>
      <c r="M221">
        <v>38.64</v>
      </c>
      <c r="N221">
        <f t="shared" si="12"/>
        <v>8</v>
      </c>
      <c r="O221">
        <f t="shared" si="13"/>
        <v>38.64</v>
      </c>
      <c r="P221" t="e">
        <f t="shared" si="14"/>
        <v>#N/A</v>
      </c>
      <c r="Q221" t="e">
        <f t="shared" si="15"/>
        <v>#N/A</v>
      </c>
      <c r="R221" t="e">
        <f xml:space="preserve"> --(J221 &lt;=#REF!)</f>
        <v>#REF!</v>
      </c>
      <c r="S221" t="e">
        <f xml:space="preserve"> --(M221 &gt;=#REF!)</f>
        <v>#REF!</v>
      </c>
    </row>
    <row r="222" spans="10:19" x14ac:dyDescent="0.2">
      <c r="J222">
        <v>4</v>
      </c>
      <c r="L222">
        <v>0</v>
      </c>
      <c r="M222">
        <v>43.57</v>
      </c>
      <c r="N222">
        <f t="shared" si="12"/>
        <v>4</v>
      </c>
      <c r="O222">
        <f t="shared" si="13"/>
        <v>43.57</v>
      </c>
      <c r="P222" t="e">
        <f t="shared" si="14"/>
        <v>#N/A</v>
      </c>
      <c r="Q222" t="e">
        <f t="shared" si="15"/>
        <v>#N/A</v>
      </c>
      <c r="R222" t="e">
        <f xml:space="preserve"> --(J222 &lt;=#REF!)</f>
        <v>#REF!</v>
      </c>
      <c r="S222" t="e">
        <f xml:space="preserve"> --(M222 &gt;=#REF!)</f>
        <v>#REF!</v>
      </c>
    </row>
    <row r="223" spans="10:19" x14ac:dyDescent="0.2">
      <c r="J223">
        <v>1</v>
      </c>
      <c r="L223">
        <v>1</v>
      </c>
      <c r="M223">
        <v>83.38</v>
      </c>
      <c r="N223" t="e">
        <f t="shared" si="12"/>
        <v>#N/A</v>
      </c>
      <c r="O223" t="e">
        <f t="shared" si="13"/>
        <v>#N/A</v>
      </c>
      <c r="P223">
        <f t="shared" si="14"/>
        <v>1</v>
      </c>
      <c r="Q223">
        <f t="shared" si="15"/>
        <v>83.38</v>
      </c>
      <c r="R223" t="e">
        <f xml:space="preserve"> --(J223 &lt;=#REF!)</f>
        <v>#REF!</v>
      </c>
      <c r="S223" t="e">
        <f xml:space="preserve"> --(M223 &gt;=#REF!)</f>
        <v>#REF!</v>
      </c>
    </row>
    <row r="224" spans="10:19" x14ac:dyDescent="0.2">
      <c r="J224">
        <v>1</v>
      </c>
      <c r="L224">
        <v>1</v>
      </c>
      <c r="M224">
        <v>110.79</v>
      </c>
      <c r="N224" t="e">
        <f t="shared" si="12"/>
        <v>#N/A</v>
      </c>
      <c r="O224" t="e">
        <f t="shared" si="13"/>
        <v>#N/A</v>
      </c>
      <c r="P224">
        <f t="shared" si="14"/>
        <v>1</v>
      </c>
      <c r="Q224">
        <f t="shared" si="15"/>
        <v>110.79</v>
      </c>
      <c r="R224" t="e">
        <f xml:space="preserve"> --(J224 &lt;=#REF!)</f>
        <v>#REF!</v>
      </c>
      <c r="S224" t="e">
        <f xml:space="preserve"> --(M224 &gt;=#REF!)</f>
        <v>#REF!</v>
      </c>
    </row>
    <row r="225" spans="10:19" x14ac:dyDescent="0.2">
      <c r="J225">
        <v>10</v>
      </c>
      <c r="L225">
        <v>1</v>
      </c>
      <c r="M225">
        <v>51.62</v>
      </c>
      <c r="N225" t="e">
        <f t="shared" si="12"/>
        <v>#N/A</v>
      </c>
      <c r="O225" t="e">
        <f t="shared" si="13"/>
        <v>#N/A</v>
      </c>
      <c r="P225">
        <f t="shared" si="14"/>
        <v>10</v>
      </c>
      <c r="Q225">
        <f t="shared" si="15"/>
        <v>51.62</v>
      </c>
      <c r="R225" t="e">
        <f xml:space="preserve"> --(J225 &lt;=#REF!)</f>
        <v>#REF!</v>
      </c>
      <c r="S225" t="e">
        <f xml:space="preserve"> --(M225 &gt;=#REF!)</f>
        <v>#REF!</v>
      </c>
    </row>
    <row r="226" spans="10:19" x14ac:dyDescent="0.2">
      <c r="J226">
        <v>3</v>
      </c>
      <c r="L226">
        <v>0</v>
      </c>
      <c r="M226">
        <v>78.83</v>
      </c>
      <c r="N226">
        <f t="shared" si="12"/>
        <v>3</v>
      </c>
      <c r="O226">
        <f t="shared" si="13"/>
        <v>78.83</v>
      </c>
      <c r="P226" t="e">
        <f t="shared" si="14"/>
        <v>#N/A</v>
      </c>
      <c r="Q226" t="e">
        <f t="shared" si="15"/>
        <v>#N/A</v>
      </c>
      <c r="R226" t="e">
        <f xml:space="preserve"> --(J226 &lt;=#REF!)</f>
        <v>#REF!</v>
      </c>
      <c r="S226" t="e">
        <f xml:space="preserve"> --(M226 &gt;=#REF!)</f>
        <v>#REF!</v>
      </c>
    </row>
    <row r="227" spans="10:19" x14ac:dyDescent="0.2">
      <c r="J227">
        <v>9</v>
      </c>
      <c r="L227">
        <v>0</v>
      </c>
      <c r="M227">
        <v>88.3</v>
      </c>
      <c r="N227">
        <f t="shared" si="12"/>
        <v>9</v>
      </c>
      <c r="O227">
        <f t="shared" si="13"/>
        <v>88.3</v>
      </c>
      <c r="P227" t="e">
        <f t="shared" si="14"/>
        <v>#N/A</v>
      </c>
      <c r="Q227" t="e">
        <f t="shared" si="15"/>
        <v>#N/A</v>
      </c>
      <c r="R227" t="e">
        <f xml:space="preserve"> --(J227 &lt;=#REF!)</f>
        <v>#REF!</v>
      </c>
      <c r="S227" t="e">
        <f xml:space="preserve"> --(M227 &gt;=#REF!)</f>
        <v>#REF!</v>
      </c>
    </row>
    <row r="228" spans="10:19" x14ac:dyDescent="0.2">
      <c r="J228">
        <v>7</v>
      </c>
      <c r="L228">
        <v>1</v>
      </c>
      <c r="M228">
        <v>65.19</v>
      </c>
      <c r="N228" t="e">
        <f t="shared" si="12"/>
        <v>#N/A</v>
      </c>
      <c r="O228" t="e">
        <f t="shared" si="13"/>
        <v>#N/A</v>
      </c>
      <c r="P228">
        <f t="shared" si="14"/>
        <v>7</v>
      </c>
      <c r="Q228">
        <f t="shared" si="15"/>
        <v>65.19</v>
      </c>
      <c r="R228" t="e">
        <f xml:space="preserve"> --(J228 &lt;=#REF!)</f>
        <v>#REF!</v>
      </c>
      <c r="S228" t="e">
        <f xml:space="preserve"> --(M228 &gt;=#REF!)</f>
        <v>#REF!</v>
      </c>
    </row>
    <row r="229" spans="10:19" x14ac:dyDescent="0.2">
      <c r="J229">
        <v>2</v>
      </c>
      <c r="L229">
        <v>0</v>
      </c>
      <c r="M229">
        <v>91.38</v>
      </c>
      <c r="N229">
        <f t="shared" si="12"/>
        <v>2</v>
      </c>
      <c r="O229">
        <f t="shared" si="13"/>
        <v>91.38</v>
      </c>
      <c r="P229" t="e">
        <f t="shared" si="14"/>
        <v>#N/A</v>
      </c>
      <c r="Q229" t="e">
        <f t="shared" si="15"/>
        <v>#N/A</v>
      </c>
      <c r="R229" t="e">
        <f xml:space="preserve"> --(J229 &lt;=#REF!)</f>
        <v>#REF!</v>
      </c>
      <c r="S229" t="e">
        <f xml:space="preserve"> --(M229 &gt;=#REF!)</f>
        <v>#REF!</v>
      </c>
    </row>
    <row r="230" spans="10:19" x14ac:dyDescent="0.2">
      <c r="J230">
        <v>9</v>
      </c>
      <c r="L230">
        <v>1</v>
      </c>
      <c r="M230">
        <v>109.97</v>
      </c>
      <c r="N230" t="e">
        <f t="shared" si="12"/>
        <v>#N/A</v>
      </c>
      <c r="O230" t="e">
        <f t="shared" si="13"/>
        <v>#N/A</v>
      </c>
      <c r="P230">
        <f t="shared" si="14"/>
        <v>9</v>
      </c>
      <c r="Q230">
        <f t="shared" si="15"/>
        <v>109.97</v>
      </c>
      <c r="R230" t="e">
        <f xml:space="preserve"> --(J230 &lt;=#REF!)</f>
        <v>#REF!</v>
      </c>
      <c r="S230" t="e">
        <f xml:space="preserve"> --(M230 &gt;=#REF!)</f>
        <v>#REF!</v>
      </c>
    </row>
    <row r="231" spans="10:19" x14ac:dyDescent="0.2">
      <c r="J231">
        <v>10</v>
      </c>
      <c r="L231">
        <v>1</v>
      </c>
      <c r="M231">
        <v>82.41</v>
      </c>
      <c r="N231" t="e">
        <f t="shared" si="12"/>
        <v>#N/A</v>
      </c>
      <c r="O231" t="e">
        <f t="shared" si="13"/>
        <v>#N/A</v>
      </c>
      <c r="P231">
        <f t="shared" si="14"/>
        <v>10</v>
      </c>
      <c r="Q231">
        <f t="shared" si="15"/>
        <v>82.41</v>
      </c>
      <c r="R231" t="e">
        <f xml:space="preserve"> --(J231 &lt;=#REF!)</f>
        <v>#REF!</v>
      </c>
      <c r="S231" t="e">
        <f xml:space="preserve"> --(M231 &gt;=#REF!)</f>
        <v>#REF!</v>
      </c>
    </row>
    <row r="232" spans="10:19" x14ac:dyDescent="0.2">
      <c r="J232">
        <v>2</v>
      </c>
      <c r="L232">
        <v>0</v>
      </c>
      <c r="M232">
        <v>73.98</v>
      </c>
      <c r="N232">
        <f t="shared" si="12"/>
        <v>2</v>
      </c>
      <c r="O232">
        <f t="shared" si="13"/>
        <v>73.98</v>
      </c>
      <c r="P232" t="e">
        <f t="shared" si="14"/>
        <v>#N/A</v>
      </c>
      <c r="Q232" t="e">
        <f t="shared" si="15"/>
        <v>#N/A</v>
      </c>
      <c r="R232" t="e">
        <f xml:space="preserve"> --(J232 &lt;=#REF!)</f>
        <v>#REF!</v>
      </c>
      <c r="S232" t="e">
        <f xml:space="preserve"> --(M232 &gt;=#REF!)</f>
        <v>#REF!</v>
      </c>
    </row>
    <row r="233" spans="10:19" x14ac:dyDescent="0.2">
      <c r="J233">
        <v>3</v>
      </c>
      <c r="L233">
        <v>0</v>
      </c>
      <c r="M233">
        <v>63.87</v>
      </c>
      <c r="N233">
        <f t="shared" si="12"/>
        <v>3</v>
      </c>
      <c r="O233">
        <f t="shared" si="13"/>
        <v>63.87</v>
      </c>
      <c r="P233" t="e">
        <f t="shared" si="14"/>
        <v>#N/A</v>
      </c>
      <c r="Q233" t="e">
        <f t="shared" si="15"/>
        <v>#N/A</v>
      </c>
      <c r="R233" t="e">
        <f xml:space="preserve"> --(J233 &lt;=#REF!)</f>
        <v>#REF!</v>
      </c>
      <c r="S233" t="e">
        <f xml:space="preserve"> --(M233 &gt;=#REF!)</f>
        <v>#REF!</v>
      </c>
    </row>
    <row r="234" spans="10:19" x14ac:dyDescent="0.2">
      <c r="J234">
        <v>10</v>
      </c>
      <c r="L234">
        <v>0</v>
      </c>
      <c r="M234">
        <v>77.75</v>
      </c>
      <c r="N234">
        <f t="shared" si="12"/>
        <v>10</v>
      </c>
      <c r="O234">
        <f t="shared" si="13"/>
        <v>77.75</v>
      </c>
      <c r="P234" t="e">
        <f t="shared" si="14"/>
        <v>#N/A</v>
      </c>
      <c r="Q234" t="e">
        <f t="shared" si="15"/>
        <v>#N/A</v>
      </c>
      <c r="R234" t="e">
        <f xml:space="preserve"> --(J234 &lt;=#REF!)</f>
        <v>#REF!</v>
      </c>
      <c r="S234" t="e">
        <f xml:space="preserve"> --(M234 &gt;=#REF!)</f>
        <v>#REF!</v>
      </c>
    </row>
    <row r="235" spans="10:19" x14ac:dyDescent="0.2">
      <c r="J235">
        <v>2</v>
      </c>
      <c r="L235">
        <v>1</v>
      </c>
      <c r="M235">
        <v>55.54</v>
      </c>
      <c r="N235" t="e">
        <f t="shared" si="12"/>
        <v>#N/A</v>
      </c>
      <c r="O235" t="e">
        <f t="shared" si="13"/>
        <v>#N/A</v>
      </c>
      <c r="P235">
        <f t="shared" si="14"/>
        <v>2</v>
      </c>
      <c r="Q235">
        <f t="shared" si="15"/>
        <v>55.54</v>
      </c>
      <c r="R235" t="e">
        <f xml:space="preserve"> --(J235 &lt;=#REF!)</f>
        <v>#REF!</v>
      </c>
      <c r="S235" t="e">
        <f xml:space="preserve"> --(M235 &gt;=#REF!)</f>
        <v>#REF!</v>
      </c>
    </row>
    <row r="236" spans="10:19" x14ac:dyDescent="0.2">
      <c r="J236">
        <v>3</v>
      </c>
      <c r="L236">
        <v>1</v>
      </c>
      <c r="M236">
        <v>59.15</v>
      </c>
      <c r="N236" t="e">
        <f t="shared" si="12"/>
        <v>#N/A</v>
      </c>
      <c r="O236" t="e">
        <f t="shared" si="13"/>
        <v>#N/A</v>
      </c>
      <c r="P236">
        <f t="shared" si="14"/>
        <v>3</v>
      </c>
      <c r="Q236">
        <f t="shared" si="15"/>
        <v>59.15</v>
      </c>
      <c r="R236" t="e">
        <f xml:space="preserve"> --(J236 &lt;=#REF!)</f>
        <v>#REF!</v>
      </c>
      <c r="S236" t="e">
        <f xml:space="preserve"> --(M236 &gt;=#REF!)</f>
        <v>#REF!</v>
      </c>
    </row>
    <row r="237" spans="10:19" x14ac:dyDescent="0.2">
      <c r="J237">
        <v>6</v>
      </c>
      <c r="L237">
        <v>0</v>
      </c>
      <c r="M237">
        <v>73.19</v>
      </c>
      <c r="N237">
        <f t="shared" si="12"/>
        <v>6</v>
      </c>
      <c r="O237">
        <f t="shared" si="13"/>
        <v>73.19</v>
      </c>
      <c r="P237" t="e">
        <f t="shared" si="14"/>
        <v>#N/A</v>
      </c>
      <c r="Q237" t="e">
        <f t="shared" si="15"/>
        <v>#N/A</v>
      </c>
      <c r="R237" t="e">
        <f xml:space="preserve"> --(J237 &lt;=#REF!)</f>
        <v>#REF!</v>
      </c>
      <c r="S237" t="e">
        <f xml:space="preserve"> --(M237 &gt;=#REF!)</f>
        <v>#REF!</v>
      </c>
    </row>
    <row r="238" spans="10:19" x14ac:dyDescent="0.2">
      <c r="J238">
        <v>9</v>
      </c>
      <c r="L238">
        <v>0</v>
      </c>
      <c r="M238">
        <v>26.66</v>
      </c>
      <c r="N238">
        <f t="shared" si="12"/>
        <v>9</v>
      </c>
      <c r="O238">
        <f t="shared" si="13"/>
        <v>26.66</v>
      </c>
      <c r="P238" t="e">
        <f t="shared" si="14"/>
        <v>#N/A</v>
      </c>
      <c r="Q238" t="e">
        <f t="shared" si="15"/>
        <v>#N/A</v>
      </c>
      <c r="R238" t="e">
        <f xml:space="preserve"> --(J238 &lt;=#REF!)</f>
        <v>#REF!</v>
      </c>
      <c r="S238" t="e">
        <f xml:space="preserve"> --(M238 &gt;=#REF!)</f>
        <v>#REF!</v>
      </c>
    </row>
    <row r="239" spans="10:19" x14ac:dyDescent="0.2">
      <c r="J239">
        <v>9</v>
      </c>
      <c r="L239">
        <v>0</v>
      </c>
      <c r="M239">
        <v>42.9</v>
      </c>
      <c r="N239">
        <f t="shared" si="12"/>
        <v>9</v>
      </c>
      <c r="O239">
        <f t="shared" si="13"/>
        <v>42.9</v>
      </c>
      <c r="P239" t="e">
        <f t="shared" si="14"/>
        <v>#N/A</v>
      </c>
      <c r="Q239" t="e">
        <f t="shared" si="15"/>
        <v>#N/A</v>
      </c>
      <c r="R239" t="e">
        <f xml:space="preserve"> --(J239 &lt;=#REF!)</f>
        <v>#REF!</v>
      </c>
      <c r="S239" t="e">
        <f xml:space="preserve"> --(M239 &gt;=#REF!)</f>
        <v>#REF!</v>
      </c>
    </row>
    <row r="240" spans="10:19" x14ac:dyDescent="0.2">
      <c r="J240">
        <v>7</v>
      </c>
      <c r="L240">
        <v>1</v>
      </c>
      <c r="M240">
        <v>74.28</v>
      </c>
      <c r="N240" t="e">
        <f t="shared" si="12"/>
        <v>#N/A</v>
      </c>
      <c r="O240" t="e">
        <f t="shared" si="13"/>
        <v>#N/A</v>
      </c>
      <c r="P240">
        <f t="shared" si="14"/>
        <v>7</v>
      </c>
      <c r="Q240">
        <f t="shared" si="15"/>
        <v>74.28</v>
      </c>
      <c r="R240" t="e">
        <f xml:space="preserve"> --(J240 &lt;=#REF!)</f>
        <v>#REF!</v>
      </c>
      <c r="S240" t="e">
        <f xml:space="preserve"> --(M240 &gt;=#REF!)</f>
        <v>#REF!</v>
      </c>
    </row>
    <row r="241" spans="10:19" x14ac:dyDescent="0.2">
      <c r="J241">
        <v>3</v>
      </c>
      <c r="L241">
        <v>0</v>
      </c>
      <c r="M241">
        <v>63.15</v>
      </c>
      <c r="N241">
        <f t="shared" si="12"/>
        <v>3</v>
      </c>
      <c r="O241">
        <f t="shared" si="13"/>
        <v>63.15</v>
      </c>
      <c r="P241" t="e">
        <f t="shared" si="14"/>
        <v>#N/A</v>
      </c>
      <c r="Q241" t="e">
        <f t="shared" si="15"/>
        <v>#N/A</v>
      </c>
      <c r="R241" t="e">
        <f xml:space="preserve"> --(J241 &lt;=#REF!)</f>
        <v>#REF!</v>
      </c>
      <c r="S241" t="e">
        <f xml:space="preserve"> --(M241 &gt;=#REF!)</f>
        <v>#REF!</v>
      </c>
    </row>
    <row r="242" spans="10:19" x14ac:dyDescent="0.2">
      <c r="J242">
        <v>4</v>
      </c>
      <c r="L242">
        <v>1</v>
      </c>
      <c r="M242">
        <v>53.28</v>
      </c>
      <c r="N242" t="e">
        <f t="shared" si="12"/>
        <v>#N/A</v>
      </c>
      <c r="O242" t="e">
        <f t="shared" si="13"/>
        <v>#N/A</v>
      </c>
      <c r="P242">
        <f t="shared" si="14"/>
        <v>4</v>
      </c>
      <c r="Q242">
        <f t="shared" si="15"/>
        <v>53.28</v>
      </c>
      <c r="R242" t="e">
        <f xml:space="preserve"> --(J242 &lt;=#REF!)</f>
        <v>#REF!</v>
      </c>
      <c r="S242" t="e">
        <f xml:space="preserve"> --(M242 &gt;=#REF!)</f>
        <v>#REF!</v>
      </c>
    </row>
    <row r="243" spans="10:19" x14ac:dyDescent="0.2">
      <c r="J243">
        <v>6</v>
      </c>
      <c r="L243">
        <v>1</v>
      </c>
      <c r="M243">
        <v>93.05</v>
      </c>
      <c r="N243" t="e">
        <f t="shared" si="12"/>
        <v>#N/A</v>
      </c>
      <c r="O243" t="e">
        <f t="shared" si="13"/>
        <v>#N/A</v>
      </c>
      <c r="P243">
        <f t="shared" si="14"/>
        <v>6</v>
      </c>
      <c r="Q243">
        <f t="shared" si="15"/>
        <v>93.05</v>
      </c>
      <c r="R243" t="e">
        <f xml:space="preserve"> --(J243 &lt;=#REF!)</f>
        <v>#REF!</v>
      </c>
      <c r="S243" t="e">
        <f xml:space="preserve"> --(M243 &gt;=#REF!)</f>
        <v>#REF!</v>
      </c>
    </row>
    <row r="244" spans="10:19" x14ac:dyDescent="0.2">
      <c r="J244">
        <v>5</v>
      </c>
      <c r="L244">
        <v>0</v>
      </c>
      <c r="M244">
        <v>89.37</v>
      </c>
      <c r="N244">
        <f t="shared" si="12"/>
        <v>5</v>
      </c>
      <c r="O244">
        <f t="shared" si="13"/>
        <v>89.37</v>
      </c>
      <c r="P244" t="e">
        <f t="shared" si="14"/>
        <v>#N/A</v>
      </c>
      <c r="Q244" t="e">
        <f t="shared" si="15"/>
        <v>#N/A</v>
      </c>
      <c r="R244" t="e">
        <f xml:space="preserve"> --(J244 &lt;=#REF!)</f>
        <v>#REF!</v>
      </c>
      <c r="S244" t="e">
        <f xml:space="preserve"> --(M244 &gt;=#REF!)</f>
        <v>#REF!</v>
      </c>
    </row>
    <row r="245" spans="10:19" x14ac:dyDescent="0.2">
      <c r="J245">
        <v>2</v>
      </c>
      <c r="L245">
        <v>1</v>
      </c>
      <c r="M245">
        <v>36.67</v>
      </c>
      <c r="N245" t="e">
        <f t="shared" si="12"/>
        <v>#N/A</v>
      </c>
      <c r="O245" t="e">
        <f t="shared" si="13"/>
        <v>#N/A</v>
      </c>
      <c r="P245">
        <f t="shared" si="14"/>
        <v>2</v>
      </c>
      <c r="Q245">
        <f t="shared" si="15"/>
        <v>36.67</v>
      </c>
      <c r="R245" t="e">
        <f xml:space="preserve"> --(J245 &lt;=#REF!)</f>
        <v>#REF!</v>
      </c>
      <c r="S245" t="e">
        <f xml:space="preserve"> --(M245 &gt;=#REF!)</f>
        <v>#REF!</v>
      </c>
    </row>
    <row r="246" spans="10:19" x14ac:dyDescent="0.2">
      <c r="J246">
        <v>6</v>
      </c>
      <c r="L246">
        <v>0</v>
      </c>
      <c r="M246">
        <v>107.86</v>
      </c>
      <c r="N246">
        <f t="shared" si="12"/>
        <v>6</v>
      </c>
      <c r="O246">
        <f t="shared" si="13"/>
        <v>107.86</v>
      </c>
      <c r="P246" t="e">
        <f t="shared" si="14"/>
        <v>#N/A</v>
      </c>
      <c r="Q246" t="e">
        <f t="shared" si="15"/>
        <v>#N/A</v>
      </c>
      <c r="R246" t="e">
        <f xml:space="preserve"> --(J246 &lt;=#REF!)</f>
        <v>#REF!</v>
      </c>
      <c r="S246" t="e">
        <f xml:space="preserve"> --(M246 &gt;=#REF!)</f>
        <v>#REF!</v>
      </c>
    </row>
    <row r="247" spans="10:19" x14ac:dyDescent="0.2">
      <c r="J247">
        <v>3</v>
      </c>
      <c r="L247">
        <v>1</v>
      </c>
      <c r="M247">
        <v>69.540000000000006</v>
      </c>
      <c r="N247" t="e">
        <f t="shared" si="12"/>
        <v>#N/A</v>
      </c>
      <c r="O247" t="e">
        <f t="shared" si="13"/>
        <v>#N/A</v>
      </c>
      <c r="P247">
        <f t="shared" si="14"/>
        <v>3</v>
      </c>
      <c r="Q247">
        <f t="shared" si="15"/>
        <v>69.540000000000006</v>
      </c>
      <c r="R247" t="e">
        <f xml:space="preserve"> --(J247 &lt;=#REF!)</f>
        <v>#REF!</v>
      </c>
      <c r="S247" t="e">
        <f xml:space="preserve"> --(M247 &gt;=#REF!)</f>
        <v>#REF!</v>
      </c>
    </row>
    <row r="248" spans="10:19" x14ac:dyDescent="0.2">
      <c r="J248">
        <v>8</v>
      </c>
      <c r="L248">
        <v>1</v>
      </c>
      <c r="M248">
        <v>94.15</v>
      </c>
      <c r="N248" t="e">
        <f t="shared" si="12"/>
        <v>#N/A</v>
      </c>
      <c r="O248" t="e">
        <f t="shared" si="13"/>
        <v>#N/A</v>
      </c>
      <c r="P248">
        <f t="shared" si="14"/>
        <v>8</v>
      </c>
      <c r="Q248">
        <f t="shared" si="15"/>
        <v>94.15</v>
      </c>
      <c r="R248" t="e">
        <f xml:space="preserve"> --(J248 &lt;=#REF!)</f>
        <v>#REF!</v>
      </c>
      <c r="S248" t="e">
        <f xml:space="preserve"> --(M248 &gt;=#REF!)</f>
        <v>#REF!</v>
      </c>
    </row>
    <row r="249" spans="10:19" x14ac:dyDescent="0.2">
      <c r="J249">
        <v>2</v>
      </c>
      <c r="L249">
        <v>1</v>
      </c>
      <c r="M249">
        <v>77.319999999999993</v>
      </c>
      <c r="N249" t="e">
        <f t="shared" si="12"/>
        <v>#N/A</v>
      </c>
      <c r="O249" t="e">
        <f t="shared" si="13"/>
        <v>#N/A</v>
      </c>
      <c r="P249">
        <f t="shared" si="14"/>
        <v>2</v>
      </c>
      <c r="Q249">
        <f t="shared" si="15"/>
        <v>77.319999999999993</v>
      </c>
      <c r="R249" t="e">
        <f xml:space="preserve"> --(J249 &lt;=#REF!)</f>
        <v>#REF!</v>
      </c>
      <c r="S249" t="e">
        <f xml:space="preserve"> --(M249 &gt;=#REF!)</f>
        <v>#REF!</v>
      </c>
    </row>
    <row r="250" spans="10:19" x14ac:dyDescent="0.2">
      <c r="J250">
        <v>1</v>
      </c>
      <c r="L250">
        <v>1</v>
      </c>
      <c r="M250">
        <v>119.77</v>
      </c>
      <c r="N250" t="e">
        <f t="shared" si="12"/>
        <v>#N/A</v>
      </c>
      <c r="O250" t="e">
        <f t="shared" si="13"/>
        <v>#N/A</v>
      </c>
      <c r="P250">
        <f t="shared" si="14"/>
        <v>1</v>
      </c>
      <c r="Q250">
        <f t="shared" si="15"/>
        <v>119.77</v>
      </c>
      <c r="R250" t="e">
        <f xml:space="preserve"> --(J250 &lt;=#REF!)</f>
        <v>#REF!</v>
      </c>
      <c r="S250" t="e">
        <f xml:space="preserve"> --(M250 &gt;=#REF!)</f>
        <v>#REF!</v>
      </c>
    </row>
    <row r="251" spans="10:19" x14ac:dyDescent="0.2">
      <c r="J251">
        <v>9</v>
      </c>
      <c r="L251">
        <v>0</v>
      </c>
      <c r="M251">
        <v>95.24</v>
      </c>
      <c r="N251">
        <f t="shared" si="12"/>
        <v>9</v>
      </c>
      <c r="O251">
        <f t="shared" si="13"/>
        <v>95.24</v>
      </c>
      <c r="P251" t="e">
        <f t="shared" si="14"/>
        <v>#N/A</v>
      </c>
      <c r="Q251" t="e">
        <f t="shared" si="15"/>
        <v>#N/A</v>
      </c>
      <c r="R251" t="e">
        <f xml:space="preserve"> --(J251 &lt;=#REF!)</f>
        <v>#REF!</v>
      </c>
      <c r="S251" t="e">
        <f xml:space="preserve"> --(M251 &gt;=#REF!)</f>
        <v>#REF!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7FED-7564-814A-AD53-D1E0E43FC25F}">
  <dimension ref="A1:G251"/>
  <sheetViews>
    <sheetView zoomScale="125" workbookViewId="0">
      <selection sqref="A1:B133"/>
    </sheetView>
  </sheetViews>
  <sheetFormatPr baseColWidth="10" defaultRowHeight="15" x14ac:dyDescent="0.2"/>
  <cols>
    <col min="5" max="5" width="15.33203125" customWidth="1"/>
  </cols>
  <sheetData>
    <row r="1" spans="1:7" x14ac:dyDescent="0.2">
      <c r="A1" t="s">
        <v>21</v>
      </c>
      <c r="B1" t="s">
        <v>17</v>
      </c>
      <c r="C1" t="s">
        <v>13</v>
      </c>
    </row>
    <row r="2" spans="1:7" x14ac:dyDescent="0.2">
      <c r="A2" t="s">
        <v>23</v>
      </c>
      <c r="B2" t="s">
        <v>18</v>
      </c>
      <c r="C2">
        <v>1</v>
      </c>
      <c r="E2" t="s">
        <v>17</v>
      </c>
      <c r="F2" t="s">
        <v>13</v>
      </c>
      <c r="G2" t="s">
        <v>68</v>
      </c>
    </row>
    <row r="3" spans="1:7" x14ac:dyDescent="0.2">
      <c r="A3" t="s">
        <v>23</v>
      </c>
      <c r="B3" t="s">
        <v>18</v>
      </c>
      <c r="C3">
        <v>1</v>
      </c>
      <c r="E3" t="s">
        <v>23</v>
      </c>
      <c r="F3">
        <f>COUNTIFS($A$2:$A$251,$E3,$C$2:$C$251,1)</f>
        <v>43</v>
      </c>
      <c r="G3">
        <f>COUNTIFS($A$2:$A$251,$E3, $C$2:$C$251,0)</f>
        <v>47</v>
      </c>
    </row>
    <row r="4" spans="1:7" x14ac:dyDescent="0.2">
      <c r="A4" t="s">
        <v>22</v>
      </c>
      <c r="B4" t="s">
        <v>20</v>
      </c>
      <c r="C4">
        <v>0</v>
      </c>
      <c r="E4" t="s">
        <v>22</v>
      </c>
      <c r="F4">
        <f t="shared" ref="F4:F5" si="0">COUNTIFS($A$2:$A$251,$E4,$C$2:$C$251,1)</f>
        <v>38</v>
      </c>
      <c r="G4">
        <f t="shared" ref="G4:G5" si="1">COUNTIFS($A$2:$A$251,$E4, $C$2:$C$251,0)</f>
        <v>41</v>
      </c>
    </row>
    <row r="5" spans="1:7" x14ac:dyDescent="0.2">
      <c r="A5" t="s">
        <v>24</v>
      </c>
      <c r="B5" t="s">
        <v>20</v>
      </c>
      <c r="C5">
        <v>1</v>
      </c>
      <c r="E5" t="s">
        <v>24</v>
      </c>
      <c r="F5">
        <f t="shared" si="0"/>
        <v>37</v>
      </c>
      <c r="G5">
        <f t="shared" si="1"/>
        <v>44</v>
      </c>
    </row>
    <row r="6" spans="1:7" x14ac:dyDescent="0.2">
      <c r="A6" t="s">
        <v>22</v>
      </c>
      <c r="B6" t="s">
        <v>18</v>
      </c>
      <c r="C6">
        <v>1</v>
      </c>
    </row>
    <row r="7" spans="1:7" x14ac:dyDescent="0.2">
      <c r="A7" t="s">
        <v>24</v>
      </c>
      <c r="B7" t="s">
        <v>20</v>
      </c>
      <c r="C7">
        <v>1</v>
      </c>
    </row>
    <row r="8" spans="1:7" x14ac:dyDescent="0.2">
      <c r="A8" t="s">
        <v>23</v>
      </c>
      <c r="B8" t="s">
        <v>18</v>
      </c>
      <c r="C8">
        <v>1</v>
      </c>
    </row>
    <row r="9" spans="1:7" x14ac:dyDescent="0.2">
      <c r="A9" t="s">
        <v>24</v>
      </c>
      <c r="B9" t="s">
        <v>20</v>
      </c>
      <c r="C9">
        <v>0</v>
      </c>
    </row>
    <row r="10" spans="1:7" x14ac:dyDescent="0.2">
      <c r="A10" t="s">
        <v>22</v>
      </c>
      <c r="B10" t="s">
        <v>20</v>
      </c>
      <c r="C10">
        <v>1</v>
      </c>
    </row>
    <row r="11" spans="1:7" x14ac:dyDescent="0.2">
      <c r="A11" t="s">
        <v>23</v>
      </c>
      <c r="B11" t="s">
        <v>20</v>
      </c>
      <c r="C11">
        <v>0</v>
      </c>
    </row>
    <row r="12" spans="1:7" x14ac:dyDescent="0.2">
      <c r="A12" t="s">
        <v>22</v>
      </c>
      <c r="B12" t="s">
        <v>20</v>
      </c>
      <c r="C12">
        <v>0</v>
      </c>
    </row>
    <row r="13" spans="1:7" x14ac:dyDescent="0.2">
      <c r="A13" t="s">
        <v>22</v>
      </c>
      <c r="B13" t="s">
        <v>18</v>
      </c>
      <c r="C13">
        <v>0</v>
      </c>
    </row>
    <row r="14" spans="1:7" x14ac:dyDescent="0.2">
      <c r="A14" t="s">
        <v>24</v>
      </c>
      <c r="B14" t="s">
        <v>20</v>
      </c>
      <c r="C14">
        <v>0</v>
      </c>
    </row>
    <row r="15" spans="1:7" x14ac:dyDescent="0.2">
      <c r="A15" t="s">
        <v>22</v>
      </c>
      <c r="B15" t="s">
        <v>20</v>
      </c>
      <c r="C15">
        <v>1</v>
      </c>
    </row>
    <row r="16" spans="1:7" x14ac:dyDescent="0.2">
      <c r="A16" t="s">
        <v>24</v>
      </c>
      <c r="B16" t="s">
        <v>20</v>
      </c>
      <c r="C16">
        <v>0</v>
      </c>
    </row>
    <row r="17" spans="1:3" x14ac:dyDescent="0.2">
      <c r="A17" t="s">
        <v>23</v>
      </c>
      <c r="B17" t="s">
        <v>20</v>
      </c>
      <c r="C17">
        <v>1</v>
      </c>
    </row>
    <row r="18" spans="1:3" x14ac:dyDescent="0.2">
      <c r="A18" t="s">
        <v>24</v>
      </c>
      <c r="B18" t="s">
        <v>18</v>
      </c>
      <c r="C18">
        <v>0</v>
      </c>
    </row>
    <row r="19" spans="1:3" x14ac:dyDescent="0.2">
      <c r="A19" t="s">
        <v>23</v>
      </c>
      <c r="B19" t="s">
        <v>20</v>
      </c>
      <c r="C19">
        <v>0</v>
      </c>
    </row>
    <row r="20" spans="1:3" x14ac:dyDescent="0.2">
      <c r="A20" t="s">
        <v>24</v>
      </c>
      <c r="B20" t="s">
        <v>20</v>
      </c>
      <c r="C20">
        <v>1</v>
      </c>
    </row>
    <row r="21" spans="1:3" x14ac:dyDescent="0.2">
      <c r="A21" t="s">
        <v>22</v>
      </c>
      <c r="B21" t="s">
        <v>20</v>
      </c>
      <c r="C21">
        <v>1</v>
      </c>
    </row>
    <row r="22" spans="1:3" x14ac:dyDescent="0.2">
      <c r="A22" t="s">
        <v>24</v>
      </c>
      <c r="B22" t="s">
        <v>18</v>
      </c>
      <c r="C22">
        <v>0</v>
      </c>
    </row>
    <row r="23" spans="1:3" x14ac:dyDescent="0.2">
      <c r="A23" t="s">
        <v>24</v>
      </c>
      <c r="B23" t="s">
        <v>20</v>
      </c>
      <c r="C23">
        <v>1</v>
      </c>
    </row>
    <row r="24" spans="1:3" x14ac:dyDescent="0.2">
      <c r="A24" t="s">
        <v>23</v>
      </c>
      <c r="B24" t="s">
        <v>18</v>
      </c>
      <c r="C24">
        <v>1</v>
      </c>
    </row>
    <row r="25" spans="1:3" x14ac:dyDescent="0.2">
      <c r="A25" t="s">
        <v>22</v>
      </c>
      <c r="B25" t="s">
        <v>19</v>
      </c>
      <c r="C25">
        <v>0</v>
      </c>
    </row>
    <row r="26" spans="1:3" x14ac:dyDescent="0.2">
      <c r="A26" t="s">
        <v>24</v>
      </c>
      <c r="B26" t="s">
        <v>20</v>
      </c>
      <c r="C26">
        <v>0</v>
      </c>
    </row>
    <row r="27" spans="1:3" x14ac:dyDescent="0.2">
      <c r="A27" t="s">
        <v>22</v>
      </c>
      <c r="B27" t="s">
        <v>20</v>
      </c>
      <c r="C27">
        <v>0</v>
      </c>
    </row>
    <row r="28" spans="1:3" x14ac:dyDescent="0.2">
      <c r="A28" t="s">
        <v>24</v>
      </c>
      <c r="B28" t="s">
        <v>20</v>
      </c>
      <c r="C28">
        <v>0</v>
      </c>
    </row>
    <row r="29" spans="1:3" x14ac:dyDescent="0.2">
      <c r="A29" t="s">
        <v>24</v>
      </c>
      <c r="B29" t="s">
        <v>20</v>
      </c>
      <c r="C29">
        <v>0</v>
      </c>
    </row>
    <row r="30" spans="1:3" x14ac:dyDescent="0.2">
      <c r="A30" t="s">
        <v>22</v>
      </c>
      <c r="B30" t="s">
        <v>18</v>
      </c>
      <c r="C30">
        <v>0</v>
      </c>
    </row>
    <row r="31" spans="1:3" x14ac:dyDescent="0.2">
      <c r="A31" t="s">
        <v>24</v>
      </c>
      <c r="B31" t="s">
        <v>19</v>
      </c>
      <c r="C31">
        <v>1</v>
      </c>
    </row>
    <row r="32" spans="1:3" x14ac:dyDescent="0.2">
      <c r="A32" t="s">
        <v>22</v>
      </c>
      <c r="B32" t="s">
        <v>20</v>
      </c>
      <c r="C32">
        <v>1</v>
      </c>
    </row>
    <row r="33" spans="1:3" x14ac:dyDescent="0.2">
      <c r="A33" t="s">
        <v>24</v>
      </c>
      <c r="B33" t="s">
        <v>20</v>
      </c>
      <c r="C33">
        <v>0</v>
      </c>
    </row>
    <row r="34" spans="1:3" x14ac:dyDescent="0.2">
      <c r="A34" t="s">
        <v>23</v>
      </c>
      <c r="B34" t="s">
        <v>20</v>
      </c>
      <c r="C34">
        <v>0</v>
      </c>
    </row>
    <row r="35" spans="1:3" x14ac:dyDescent="0.2">
      <c r="A35" t="s">
        <v>22</v>
      </c>
      <c r="B35" t="s">
        <v>18</v>
      </c>
      <c r="C35">
        <v>1</v>
      </c>
    </row>
    <row r="36" spans="1:3" x14ac:dyDescent="0.2">
      <c r="A36" t="s">
        <v>24</v>
      </c>
      <c r="B36" t="s">
        <v>20</v>
      </c>
      <c r="C36">
        <v>1</v>
      </c>
    </row>
    <row r="37" spans="1:3" x14ac:dyDescent="0.2">
      <c r="A37" t="s">
        <v>24</v>
      </c>
      <c r="B37" t="s">
        <v>20</v>
      </c>
      <c r="C37">
        <v>0</v>
      </c>
    </row>
    <row r="38" spans="1:3" x14ac:dyDescent="0.2">
      <c r="A38" t="s">
        <v>23</v>
      </c>
      <c r="B38" t="s">
        <v>19</v>
      </c>
      <c r="C38">
        <v>0</v>
      </c>
    </row>
    <row r="39" spans="1:3" x14ac:dyDescent="0.2">
      <c r="A39" t="s">
        <v>22</v>
      </c>
      <c r="B39" t="s">
        <v>18</v>
      </c>
      <c r="C39">
        <v>0</v>
      </c>
    </row>
    <row r="40" spans="1:3" x14ac:dyDescent="0.2">
      <c r="A40" t="s">
        <v>24</v>
      </c>
      <c r="B40" t="s">
        <v>20</v>
      </c>
      <c r="C40">
        <v>1</v>
      </c>
    </row>
    <row r="41" spans="1:3" x14ac:dyDescent="0.2">
      <c r="A41" t="s">
        <v>23</v>
      </c>
      <c r="B41" t="s">
        <v>18</v>
      </c>
      <c r="C41">
        <v>0</v>
      </c>
    </row>
    <row r="42" spans="1:3" x14ac:dyDescent="0.2">
      <c r="A42" t="s">
        <v>24</v>
      </c>
      <c r="B42" t="s">
        <v>18</v>
      </c>
      <c r="C42">
        <v>1</v>
      </c>
    </row>
    <row r="43" spans="1:3" x14ac:dyDescent="0.2">
      <c r="A43" t="s">
        <v>22</v>
      </c>
      <c r="B43" t="s">
        <v>20</v>
      </c>
      <c r="C43">
        <v>1</v>
      </c>
    </row>
    <row r="44" spans="1:3" x14ac:dyDescent="0.2">
      <c r="A44" t="s">
        <v>24</v>
      </c>
      <c r="B44" t="s">
        <v>20</v>
      </c>
      <c r="C44">
        <v>1</v>
      </c>
    </row>
    <row r="45" spans="1:3" x14ac:dyDescent="0.2">
      <c r="A45" t="s">
        <v>24</v>
      </c>
      <c r="B45" t="s">
        <v>20</v>
      </c>
      <c r="C45">
        <v>0</v>
      </c>
    </row>
    <row r="46" spans="1:3" x14ac:dyDescent="0.2">
      <c r="A46" t="s">
        <v>24</v>
      </c>
      <c r="B46" t="s">
        <v>20</v>
      </c>
      <c r="C46">
        <v>1</v>
      </c>
    </row>
    <row r="47" spans="1:3" x14ac:dyDescent="0.2">
      <c r="A47" t="s">
        <v>24</v>
      </c>
      <c r="B47" t="s">
        <v>18</v>
      </c>
      <c r="C47">
        <v>0</v>
      </c>
    </row>
    <row r="48" spans="1:3" x14ac:dyDescent="0.2">
      <c r="A48" t="s">
        <v>23</v>
      </c>
      <c r="B48" t="s">
        <v>19</v>
      </c>
      <c r="C48">
        <v>0</v>
      </c>
    </row>
    <row r="49" spans="1:3" x14ac:dyDescent="0.2">
      <c r="A49" t="s">
        <v>23</v>
      </c>
      <c r="B49" t="s">
        <v>20</v>
      </c>
      <c r="C49">
        <v>1</v>
      </c>
    </row>
    <row r="50" spans="1:3" x14ac:dyDescent="0.2">
      <c r="A50" t="s">
        <v>22</v>
      </c>
      <c r="B50" t="s">
        <v>20</v>
      </c>
      <c r="C50">
        <v>0</v>
      </c>
    </row>
    <row r="51" spans="1:3" x14ac:dyDescent="0.2">
      <c r="A51" t="s">
        <v>23</v>
      </c>
      <c r="B51" t="s">
        <v>20</v>
      </c>
      <c r="C51">
        <v>1</v>
      </c>
    </row>
    <row r="52" spans="1:3" x14ac:dyDescent="0.2">
      <c r="A52" t="s">
        <v>23</v>
      </c>
      <c r="B52" t="s">
        <v>20</v>
      </c>
      <c r="C52">
        <v>0</v>
      </c>
    </row>
    <row r="53" spans="1:3" x14ac:dyDescent="0.2">
      <c r="A53" t="s">
        <v>22</v>
      </c>
      <c r="B53" t="s">
        <v>18</v>
      </c>
      <c r="C53">
        <v>0</v>
      </c>
    </row>
    <row r="54" spans="1:3" x14ac:dyDescent="0.2">
      <c r="A54" t="s">
        <v>23</v>
      </c>
      <c r="B54" t="s">
        <v>20</v>
      </c>
      <c r="C54">
        <v>0</v>
      </c>
    </row>
    <row r="55" spans="1:3" x14ac:dyDescent="0.2">
      <c r="A55" t="s">
        <v>23</v>
      </c>
      <c r="B55" t="s">
        <v>20</v>
      </c>
      <c r="C55">
        <v>0</v>
      </c>
    </row>
    <row r="56" spans="1:3" x14ac:dyDescent="0.2">
      <c r="A56" t="s">
        <v>22</v>
      </c>
      <c r="B56" t="s">
        <v>20</v>
      </c>
      <c r="C56">
        <v>1</v>
      </c>
    </row>
    <row r="57" spans="1:3" x14ac:dyDescent="0.2">
      <c r="A57" t="s">
        <v>22</v>
      </c>
      <c r="B57" t="s">
        <v>18</v>
      </c>
      <c r="C57">
        <v>1</v>
      </c>
    </row>
    <row r="58" spans="1:3" x14ac:dyDescent="0.2">
      <c r="A58" t="s">
        <v>22</v>
      </c>
      <c r="B58" t="s">
        <v>20</v>
      </c>
      <c r="C58">
        <v>0</v>
      </c>
    </row>
    <row r="59" spans="1:3" x14ac:dyDescent="0.2">
      <c r="A59" t="s">
        <v>24</v>
      </c>
      <c r="B59" t="s">
        <v>18</v>
      </c>
      <c r="C59">
        <v>0</v>
      </c>
    </row>
    <row r="60" spans="1:3" x14ac:dyDescent="0.2">
      <c r="A60" t="s">
        <v>24</v>
      </c>
      <c r="B60" t="s">
        <v>20</v>
      </c>
      <c r="C60">
        <v>1</v>
      </c>
    </row>
    <row r="61" spans="1:3" x14ac:dyDescent="0.2">
      <c r="A61" t="s">
        <v>22</v>
      </c>
      <c r="B61" t="s">
        <v>18</v>
      </c>
      <c r="C61">
        <v>0</v>
      </c>
    </row>
    <row r="62" spans="1:3" x14ac:dyDescent="0.2">
      <c r="A62" t="s">
        <v>22</v>
      </c>
      <c r="B62" t="s">
        <v>18</v>
      </c>
      <c r="C62">
        <v>1</v>
      </c>
    </row>
    <row r="63" spans="1:3" x14ac:dyDescent="0.2">
      <c r="A63" t="s">
        <v>22</v>
      </c>
      <c r="B63" t="s">
        <v>20</v>
      </c>
      <c r="C63">
        <v>0</v>
      </c>
    </row>
    <row r="64" spans="1:3" x14ac:dyDescent="0.2">
      <c r="A64" t="s">
        <v>24</v>
      </c>
      <c r="B64" t="s">
        <v>20</v>
      </c>
      <c r="C64">
        <v>1</v>
      </c>
    </row>
    <row r="65" spans="1:3" x14ac:dyDescent="0.2">
      <c r="A65" t="s">
        <v>24</v>
      </c>
      <c r="B65" t="s">
        <v>19</v>
      </c>
      <c r="C65">
        <v>0</v>
      </c>
    </row>
    <row r="66" spans="1:3" x14ac:dyDescent="0.2">
      <c r="A66" t="s">
        <v>23</v>
      </c>
      <c r="B66" t="s">
        <v>19</v>
      </c>
      <c r="C66">
        <v>1</v>
      </c>
    </row>
    <row r="67" spans="1:3" x14ac:dyDescent="0.2">
      <c r="A67" t="s">
        <v>23</v>
      </c>
      <c r="B67" t="s">
        <v>20</v>
      </c>
      <c r="C67">
        <v>1</v>
      </c>
    </row>
    <row r="68" spans="1:3" x14ac:dyDescent="0.2">
      <c r="A68" t="s">
        <v>22</v>
      </c>
      <c r="B68" t="s">
        <v>20</v>
      </c>
      <c r="C68">
        <v>1</v>
      </c>
    </row>
    <row r="69" spans="1:3" x14ac:dyDescent="0.2">
      <c r="A69" t="s">
        <v>24</v>
      </c>
      <c r="B69" t="s">
        <v>19</v>
      </c>
      <c r="C69">
        <v>1</v>
      </c>
    </row>
    <row r="70" spans="1:3" x14ac:dyDescent="0.2">
      <c r="A70" t="s">
        <v>24</v>
      </c>
      <c r="B70" t="s">
        <v>20</v>
      </c>
      <c r="C70">
        <v>0</v>
      </c>
    </row>
    <row r="71" spans="1:3" x14ac:dyDescent="0.2">
      <c r="A71" t="s">
        <v>24</v>
      </c>
      <c r="B71" t="s">
        <v>20</v>
      </c>
      <c r="C71">
        <v>1</v>
      </c>
    </row>
    <row r="72" spans="1:3" x14ac:dyDescent="0.2">
      <c r="A72" t="s">
        <v>22</v>
      </c>
      <c r="B72" t="s">
        <v>19</v>
      </c>
      <c r="C72">
        <v>0</v>
      </c>
    </row>
    <row r="73" spans="1:3" x14ac:dyDescent="0.2">
      <c r="A73" t="s">
        <v>23</v>
      </c>
      <c r="B73" t="s">
        <v>20</v>
      </c>
      <c r="C73">
        <v>1</v>
      </c>
    </row>
    <row r="74" spans="1:3" x14ac:dyDescent="0.2">
      <c r="A74" t="s">
        <v>22</v>
      </c>
      <c r="B74" t="s">
        <v>20</v>
      </c>
      <c r="C74">
        <v>1</v>
      </c>
    </row>
    <row r="75" spans="1:3" x14ac:dyDescent="0.2">
      <c r="A75" t="s">
        <v>23</v>
      </c>
      <c r="B75" t="s">
        <v>20</v>
      </c>
      <c r="C75">
        <v>1</v>
      </c>
    </row>
    <row r="76" spans="1:3" x14ac:dyDescent="0.2">
      <c r="A76" t="s">
        <v>23</v>
      </c>
      <c r="B76" t="s">
        <v>20</v>
      </c>
      <c r="C76">
        <v>1</v>
      </c>
    </row>
    <row r="77" spans="1:3" x14ac:dyDescent="0.2">
      <c r="A77" t="s">
        <v>22</v>
      </c>
      <c r="B77" t="s">
        <v>20</v>
      </c>
      <c r="C77">
        <v>1</v>
      </c>
    </row>
    <row r="78" spans="1:3" x14ac:dyDescent="0.2">
      <c r="A78" t="s">
        <v>23</v>
      </c>
      <c r="B78" t="s">
        <v>18</v>
      </c>
      <c r="C78">
        <v>0</v>
      </c>
    </row>
    <row r="79" spans="1:3" x14ac:dyDescent="0.2">
      <c r="A79" t="s">
        <v>23</v>
      </c>
      <c r="B79" t="s">
        <v>20</v>
      </c>
      <c r="C79">
        <v>0</v>
      </c>
    </row>
    <row r="80" spans="1:3" x14ac:dyDescent="0.2">
      <c r="A80" t="s">
        <v>24</v>
      </c>
      <c r="B80" t="s">
        <v>20</v>
      </c>
      <c r="C80">
        <v>1</v>
      </c>
    </row>
    <row r="81" spans="1:3" x14ac:dyDescent="0.2">
      <c r="A81" t="s">
        <v>23</v>
      </c>
      <c r="B81" t="s">
        <v>20</v>
      </c>
      <c r="C81">
        <v>0</v>
      </c>
    </row>
    <row r="82" spans="1:3" x14ac:dyDescent="0.2">
      <c r="A82" t="s">
        <v>22</v>
      </c>
      <c r="B82" t="s">
        <v>20</v>
      </c>
      <c r="C82">
        <v>1</v>
      </c>
    </row>
    <row r="83" spans="1:3" x14ac:dyDescent="0.2">
      <c r="A83" t="s">
        <v>22</v>
      </c>
      <c r="B83" t="s">
        <v>19</v>
      </c>
      <c r="C83">
        <v>1</v>
      </c>
    </row>
    <row r="84" spans="1:3" x14ac:dyDescent="0.2">
      <c r="A84" t="s">
        <v>23</v>
      </c>
      <c r="B84" t="s">
        <v>20</v>
      </c>
      <c r="C84">
        <v>0</v>
      </c>
    </row>
    <row r="85" spans="1:3" x14ac:dyDescent="0.2">
      <c r="A85" t="s">
        <v>24</v>
      </c>
      <c r="B85" t="s">
        <v>20</v>
      </c>
      <c r="C85">
        <v>0</v>
      </c>
    </row>
    <row r="86" spans="1:3" x14ac:dyDescent="0.2">
      <c r="A86" t="s">
        <v>24</v>
      </c>
      <c r="B86" t="s">
        <v>19</v>
      </c>
      <c r="C86">
        <v>0</v>
      </c>
    </row>
    <row r="87" spans="1:3" x14ac:dyDescent="0.2">
      <c r="A87" t="s">
        <v>23</v>
      </c>
      <c r="B87" t="s">
        <v>20</v>
      </c>
      <c r="C87">
        <v>0</v>
      </c>
    </row>
    <row r="88" spans="1:3" x14ac:dyDescent="0.2">
      <c r="A88" t="s">
        <v>23</v>
      </c>
      <c r="B88" t="s">
        <v>20</v>
      </c>
      <c r="C88">
        <v>1</v>
      </c>
    </row>
    <row r="89" spans="1:3" x14ac:dyDescent="0.2">
      <c r="A89" t="s">
        <v>22</v>
      </c>
      <c r="B89" t="s">
        <v>20</v>
      </c>
      <c r="C89">
        <v>0</v>
      </c>
    </row>
    <row r="90" spans="1:3" x14ac:dyDescent="0.2">
      <c r="A90" t="s">
        <v>23</v>
      </c>
      <c r="B90" t="s">
        <v>20</v>
      </c>
      <c r="C90">
        <v>0</v>
      </c>
    </row>
    <row r="91" spans="1:3" x14ac:dyDescent="0.2">
      <c r="A91" t="s">
        <v>24</v>
      </c>
      <c r="B91" t="s">
        <v>20</v>
      </c>
      <c r="C91">
        <v>1</v>
      </c>
    </row>
    <row r="92" spans="1:3" x14ac:dyDescent="0.2">
      <c r="A92" t="s">
        <v>23</v>
      </c>
      <c r="B92" t="s">
        <v>20</v>
      </c>
      <c r="C92">
        <v>0</v>
      </c>
    </row>
    <row r="93" spans="1:3" x14ac:dyDescent="0.2">
      <c r="A93" t="s">
        <v>22</v>
      </c>
      <c r="B93" t="s">
        <v>18</v>
      </c>
      <c r="C93">
        <v>1</v>
      </c>
    </row>
    <row r="94" spans="1:3" x14ac:dyDescent="0.2">
      <c r="A94" t="s">
        <v>22</v>
      </c>
      <c r="B94" t="s">
        <v>20</v>
      </c>
      <c r="C94">
        <v>1</v>
      </c>
    </row>
    <row r="95" spans="1:3" x14ac:dyDescent="0.2">
      <c r="A95" t="s">
        <v>22</v>
      </c>
      <c r="B95" t="s">
        <v>20</v>
      </c>
      <c r="C95">
        <v>0</v>
      </c>
    </row>
    <row r="96" spans="1:3" x14ac:dyDescent="0.2">
      <c r="A96" t="s">
        <v>22</v>
      </c>
      <c r="B96" t="s">
        <v>18</v>
      </c>
      <c r="C96">
        <v>0</v>
      </c>
    </row>
    <row r="97" spans="1:3" x14ac:dyDescent="0.2">
      <c r="A97" t="s">
        <v>22</v>
      </c>
      <c r="B97" t="s">
        <v>20</v>
      </c>
      <c r="C97">
        <v>1</v>
      </c>
    </row>
    <row r="98" spans="1:3" x14ac:dyDescent="0.2">
      <c r="A98" t="s">
        <v>23</v>
      </c>
      <c r="B98" t="s">
        <v>18</v>
      </c>
      <c r="C98">
        <v>1</v>
      </c>
    </row>
    <row r="99" spans="1:3" x14ac:dyDescent="0.2">
      <c r="A99" t="s">
        <v>23</v>
      </c>
      <c r="B99" t="s">
        <v>20</v>
      </c>
      <c r="C99">
        <v>1</v>
      </c>
    </row>
    <row r="100" spans="1:3" x14ac:dyDescent="0.2">
      <c r="A100" t="s">
        <v>23</v>
      </c>
      <c r="B100" t="s">
        <v>20</v>
      </c>
      <c r="C100">
        <v>1</v>
      </c>
    </row>
    <row r="101" spans="1:3" x14ac:dyDescent="0.2">
      <c r="A101" t="s">
        <v>23</v>
      </c>
      <c r="B101" t="s">
        <v>18</v>
      </c>
      <c r="C101">
        <v>0</v>
      </c>
    </row>
    <row r="102" spans="1:3" x14ac:dyDescent="0.2">
      <c r="A102" t="s">
        <v>22</v>
      </c>
      <c r="B102" t="s">
        <v>20</v>
      </c>
      <c r="C102">
        <v>0</v>
      </c>
    </row>
    <row r="103" spans="1:3" x14ac:dyDescent="0.2">
      <c r="A103" t="s">
        <v>24</v>
      </c>
      <c r="B103" t="s">
        <v>20</v>
      </c>
      <c r="C103">
        <v>1</v>
      </c>
    </row>
    <row r="104" spans="1:3" x14ac:dyDescent="0.2">
      <c r="A104" t="s">
        <v>23</v>
      </c>
      <c r="B104" t="s">
        <v>20</v>
      </c>
      <c r="C104">
        <v>1</v>
      </c>
    </row>
    <row r="105" spans="1:3" x14ac:dyDescent="0.2">
      <c r="A105" t="s">
        <v>24</v>
      </c>
      <c r="B105" t="s">
        <v>20</v>
      </c>
      <c r="C105">
        <v>1</v>
      </c>
    </row>
    <row r="106" spans="1:3" x14ac:dyDescent="0.2">
      <c r="A106" t="s">
        <v>23</v>
      </c>
      <c r="B106" t="s">
        <v>18</v>
      </c>
      <c r="C106">
        <v>1</v>
      </c>
    </row>
    <row r="107" spans="1:3" x14ac:dyDescent="0.2">
      <c r="A107" t="s">
        <v>23</v>
      </c>
      <c r="B107" t="s">
        <v>20</v>
      </c>
      <c r="C107">
        <v>0</v>
      </c>
    </row>
    <row r="108" spans="1:3" x14ac:dyDescent="0.2">
      <c r="A108" t="s">
        <v>24</v>
      </c>
      <c r="B108" t="s">
        <v>20</v>
      </c>
      <c r="C108">
        <v>0</v>
      </c>
    </row>
    <row r="109" spans="1:3" x14ac:dyDescent="0.2">
      <c r="A109" t="s">
        <v>22</v>
      </c>
      <c r="B109" t="s">
        <v>20</v>
      </c>
      <c r="C109">
        <v>0</v>
      </c>
    </row>
    <row r="110" spans="1:3" x14ac:dyDescent="0.2">
      <c r="A110" t="s">
        <v>23</v>
      </c>
      <c r="B110" t="s">
        <v>18</v>
      </c>
      <c r="C110">
        <v>1</v>
      </c>
    </row>
    <row r="111" spans="1:3" x14ac:dyDescent="0.2">
      <c r="A111" t="s">
        <v>23</v>
      </c>
      <c r="B111" t="s">
        <v>20</v>
      </c>
      <c r="C111">
        <v>0</v>
      </c>
    </row>
    <row r="112" spans="1:3" x14ac:dyDescent="0.2">
      <c r="A112" t="s">
        <v>23</v>
      </c>
      <c r="B112" t="s">
        <v>19</v>
      </c>
      <c r="C112">
        <v>0</v>
      </c>
    </row>
    <row r="113" spans="1:3" x14ac:dyDescent="0.2">
      <c r="A113" t="s">
        <v>24</v>
      </c>
      <c r="B113" t="s">
        <v>20</v>
      </c>
      <c r="C113">
        <v>0</v>
      </c>
    </row>
    <row r="114" spans="1:3" x14ac:dyDescent="0.2">
      <c r="A114" t="s">
        <v>22</v>
      </c>
      <c r="B114" t="s">
        <v>18</v>
      </c>
      <c r="C114">
        <v>0</v>
      </c>
    </row>
    <row r="115" spans="1:3" x14ac:dyDescent="0.2">
      <c r="A115" t="s">
        <v>24</v>
      </c>
      <c r="B115" t="s">
        <v>19</v>
      </c>
      <c r="C115">
        <v>1</v>
      </c>
    </row>
    <row r="116" spans="1:3" x14ac:dyDescent="0.2">
      <c r="A116" t="s">
        <v>24</v>
      </c>
      <c r="B116" t="s">
        <v>18</v>
      </c>
      <c r="C116">
        <v>0</v>
      </c>
    </row>
    <row r="117" spans="1:3" x14ac:dyDescent="0.2">
      <c r="A117" t="s">
        <v>22</v>
      </c>
      <c r="B117" t="s">
        <v>19</v>
      </c>
      <c r="C117">
        <v>1</v>
      </c>
    </row>
    <row r="118" spans="1:3" x14ac:dyDescent="0.2">
      <c r="A118" t="s">
        <v>24</v>
      </c>
      <c r="B118" t="s">
        <v>20</v>
      </c>
      <c r="C118">
        <v>1</v>
      </c>
    </row>
    <row r="119" spans="1:3" x14ac:dyDescent="0.2">
      <c r="A119" t="s">
        <v>22</v>
      </c>
      <c r="B119" t="s">
        <v>20</v>
      </c>
      <c r="C119">
        <v>1</v>
      </c>
    </row>
    <row r="120" spans="1:3" x14ac:dyDescent="0.2">
      <c r="A120" t="s">
        <v>23</v>
      </c>
      <c r="B120" t="s">
        <v>20</v>
      </c>
      <c r="C120">
        <v>0</v>
      </c>
    </row>
    <row r="121" spans="1:3" x14ac:dyDescent="0.2">
      <c r="A121" t="s">
        <v>22</v>
      </c>
      <c r="B121" t="s">
        <v>20</v>
      </c>
      <c r="C121">
        <v>0</v>
      </c>
    </row>
    <row r="122" spans="1:3" x14ac:dyDescent="0.2">
      <c r="A122" t="s">
        <v>23</v>
      </c>
      <c r="B122" t="s">
        <v>20</v>
      </c>
      <c r="C122">
        <v>0</v>
      </c>
    </row>
    <row r="123" spans="1:3" x14ac:dyDescent="0.2">
      <c r="A123" t="s">
        <v>24</v>
      </c>
      <c r="B123" t="s">
        <v>20</v>
      </c>
      <c r="C123">
        <v>1</v>
      </c>
    </row>
    <row r="124" spans="1:3" x14ac:dyDescent="0.2">
      <c r="A124" t="s">
        <v>24</v>
      </c>
      <c r="B124" t="s">
        <v>20</v>
      </c>
      <c r="C124">
        <v>0</v>
      </c>
    </row>
    <row r="125" spans="1:3" x14ac:dyDescent="0.2">
      <c r="A125" t="s">
        <v>23</v>
      </c>
      <c r="B125" t="s">
        <v>20</v>
      </c>
      <c r="C125">
        <v>0</v>
      </c>
    </row>
    <row r="126" spans="1:3" x14ac:dyDescent="0.2">
      <c r="A126" t="s">
        <v>24</v>
      </c>
      <c r="B126" t="s">
        <v>19</v>
      </c>
      <c r="C126">
        <v>0</v>
      </c>
    </row>
    <row r="127" spans="1:3" x14ac:dyDescent="0.2">
      <c r="A127" t="s">
        <v>22</v>
      </c>
      <c r="B127" t="s">
        <v>20</v>
      </c>
      <c r="C127">
        <v>0</v>
      </c>
    </row>
    <row r="128" spans="1:3" x14ac:dyDescent="0.2">
      <c r="A128" t="s">
        <v>23</v>
      </c>
      <c r="B128" t="s">
        <v>18</v>
      </c>
      <c r="C128">
        <v>0</v>
      </c>
    </row>
    <row r="129" spans="1:3" x14ac:dyDescent="0.2">
      <c r="A129" t="s">
        <v>24</v>
      </c>
      <c r="B129" t="s">
        <v>18</v>
      </c>
      <c r="C129">
        <v>0</v>
      </c>
    </row>
    <row r="130" spans="1:3" x14ac:dyDescent="0.2">
      <c r="A130" t="s">
        <v>23</v>
      </c>
      <c r="B130" t="s">
        <v>19</v>
      </c>
      <c r="C130">
        <v>1</v>
      </c>
    </row>
    <row r="131" spans="1:3" x14ac:dyDescent="0.2">
      <c r="A131" t="s">
        <v>22</v>
      </c>
      <c r="B131" t="s">
        <v>18</v>
      </c>
      <c r="C131">
        <v>1</v>
      </c>
    </row>
    <row r="132" spans="1:3" x14ac:dyDescent="0.2">
      <c r="A132" t="s">
        <v>22</v>
      </c>
      <c r="B132" t="s">
        <v>18</v>
      </c>
      <c r="C132">
        <v>1</v>
      </c>
    </row>
    <row r="133" spans="1:3" x14ac:dyDescent="0.2">
      <c r="A133" t="s">
        <v>24</v>
      </c>
      <c r="B133" t="s">
        <v>19</v>
      </c>
      <c r="C133">
        <v>1</v>
      </c>
    </row>
    <row r="134" spans="1:3" x14ac:dyDescent="0.2">
      <c r="A134" t="s">
        <v>22</v>
      </c>
      <c r="B134" t="s">
        <v>19</v>
      </c>
      <c r="C134">
        <v>1</v>
      </c>
    </row>
    <row r="135" spans="1:3" x14ac:dyDescent="0.2">
      <c r="A135" t="s">
        <v>23</v>
      </c>
      <c r="B135" t="s">
        <v>20</v>
      </c>
      <c r="C135">
        <v>1</v>
      </c>
    </row>
    <row r="136" spans="1:3" x14ac:dyDescent="0.2">
      <c r="A136" t="s">
        <v>22</v>
      </c>
      <c r="B136" t="s">
        <v>20</v>
      </c>
      <c r="C136">
        <v>0</v>
      </c>
    </row>
    <row r="137" spans="1:3" x14ac:dyDescent="0.2">
      <c r="A137" t="s">
        <v>23</v>
      </c>
      <c r="B137" t="s">
        <v>20</v>
      </c>
      <c r="C137">
        <v>1</v>
      </c>
    </row>
    <row r="138" spans="1:3" x14ac:dyDescent="0.2">
      <c r="A138" t="s">
        <v>23</v>
      </c>
      <c r="B138" t="s">
        <v>20</v>
      </c>
      <c r="C138">
        <v>1</v>
      </c>
    </row>
    <row r="139" spans="1:3" x14ac:dyDescent="0.2">
      <c r="A139" t="s">
        <v>22</v>
      </c>
      <c r="B139" t="s">
        <v>18</v>
      </c>
      <c r="C139">
        <v>0</v>
      </c>
    </row>
    <row r="140" spans="1:3" x14ac:dyDescent="0.2">
      <c r="A140" t="s">
        <v>24</v>
      </c>
      <c r="B140" t="s">
        <v>18</v>
      </c>
      <c r="C140">
        <v>0</v>
      </c>
    </row>
    <row r="141" spans="1:3" x14ac:dyDescent="0.2">
      <c r="A141" t="s">
        <v>22</v>
      </c>
      <c r="B141" t="s">
        <v>18</v>
      </c>
      <c r="C141">
        <v>1</v>
      </c>
    </row>
    <row r="142" spans="1:3" x14ac:dyDescent="0.2">
      <c r="A142" t="s">
        <v>23</v>
      </c>
      <c r="B142" t="s">
        <v>20</v>
      </c>
      <c r="C142">
        <v>0</v>
      </c>
    </row>
    <row r="143" spans="1:3" x14ac:dyDescent="0.2">
      <c r="A143" t="s">
        <v>23</v>
      </c>
      <c r="B143" t="s">
        <v>19</v>
      </c>
      <c r="C143">
        <v>0</v>
      </c>
    </row>
    <row r="144" spans="1:3" x14ac:dyDescent="0.2">
      <c r="A144" t="s">
        <v>22</v>
      </c>
      <c r="B144" t="s">
        <v>18</v>
      </c>
      <c r="C144">
        <v>1</v>
      </c>
    </row>
    <row r="145" spans="1:3" x14ac:dyDescent="0.2">
      <c r="A145" t="s">
        <v>24</v>
      </c>
      <c r="B145" t="s">
        <v>18</v>
      </c>
      <c r="C145">
        <v>0</v>
      </c>
    </row>
    <row r="146" spans="1:3" x14ac:dyDescent="0.2">
      <c r="A146" t="s">
        <v>24</v>
      </c>
      <c r="B146" t="s">
        <v>19</v>
      </c>
      <c r="C146">
        <v>0</v>
      </c>
    </row>
    <row r="147" spans="1:3" x14ac:dyDescent="0.2">
      <c r="A147" t="s">
        <v>23</v>
      </c>
      <c r="B147" t="s">
        <v>18</v>
      </c>
      <c r="C147">
        <v>0</v>
      </c>
    </row>
    <row r="148" spans="1:3" x14ac:dyDescent="0.2">
      <c r="A148" t="s">
        <v>23</v>
      </c>
      <c r="B148" t="s">
        <v>20</v>
      </c>
      <c r="C148">
        <v>0</v>
      </c>
    </row>
    <row r="149" spans="1:3" x14ac:dyDescent="0.2">
      <c r="A149" t="s">
        <v>24</v>
      </c>
      <c r="B149" t="s">
        <v>18</v>
      </c>
      <c r="C149">
        <v>0</v>
      </c>
    </row>
    <row r="150" spans="1:3" x14ac:dyDescent="0.2">
      <c r="A150" t="s">
        <v>22</v>
      </c>
      <c r="B150" t="s">
        <v>20</v>
      </c>
      <c r="C150">
        <v>1</v>
      </c>
    </row>
    <row r="151" spans="1:3" x14ac:dyDescent="0.2">
      <c r="A151" t="s">
        <v>23</v>
      </c>
      <c r="B151" t="s">
        <v>20</v>
      </c>
      <c r="C151">
        <v>1</v>
      </c>
    </row>
    <row r="152" spans="1:3" x14ac:dyDescent="0.2">
      <c r="A152" t="s">
        <v>23</v>
      </c>
      <c r="B152" t="s">
        <v>18</v>
      </c>
      <c r="C152">
        <v>1</v>
      </c>
    </row>
    <row r="153" spans="1:3" x14ac:dyDescent="0.2">
      <c r="A153" t="s">
        <v>24</v>
      </c>
      <c r="B153" t="s">
        <v>20</v>
      </c>
      <c r="C153">
        <v>0</v>
      </c>
    </row>
    <row r="154" spans="1:3" x14ac:dyDescent="0.2">
      <c r="A154" t="s">
        <v>22</v>
      </c>
      <c r="B154" t="s">
        <v>18</v>
      </c>
      <c r="C154">
        <v>0</v>
      </c>
    </row>
    <row r="155" spans="1:3" x14ac:dyDescent="0.2">
      <c r="A155" t="s">
        <v>24</v>
      </c>
      <c r="B155" t="s">
        <v>20</v>
      </c>
      <c r="C155">
        <v>1</v>
      </c>
    </row>
    <row r="156" spans="1:3" x14ac:dyDescent="0.2">
      <c r="A156" t="s">
        <v>22</v>
      </c>
      <c r="B156" t="s">
        <v>19</v>
      </c>
      <c r="C156">
        <v>0</v>
      </c>
    </row>
    <row r="157" spans="1:3" x14ac:dyDescent="0.2">
      <c r="A157" t="s">
        <v>22</v>
      </c>
      <c r="B157" t="s">
        <v>20</v>
      </c>
      <c r="C157">
        <v>0</v>
      </c>
    </row>
    <row r="158" spans="1:3" x14ac:dyDescent="0.2">
      <c r="A158" t="s">
        <v>22</v>
      </c>
      <c r="B158" t="s">
        <v>19</v>
      </c>
      <c r="C158">
        <v>1</v>
      </c>
    </row>
    <row r="159" spans="1:3" x14ac:dyDescent="0.2">
      <c r="A159" t="s">
        <v>23</v>
      </c>
      <c r="B159" t="s">
        <v>18</v>
      </c>
      <c r="C159">
        <v>0</v>
      </c>
    </row>
    <row r="160" spans="1:3" x14ac:dyDescent="0.2">
      <c r="A160" t="s">
        <v>24</v>
      </c>
      <c r="B160" t="s">
        <v>20</v>
      </c>
      <c r="C160">
        <v>0</v>
      </c>
    </row>
    <row r="161" spans="1:3" x14ac:dyDescent="0.2">
      <c r="A161" t="s">
        <v>24</v>
      </c>
      <c r="B161" t="s">
        <v>20</v>
      </c>
      <c r="C161">
        <v>1</v>
      </c>
    </row>
    <row r="162" spans="1:3" x14ac:dyDescent="0.2">
      <c r="A162" t="s">
        <v>22</v>
      </c>
      <c r="B162" t="s">
        <v>19</v>
      </c>
      <c r="C162">
        <v>0</v>
      </c>
    </row>
    <row r="163" spans="1:3" x14ac:dyDescent="0.2">
      <c r="A163" t="s">
        <v>23</v>
      </c>
      <c r="B163" t="s">
        <v>20</v>
      </c>
      <c r="C163">
        <v>0</v>
      </c>
    </row>
    <row r="164" spans="1:3" x14ac:dyDescent="0.2">
      <c r="A164" t="s">
        <v>23</v>
      </c>
      <c r="B164" t="s">
        <v>20</v>
      </c>
      <c r="C164">
        <v>1</v>
      </c>
    </row>
    <row r="165" spans="1:3" x14ac:dyDescent="0.2">
      <c r="A165" t="s">
        <v>24</v>
      </c>
      <c r="B165" t="s">
        <v>20</v>
      </c>
      <c r="C165">
        <v>0</v>
      </c>
    </row>
    <row r="166" spans="1:3" x14ac:dyDescent="0.2">
      <c r="A166" t="s">
        <v>23</v>
      </c>
      <c r="B166" t="s">
        <v>20</v>
      </c>
      <c r="C166">
        <v>1</v>
      </c>
    </row>
    <row r="167" spans="1:3" x14ac:dyDescent="0.2">
      <c r="A167" t="s">
        <v>23</v>
      </c>
      <c r="B167" t="s">
        <v>18</v>
      </c>
      <c r="C167">
        <v>1</v>
      </c>
    </row>
    <row r="168" spans="1:3" x14ac:dyDescent="0.2">
      <c r="A168" t="s">
        <v>22</v>
      </c>
      <c r="B168" t="s">
        <v>18</v>
      </c>
      <c r="C168">
        <v>1</v>
      </c>
    </row>
    <row r="169" spans="1:3" x14ac:dyDescent="0.2">
      <c r="A169" t="s">
        <v>23</v>
      </c>
      <c r="B169" t="s">
        <v>20</v>
      </c>
      <c r="C169">
        <v>1</v>
      </c>
    </row>
    <row r="170" spans="1:3" x14ac:dyDescent="0.2">
      <c r="A170" t="s">
        <v>22</v>
      </c>
      <c r="B170" t="s">
        <v>20</v>
      </c>
      <c r="C170">
        <v>1</v>
      </c>
    </row>
    <row r="171" spans="1:3" x14ac:dyDescent="0.2">
      <c r="A171" t="s">
        <v>24</v>
      </c>
      <c r="B171" t="s">
        <v>18</v>
      </c>
      <c r="C171">
        <v>1</v>
      </c>
    </row>
    <row r="172" spans="1:3" x14ac:dyDescent="0.2">
      <c r="A172" t="s">
        <v>23</v>
      </c>
      <c r="B172" t="s">
        <v>20</v>
      </c>
      <c r="C172">
        <v>0</v>
      </c>
    </row>
    <row r="173" spans="1:3" x14ac:dyDescent="0.2">
      <c r="A173" t="s">
        <v>24</v>
      </c>
      <c r="B173" t="s">
        <v>20</v>
      </c>
      <c r="C173">
        <v>0</v>
      </c>
    </row>
    <row r="174" spans="1:3" x14ac:dyDescent="0.2">
      <c r="A174" t="s">
        <v>24</v>
      </c>
      <c r="B174" t="s">
        <v>19</v>
      </c>
      <c r="C174">
        <v>0</v>
      </c>
    </row>
    <row r="175" spans="1:3" x14ac:dyDescent="0.2">
      <c r="A175" t="s">
        <v>23</v>
      </c>
      <c r="B175" t="s">
        <v>18</v>
      </c>
      <c r="C175">
        <v>0</v>
      </c>
    </row>
    <row r="176" spans="1:3" x14ac:dyDescent="0.2">
      <c r="A176" t="s">
        <v>23</v>
      </c>
      <c r="B176" t="s">
        <v>18</v>
      </c>
      <c r="C176">
        <v>0</v>
      </c>
    </row>
    <row r="177" spans="1:3" x14ac:dyDescent="0.2">
      <c r="A177" t="s">
        <v>24</v>
      </c>
      <c r="B177" t="s">
        <v>18</v>
      </c>
      <c r="C177">
        <v>0</v>
      </c>
    </row>
    <row r="178" spans="1:3" x14ac:dyDescent="0.2">
      <c r="A178" t="s">
        <v>23</v>
      </c>
      <c r="B178" t="s">
        <v>20</v>
      </c>
      <c r="C178">
        <v>1</v>
      </c>
    </row>
    <row r="179" spans="1:3" x14ac:dyDescent="0.2">
      <c r="A179" t="s">
        <v>22</v>
      </c>
      <c r="B179" t="s">
        <v>18</v>
      </c>
      <c r="C179">
        <v>0</v>
      </c>
    </row>
    <row r="180" spans="1:3" x14ac:dyDescent="0.2">
      <c r="A180" t="s">
        <v>22</v>
      </c>
      <c r="B180" t="s">
        <v>20</v>
      </c>
      <c r="C180">
        <v>0</v>
      </c>
    </row>
    <row r="181" spans="1:3" x14ac:dyDescent="0.2">
      <c r="A181" t="s">
        <v>23</v>
      </c>
      <c r="B181" t="s">
        <v>20</v>
      </c>
      <c r="C181">
        <v>0</v>
      </c>
    </row>
    <row r="182" spans="1:3" x14ac:dyDescent="0.2">
      <c r="A182" t="s">
        <v>24</v>
      </c>
      <c r="B182" t="s">
        <v>20</v>
      </c>
      <c r="C182">
        <v>0</v>
      </c>
    </row>
    <row r="183" spans="1:3" x14ac:dyDescent="0.2">
      <c r="A183" t="s">
        <v>23</v>
      </c>
      <c r="B183" t="s">
        <v>20</v>
      </c>
      <c r="C183">
        <v>0</v>
      </c>
    </row>
    <row r="184" spans="1:3" x14ac:dyDescent="0.2">
      <c r="A184" t="s">
        <v>23</v>
      </c>
      <c r="B184" t="s">
        <v>18</v>
      </c>
      <c r="C184">
        <v>1</v>
      </c>
    </row>
    <row r="185" spans="1:3" x14ac:dyDescent="0.2">
      <c r="A185" t="s">
        <v>24</v>
      </c>
      <c r="B185" t="s">
        <v>20</v>
      </c>
      <c r="C185">
        <v>1</v>
      </c>
    </row>
    <row r="186" spans="1:3" x14ac:dyDescent="0.2">
      <c r="A186" t="s">
        <v>24</v>
      </c>
      <c r="B186" t="s">
        <v>20</v>
      </c>
      <c r="C186">
        <v>1</v>
      </c>
    </row>
    <row r="187" spans="1:3" x14ac:dyDescent="0.2">
      <c r="A187" t="s">
        <v>22</v>
      </c>
      <c r="B187" t="s">
        <v>20</v>
      </c>
      <c r="C187">
        <v>1</v>
      </c>
    </row>
    <row r="188" spans="1:3" x14ac:dyDescent="0.2">
      <c r="A188" t="s">
        <v>24</v>
      </c>
      <c r="B188" t="s">
        <v>20</v>
      </c>
      <c r="C188">
        <v>0</v>
      </c>
    </row>
    <row r="189" spans="1:3" x14ac:dyDescent="0.2">
      <c r="A189" t="s">
        <v>22</v>
      </c>
      <c r="B189" t="s">
        <v>18</v>
      </c>
      <c r="C189">
        <v>0</v>
      </c>
    </row>
    <row r="190" spans="1:3" x14ac:dyDescent="0.2">
      <c r="A190" t="s">
        <v>24</v>
      </c>
      <c r="B190" t="s">
        <v>20</v>
      </c>
      <c r="C190">
        <v>1</v>
      </c>
    </row>
    <row r="191" spans="1:3" x14ac:dyDescent="0.2">
      <c r="A191" t="s">
        <v>23</v>
      </c>
      <c r="B191" t="s">
        <v>18</v>
      </c>
      <c r="C191">
        <v>0</v>
      </c>
    </row>
    <row r="192" spans="1:3" x14ac:dyDescent="0.2">
      <c r="A192" t="s">
        <v>22</v>
      </c>
      <c r="B192" t="s">
        <v>20</v>
      </c>
      <c r="C192">
        <v>0</v>
      </c>
    </row>
    <row r="193" spans="1:3" x14ac:dyDescent="0.2">
      <c r="A193" t="s">
        <v>22</v>
      </c>
      <c r="B193" t="s">
        <v>20</v>
      </c>
      <c r="C193">
        <v>0</v>
      </c>
    </row>
    <row r="194" spans="1:3" x14ac:dyDescent="0.2">
      <c r="A194" t="s">
        <v>22</v>
      </c>
      <c r="B194" t="s">
        <v>18</v>
      </c>
      <c r="C194">
        <v>0</v>
      </c>
    </row>
    <row r="195" spans="1:3" x14ac:dyDescent="0.2">
      <c r="A195" t="s">
        <v>23</v>
      </c>
      <c r="B195" t="s">
        <v>20</v>
      </c>
      <c r="C195">
        <v>1</v>
      </c>
    </row>
    <row r="196" spans="1:3" x14ac:dyDescent="0.2">
      <c r="A196" t="s">
        <v>23</v>
      </c>
      <c r="B196" t="s">
        <v>18</v>
      </c>
      <c r="C196">
        <v>0</v>
      </c>
    </row>
    <row r="197" spans="1:3" x14ac:dyDescent="0.2">
      <c r="A197" t="s">
        <v>23</v>
      </c>
      <c r="B197" t="s">
        <v>20</v>
      </c>
      <c r="C197">
        <v>0</v>
      </c>
    </row>
    <row r="198" spans="1:3" x14ac:dyDescent="0.2">
      <c r="A198" t="s">
        <v>23</v>
      </c>
      <c r="B198" t="s">
        <v>20</v>
      </c>
      <c r="C198">
        <v>1</v>
      </c>
    </row>
    <row r="199" spans="1:3" x14ac:dyDescent="0.2">
      <c r="A199" t="s">
        <v>23</v>
      </c>
      <c r="B199" t="s">
        <v>19</v>
      </c>
      <c r="C199">
        <v>0</v>
      </c>
    </row>
    <row r="200" spans="1:3" x14ac:dyDescent="0.2">
      <c r="A200" t="s">
        <v>22</v>
      </c>
      <c r="B200" t="s">
        <v>20</v>
      </c>
      <c r="C200">
        <v>0</v>
      </c>
    </row>
    <row r="201" spans="1:3" x14ac:dyDescent="0.2">
      <c r="A201" t="s">
        <v>23</v>
      </c>
      <c r="B201" t="s">
        <v>20</v>
      </c>
      <c r="C201">
        <v>1</v>
      </c>
    </row>
    <row r="202" spans="1:3" x14ac:dyDescent="0.2">
      <c r="A202" t="s">
        <v>22</v>
      </c>
      <c r="B202" t="s">
        <v>18</v>
      </c>
      <c r="C202">
        <v>0</v>
      </c>
    </row>
    <row r="203" spans="1:3" x14ac:dyDescent="0.2">
      <c r="A203" t="s">
        <v>23</v>
      </c>
      <c r="B203" t="s">
        <v>20</v>
      </c>
      <c r="C203">
        <v>0</v>
      </c>
    </row>
    <row r="204" spans="1:3" x14ac:dyDescent="0.2">
      <c r="A204" t="s">
        <v>24</v>
      </c>
      <c r="B204" t="s">
        <v>18</v>
      </c>
      <c r="C204">
        <v>1</v>
      </c>
    </row>
    <row r="205" spans="1:3" x14ac:dyDescent="0.2">
      <c r="A205" t="s">
        <v>22</v>
      </c>
      <c r="B205" t="s">
        <v>20</v>
      </c>
      <c r="C205">
        <v>0</v>
      </c>
    </row>
    <row r="206" spans="1:3" x14ac:dyDescent="0.2">
      <c r="A206" t="s">
        <v>24</v>
      </c>
      <c r="B206" t="s">
        <v>19</v>
      </c>
      <c r="C206">
        <v>0</v>
      </c>
    </row>
    <row r="207" spans="1:3" x14ac:dyDescent="0.2">
      <c r="A207" t="s">
        <v>22</v>
      </c>
      <c r="B207" t="s">
        <v>18</v>
      </c>
      <c r="C207">
        <v>0</v>
      </c>
    </row>
    <row r="208" spans="1:3" x14ac:dyDescent="0.2">
      <c r="A208" t="s">
        <v>24</v>
      </c>
      <c r="B208" t="s">
        <v>18</v>
      </c>
      <c r="C208">
        <v>1</v>
      </c>
    </row>
    <row r="209" spans="1:3" x14ac:dyDescent="0.2">
      <c r="A209" t="s">
        <v>23</v>
      </c>
      <c r="B209" t="s">
        <v>19</v>
      </c>
      <c r="C209">
        <v>1</v>
      </c>
    </row>
    <row r="210" spans="1:3" x14ac:dyDescent="0.2">
      <c r="A210" t="s">
        <v>23</v>
      </c>
      <c r="B210" t="s">
        <v>20</v>
      </c>
      <c r="C210">
        <v>1</v>
      </c>
    </row>
    <row r="211" spans="1:3" x14ac:dyDescent="0.2">
      <c r="A211" t="s">
        <v>23</v>
      </c>
      <c r="B211" t="s">
        <v>19</v>
      </c>
      <c r="C211">
        <v>0</v>
      </c>
    </row>
    <row r="212" spans="1:3" x14ac:dyDescent="0.2">
      <c r="A212" t="s">
        <v>22</v>
      </c>
      <c r="B212" t="s">
        <v>20</v>
      </c>
      <c r="C212">
        <v>1</v>
      </c>
    </row>
    <row r="213" spans="1:3" x14ac:dyDescent="0.2">
      <c r="A213" t="s">
        <v>24</v>
      </c>
      <c r="B213" t="s">
        <v>20</v>
      </c>
      <c r="C213">
        <v>1</v>
      </c>
    </row>
    <row r="214" spans="1:3" x14ac:dyDescent="0.2">
      <c r="A214" t="s">
        <v>23</v>
      </c>
      <c r="B214" t="s">
        <v>20</v>
      </c>
      <c r="C214">
        <v>1</v>
      </c>
    </row>
    <row r="215" spans="1:3" x14ac:dyDescent="0.2">
      <c r="A215" t="s">
        <v>24</v>
      </c>
      <c r="B215" t="s">
        <v>20</v>
      </c>
      <c r="C215">
        <v>1</v>
      </c>
    </row>
    <row r="216" spans="1:3" x14ac:dyDescent="0.2">
      <c r="A216" t="s">
        <v>24</v>
      </c>
      <c r="B216" t="s">
        <v>20</v>
      </c>
      <c r="C216">
        <v>0</v>
      </c>
    </row>
    <row r="217" spans="1:3" x14ac:dyDescent="0.2">
      <c r="A217" t="s">
        <v>23</v>
      </c>
      <c r="B217" t="s">
        <v>18</v>
      </c>
      <c r="C217">
        <v>0</v>
      </c>
    </row>
    <row r="218" spans="1:3" x14ac:dyDescent="0.2">
      <c r="A218" t="s">
        <v>23</v>
      </c>
      <c r="B218" t="s">
        <v>18</v>
      </c>
      <c r="C218">
        <v>1</v>
      </c>
    </row>
    <row r="219" spans="1:3" x14ac:dyDescent="0.2">
      <c r="A219" t="s">
        <v>24</v>
      </c>
      <c r="B219" t="s">
        <v>19</v>
      </c>
      <c r="C219">
        <v>0</v>
      </c>
    </row>
    <row r="220" spans="1:3" x14ac:dyDescent="0.2">
      <c r="A220" t="s">
        <v>23</v>
      </c>
      <c r="B220" t="s">
        <v>20</v>
      </c>
      <c r="C220">
        <v>1</v>
      </c>
    </row>
    <row r="221" spans="1:3" x14ac:dyDescent="0.2">
      <c r="A221" t="s">
        <v>23</v>
      </c>
      <c r="B221" t="s">
        <v>18</v>
      </c>
      <c r="C221">
        <v>0</v>
      </c>
    </row>
    <row r="222" spans="1:3" x14ac:dyDescent="0.2">
      <c r="A222" t="s">
        <v>23</v>
      </c>
      <c r="B222" t="s">
        <v>20</v>
      </c>
      <c r="C222">
        <v>0</v>
      </c>
    </row>
    <row r="223" spans="1:3" x14ac:dyDescent="0.2">
      <c r="A223" t="s">
        <v>22</v>
      </c>
      <c r="B223" t="s">
        <v>20</v>
      </c>
      <c r="C223">
        <v>1</v>
      </c>
    </row>
    <row r="224" spans="1:3" x14ac:dyDescent="0.2">
      <c r="A224" t="s">
        <v>24</v>
      </c>
      <c r="B224" t="s">
        <v>20</v>
      </c>
      <c r="C224">
        <v>1</v>
      </c>
    </row>
    <row r="225" spans="1:3" x14ac:dyDescent="0.2">
      <c r="A225" t="s">
        <v>24</v>
      </c>
      <c r="B225" t="s">
        <v>20</v>
      </c>
      <c r="C225">
        <v>1</v>
      </c>
    </row>
    <row r="226" spans="1:3" x14ac:dyDescent="0.2">
      <c r="A226" t="s">
        <v>22</v>
      </c>
      <c r="B226" t="s">
        <v>18</v>
      </c>
      <c r="C226">
        <v>0</v>
      </c>
    </row>
    <row r="227" spans="1:3" x14ac:dyDescent="0.2">
      <c r="A227" t="s">
        <v>24</v>
      </c>
      <c r="B227" t="s">
        <v>20</v>
      </c>
      <c r="C227">
        <v>0</v>
      </c>
    </row>
    <row r="228" spans="1:3" x14ac:dyDescent="0.2">
      <c r="A228" t="s">
        <v>23</v>
      </c>
      <c r="B228" t="s">
        <v>20</v>
      </c>
      <c r="C228">
        <v>1</v>
      </c>
    </row>
    <row r="229" spans="1:3" x14ac:dyDescent="0.2">
      <c r="A229" t="s">
        <v>24</v>
      </c>
      <c r="B229" t="s">
        <v>20</v>
      </c>
      <c r="C229">
        <v>0</v>
      </c>
    </row>
    <row r="230" spans="1:3" x14ac:dyDescent="0.2">
      <c r="A230" t="s">
        <v>23</v>
      </c>
      <c r="B230" t="s">
        <v>20</v>
      </c>
      <c r="C230">
        <v>1</v>
      </c>
    </row>
    <row r="231" spans="1:3" x14ac:dyDescent="0.2">
      <c r="A231" t="s">
        <v>22</v>
      </c>
      <c r="B231" t="s">
        <v>20</v>
      </c>
      <c r="C231">
        <v>1</v>
      </c>
    </row>
    <row r="232" spans="1:3" x14ac:dyDescent="0.2">
      <c r="A232" t="s">
        <v>23</v>
      </c>
      <c r="B232" t="s">
        <v>19</v>
      </c>
      <c r="C232">
        <v>0</v>
      </c>
    </row>
    <row r="233" spans="1:3" x14ac:dyDescent="0.2">
      <c r="A233" t="s">
        <v>24</v>
      </c>
      <c r="B233" t="s">
        <v>20</v>
      </c>
      <c r="C233">
        <v>0</v>
      </c>
    </row>
    <row r="234" spans="1:3" x14ac:dyDescent="0.2">
      <c r="A234" t="s">
        <v>24</v>
      </c>
      <c r="B234" t="s">
        <v>20</v>
      </c>
      <c r="C234">
        <v>0</v>
      </c>
    </row>
    <row r="235" spans="1:3" x14ac:dyDescent="0.2">
      <c r="A235" t="s">
        <v>24</v>
      </c>
      <c r="B235" t="s">
        <v>20</v>
      </c>
      <c r="C235">
        <v>1</v>
      </c>
    </row>
    <row r="236" spans="1:3" x14ac:dyDescent="0.2">
      <c r="A236" t="s">
        <v>22</v>
      </c>
      <c r="B236" t="s">
        <v>18</v>
      </c>
      <c r="C236">
        <v>1</v>
      </c>
    </row>
    <row r="237" spans="1:3" x14ac:dyDescent="0.2">
      <c r="A237" t="s">
        <v>22</v>
      </c>
      <c r="B237" t="s">
        <v>19</v>
      </c>
      <c r="C237">
        <v>0</v>
      </c>
    </row>
    <row r="238" spans="1:3" x14ac:dyDescent="0.2">
      <c r="A238" t="s">
        <v>24</v>
      </c>
      <c r="B238" t="s">
        <v>18</v>
      </c>
      <c r="C238">
        <v>0</v>
      </c>
    </row>
    <row r="239" spans="1:3" x14ac:dyDescent="0.2">
      <c r="A239" t="s">
        <v>23</v>
      </c>
      <c r="B239" t="s">
        <v>18</v>
      </c>
      <c r="C239">
        <v>0</v>
      </c>
    </row>
    <row r="240" spans="1:3" x14ac:dyDescent="0.2">
      <c r="A240" t="s">
        <v>22</v>
      </c>
      <c r="B240" t="s">
        <v>20</v>
      </c>
      <c r="C240">
        <v>1</v>
      </c>
    </row>
    <row r="241" spans="1:3" x14ac:dyDescent="0.2">
      <c r="A241" t="s">
        <v>24</v>
      </c>
      <c r="B241" t="s">
        <v>20</v>
      </c>
      <c r="C241">
        <v>0</v>
      </c>
    </row>
    <row r="242" spans="1:3" x14ac:dyDescent="0.2">
      <c r="A242" t="s">
        <v>24</v>
      </c>
      <c r="B242" t="s">
        <v>19</v>
      </c>
      <c r="C242">
        <v>1</v>
      </c>
    </row>
    <row r="243" spans="1:3" x14ac:dyDescent="0.2">
      <c r="A243" t="s">
        <v>22</v>
      </c>
      <c r="B243" t="s">
        <v>18</v>
      </c>
      <c r="C243">
        <v>1</v>
      </c>
    </row>
    <row r="244" spans="1:3" x14ac:dyDescent="0.2">
      <c r="A244" t="s">
        <v>22</v>
      </c>
      <c r="B244" t="s">
        <v>18</v>
      </c>
      <c r="C244">
        <v>0</v>
      </c>
    </row>
    <row r="245" spans="1:3" x14ac:dyDescent="0.2">
      <c r="A245" t="s">
        <v>22</v>
      </c>
      <c r="B245" t="s">
        <v>18</v>
      </c>
      <c r="C245">
        <v>1</v>
      </c>
    </row>
    <row r="246" spans="1:3" x14ac:dyDescent="0.2">
      <c r="A246" t="s">
        <v>23</v>
      </c>
      <c r="B246" t="s">
        <v>18</v>
      </c>
      <c r="C246">
        <v>0</v>
      </c>
    </row>
    <row r="247" spans="1:3" x14ac:dyDescent="0.2">
      <c r="A247" t="s">
        <v>23</v>
      </c>
      <c r="B247" t="s">
        <v>18</v>
      </c>
      <c r="C247">
        <v>1</v>
      </c>
    </row>
    <row r="248" spans="1:3" x14ac:dyDescent="0.2">
      <c r="A248" t="s">
        <v>24</v>
      </c>
      <c r="B248" t="s">
        <v>19</v>
      </c>
      <c r="C248">
        <v>1</v>
      </c>
    </row>
    <row r="249" spans="1:3" x14ac:dyDescent="0.2">
      <c r="A249" t="s">
        <v>22</v>
      </c>
      <c r="B249" t="s">
        <v>19</v>
      </c>
      <c r="C249">
        <v>1</v>
      </c>
    </row>
    <row r="250" spans="1:3" x14ac:dyDescent="0.2">
      <c r="A250" t="s">
        <v>23</v>
      </c>
      <c r="B250" t="s">
        <v>18</v>
      </c>
      <c r="C250">
        <v>1</v>
      </c>
    </row>
    <row r="251" spans="1:3" x14ac:dyDescent="0.2">
      <c r="A251" t="s">
        <v>22</v>
      </c>
      <c r="B251" t="s">
        <v>18</v>
      </c>
      <c r="C251"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1651-A63B-2C4A-AF8A-AAC9CA6E3C53}">
  <dimension ref="A1:D133"/>
  <sheetViews>
    <sheetView workbookViewId="0">
      <selection activeCell="M36" sqref="M36"/>
    </sheetView>
  </sheetViews>
  <sheetFormatPr baseColWidth="10" defaultRowHeight="15" x14ac:dyDescent="0.2"/>
  <sheetData>
    <row r="1" spans="1:4" x14ac:dyDescent="0.2">
      <c r="A1" s="3" t="s">
        <v>209</v>
      </c>
      <c r="B1" s="3" t="s">
        <v>13</v>
      </c>
      <c r="C1" s="3" t="s">
        <v>210</v>
      </c>
      <c r="D1" s="3" t="s">
        <v>13</v>
      </c>
    </row>
    <row r="2" spans="1:4" x14ac:dyDescent="0.2">
      <c r="A2" s="3">
        <v>46</v>
      </c>
      <c r="B2" s="3">
        <v>0</v>
      </c>
      <c r="C2" s="3">
        <v>56</v>
      </c>
      <c r="D2" s="3">
        <v>1</v>
      </c>
    </row>
    <row r="3" spans="1:4" x14ac:dyDescent="0.2">
      <c r="A3" s="3">
        <v>56</v>
      </c>
      <c r="B3" s="3">
        <v>0</v>
      </c>
      <c r="C3" s="3">
        <v>69</v>
      </c>
      <c r="D3" s="3">
        <v>1</v>
      </c>
    </row>
    <row r="4" spans="1:4" x14ac:dyDescent="0.2">
      <c r="A4" s="3">
        <v>40</v>
      </c>
      <c r="B4" s="3">
        <v>0</v>
      </c>
      <c r="C4" s="3">
        <v>32</v>
      </c>
      <c r="D4" s="3">
        <v>1</v>
      </c>
    </row>
    <row r="5" spans="1:4" x14ac:dyDescent="0.2">
      <c r="A5" s="3">
        <v>28</v>
      </c>
      <c r="B5" s="3">
        <v>0</v>
      </c>
      <c r="C5" s="3">
        <v>60</v>
      </c>
      <c r="D5" s="3">
        <v>1</v>
      </c>
    </row>
    <row r="6" spans="1:4" x14ac:dyDescent="0.2">
      <c r="A6" s="3">
        <v>28</v>
      </c>
      <c r="B6" s="3">
        <v>0</v>
      </c>
      <c r="C6" s="3">
        <v>25</v>
      </c>
      <c r="D6" s="3">
        <v>1</v>
      </c>
    </row>
    <row r="7" spans="1:4" x14ac:dyDescent="0.2">
      <c r="A7" s="3">
        <v>41</v>
      </c>
      <c r="B7" s="3">
        <v>0</v>
      </c>
      <c r="C7" s="3">
        <v>38</v>
      </c>
      <c r="D7" s="3">
        <v>1</v>
      </c>
    </row>
    <row r="8" spans="1:4" x14ac:dyDescent="0.2">
      <c r="A8" s="3">
        <v>57</v>
      </c>
      <c r="B8" s="3">
        <v>0</v>
      </c>
      <c r="C8" s="3">
        <v>36</v>
      </c>
      <c r="D8" s="3">
        <v>1</v>
      </c>
    </row>
    <row r="9" spans="1:4" x14ac:dyDescent="0.2">
      <c r="A9" s="3">
        <v>20</v>
      </c>
      <c r="B9" s="3">
        <v>0</v>
      </c>
      <c r="C9" s="3">
        <v>53</v>
      </c>
      <c r="D9" s="3">
        <v>1</v>
      </c>
    </row>
    <row r="10" spans="1:4" x14ac:dyDescent="0.2">
      <c r="A10" s="3">
        <v>39</v>
      </c>
      <c r="B10" s="3">
        <v>0</v>
      </c>
      <c r="C10" s="3">
        <v>41</v>
      </c>
      <c r="D10" s="3">
        <v>1</v>
      </c>
    </row>
    <row r="11" spans="1:4" x14ac:dyDescent="0.2">
      <c r="A11" s="3">
        <v>61</v>
      </c>
      <c r="B11" s="3">
        <v>0</v>
      </c>
      <c r="C11" s="3">
        <v>19</v>
      </c>
      <c r="D11" s="3">
        <v>1</v>
      </c>
    </row>
    <row r="12" spans="1:4" x14ac:dyDescent="0.2">
      <c r="A12" s="3">
        <v>19</v>
      </c>
      <c r="B12" s="3">
        <v>0</v>
      </c>
      <c r="C12" s="3">
        <v>41</v>
      </c>
      <c r="D12" s="3">
        <v>1</v>
      </c>
    </row>
    <row r="13" spans="1:4" x14ac:dyDescent="0.2">
      <c r="A13" s="3">
        <v>38</v>
      </c>
      <c r="B13" s="3">
        <v>0</v>
      </c>
      <c r="C13" s="3">
        <v>47</v>
      </c>
      <c r="D13" s="3">
        <v>1</v>
      </c>
    </row>
    <row r="14" spans="1:4" x14ac:dyDescent="0.2">
      <c r="A14" s="3">
        <v>50</v>
      </c>
      <c r="B14" s="3">
        <v>0</v>
      </c>
      <c r="C14" s="3">
        <v>55</v>
      </c>
      <c r="D14" s="3">
        <v>1</v>
      </c>
    </row>
    <row r="15" spans="1:4" x14ac:dyDescent="0.2">
      <c r="A15" s="3">
        <v>29</v>
      </c>
      <c r="B15" s="3">
        <v>0</v>
      </c>
      <c r="C15" s="3">
        <v>42</v>
      </c>
      <c r="D15" s="3">
        <v>1</v>
      </c>
    </row>
    <row r="16" spans="1:4" x14ac:dyDescent="0.2">
      <c r="A16" s="3">
        <v>39</v>
      </c>
      <c r="B16" s="3">
        <v>0</v>
      </c>
      <c r="C16" s="3">
        <v>66</v>
      </c>
      <c r="D16" s="3">
        <v>1</v>
      </c>
    </row>
    <row r="17" spans="1:4" x14ac:dyDescent="0.2">
      <c r="A17" s="3">
        <v>61</v>
      </c>
      <c r="B17" s="3">
        <v>0</v>
      </c>
      <c r="C17" s="3">
        <v>45</v>
      </c>
      <c r="D17" s="3">
        <v>1</v>
      </c>
    </row>
    <row r="18" spans="1:4" x14ac:dyDescent="0.2">
      <c r="A18" s="3">
        <v>44</v>
      </c>
      <c r="B18" s="3">
        <v>0</v>
      </c>
      <c r="C18" s="3">
        <v>33</v>
      </c>
      <c r="D18" s="3">
        <v>1</v>
      </c>
    </row>
    <row r="19" spans="1:4" x14ac:dyDescent="0.2">
      <c r="A19" s="3">
        <v>59</v>
      </c>
      <c r="B19" s="3">
        <v>0</v>
      </c>
      <c r="C19" s="3">
        <v>61</v>
      </c>
      <c r="D19" s="3">
        <v>1</v>
      </c>
    </row>
    <row r="20" spans="1:4" x14ac:dyDescent="0.2">
      <c r="A20" s="3">
        <v>32</v>
      </c>
      <c r="B20" s="3">
        <v>0</v>
      </c>
      <c r="C20" s="3">
        <v>20</v>
      </c>
      <c r="D20" s="3">
        <v>1</v>
      </c>
    </row>
    <row r="21" spans="1:4" x14ac:dyDescent="0.2">
      <c r="A21" s="3">
        <v>64</v>
      </c>
      <c r="B21" s="3">
        <v>0</v>
      </c>
      <c r="C21" s="3">
        <v>54</v>
      </c>
      <c r="D21" s="3">
        <v>1</v>
      </c>
    </row>
    <row r="22" spans="1:4" x14ac:dyDescent="0.2">
      <c r="A22" s="3">
        <v>68</v>
      </c>
      <c r="B22" s="3">
        <v>0</v>
      </c>
      <c r="C22" s="3">
        <v>68</v>
      </c>
      <c r="D22" s="3">
        <v>1</v>
      </c>
    </row>
    <row r="23" spans="1:4" x14ac:dyDescent="0.2">
      <c r="A23" s="3">
        <v>69</v>
      </c>
      <c r="B23" s="3">
        <v>0</v>
      </c>
      <c r="C23" s="3">
        <v>38</v>
      </c>
      <c r="D23" s="3">
        <v>1</v>
      </c>
    </row>
    <row r="24" spans="1:4" x14ac:dyDescent="0.2">
      <c r="A24" s="3">
        <v>24</v>
      </c>
      <c r="B24" s="3">
        <v>0</v>
      </c>
      <c r="C24" s="3">
        <v>35</v>
      </c>
      <c r="D24" s="3">
        <v>1</v>
      </c>
    </row>
    <row r="25" spans="1:4" x14ac:dyDescent="0.2">
      <c r="A25" s="3">
        <v>26</v>
      </c>
      <c r="B25" s="3">
        <v>0</v>
      </c>
      <c r="C25" s="3">
        <v>42</v>
      </c>
      <c r="D25" s="3">
        <v>1</v>
      </c>
    </row>
    <row r="26" spans="1:4" x14ac:dyDescent="0.2">
      <c r="A26" s="3">
        <v>56</v>
      </c>
      <c r="B26" s="3">
        <v>0</v>
      </c>
      <c r="C26" s="3">
        <v>19</v>
      </c>
      <c r="D26" s="3">
        <v>1</v>
      </c>
    </row>
    <row r="27" spans="1:4" x14ac:dyDescent="0.2">
      <c r="A27" s="3">
        <v>21</v>
      </c>
      <c r="B27" s="3">
        <v>0</v>
      </c>
      <c r="C27" s="3">
        <v>37</v>
      </c>
      <c r="D27" s="3">
        <v>1</v>
      </c>
    </row>
    <row r="28" spans="1:4" x14ac:dyDescent="0.2">
      <c r="A28" s="3">
        <v>31</v>
      </c>
      <c r="B28" s="3">
        <v>0</v>
      </c>
      <c r="C28" s="3">
        <v>24</v>
      </c>
      <c r="D28" s="3">
        <v>1</v>
      </c>
    </row>
    <row r="29" spans="1:4" x14ac:dyDescent="0.2">
      <c r="A29" s="3">
        <v>67</v>
      </c>
      <c r="B29" s="3">
        <v>0</v>
      </c>
      <c r="C29" s="3">
        <v>25</v>
      </c>
      <c r="D29" s="3">
        <v>1</v>
      </c>
    </row>
    <row r="30" spans="1:4" x14ac:dyDescent="0.2">
      <c r="A30" s="3">
        <v>26</v>
      </c>
      <c r="B30" s="3">
        <v>0</v>
      </c>
      <c r="C30" s="3">
        <v>52</v>
      </c>
      <c r="D30" s="3">
        <v>1</v>
      </c>
    </row>
    <row r="31" spans="1:4" x14ac:dyDescent="0.2">
      <c r="A31" s="3">
        <v>43</v>
      </c>
      <c r="B31" s="3">
        <v>0</v>
      </c>
      <c r="C31" s="3">
        <v>34</v>
      </c>
      <c r="D31" s="3">
        <v>1</v>
      </c>
    </row>
    <row r="32" spans="1:4" x14ac:dyDescent="0.2">
      <c r="A32" s="3">
        <v>45</v>
      </c>
      <c r="B32" s="3">
        <v>0</v>
      </c>
      <c r="C32" s="3">
        <v>53</v>
      </c>
      <c r="D32" s="3">
        <v>1</v>
      </c>
    </row>
    <row r="33" spans="1:4" x14ac:dyDescent="0.2">
      <c r="A33" s="3">
        <v>64</v>
      </c>
      <c r="B33" s="3">
        <v>0</v>
      </c>
      <c r="C33" s="3">
        <v>67</v>
      </c>
      <c r="D33" s="3">
        <v>1</v>
      </c>
    </row>
    <row r="34" spans="1:4" x14ac:dyDescent="0.2">
      <c r="A34" s="3">
        <v>61</v>
      </c>
      <c r="B34" s="3">
        <v>0</v>
      </c>
      <c r="C34" s="3">
        <v>57</v>
      </c>
      <c r="D34" s="3">
        <v>1</v>
      </c>
    </row>
    <row r="35" spans="1:4" x14ac:dyDescent="0.2">
      <c r="A35" s="3">
        <v>64</v>
      </c>
      <c r="B35" s="3">
        <v>0</v>
      </c>
      <c r="C35" s="3">
        <v>19</v>
      </c>
      <c r="D35" s="3">
        <v>1</v>
      </c>
    </row>
    <row r="36" spans="1:4" x14ac:dyDescent="0.2">
      <c r="A36" s="3">
        <v>31</v>
      </c>
      <c r="B36" s="3">
        <v>0</v>
      </c>
      <c r="C36" s="3">
        <v>59</v>
      </c>
      <c r="D36" s="3">
        <v>1</v>
      </c>
    </row>
    <row r="37" spans="1:4" x14ac:dyDescent="0.2">
      <c r="A37" s="3">
        <v>21</v>
      </c>
      <c r="B37" s="3">
        <v>0</v>
      </c>
      <c r="C37" s="3">
        <v>21</v>
      </c>
      <c r="D37" s="3">
        <v>1</v>
      </c>
    </row>
    <row r="38" spans="1:4" x14ac:dyDescent="0.2">
      <c r="A38" s="3">
        <v>23</v>
      </c>
      <c r="B38" s="3">
        <v>0</v>
      </c>
      <c r="C38" s="3">
        <v>46</v>
      </c>
      <c r="D38" s="3">
        <v>1</v>
      </c>
    </row>
    <row r="39" spans="1:4" x14ac:dyDescent="0.2">
      <c r="A39" s="3">
        <v>61</v>
      </c>
      <c r="B39" s="3">
        <v>0</v>
      </c>
      <c r="C39" s="3">
        <v>35</v>
      </c>
      <c r="D39" s="3">
        <v>1</v>
      </c>
    </row>
    <row r="40" spans="1:4" x14ac:dyDescent="0.2">
      <c r="A40" s="3">
        <v>51</v>
      </c>
      <c r="B40" s="3">
        <v>0</v>
      </c>
      <c r="C40" s="3">
        <v>43</v>
      </c>
      <c r="D40" s="3">
        <v>1</v>
      </c>
    </row>
    <row r="41" spans="1:4" x14ac:dyDescent="0.2">
      <c r="A41" s="3">
        <v>53</v>
      </c>
      <c r="B41" s="3">
        <v>0</v>
      </c>
      <c r="C41" s="3">
        <v>27</v>
      </c>
      <c r="D41" s="3">
        <v>1</v>
      </c>
    </row>
    <row r="42" spans="1:4" x14ac:dyDescent="0.2">
      <c r="A42" s="3">
        <v>65</v>
      </c>
      <c r="B42" s="3">
        <v>0</v>
      </c>
      <c r="C42" s="3">
        <v>31</v>
      </c>
      <c r="D42" s="3">
        <v>1</v>
      </c>
    </row>
    <row r="43" spans="1:4" x14ac:dyDescent="0.2">
      <c r="A43" s="3">
        <v>32</v>
      </c>
      <c r="B43" s="3">
        <v>0</v>
      </c>
      <c r="C43" s="3">
        <v>48</v>
      </c>
      <c r="D43" s="3">
        <v>1</v>
      </c>
    </row>
    <row r="44" spans="1:4" x14ac:dyDescent="0.2">
      <c r="A44" s="3">
        <v>25</v>
      </c>
      <c r="B44" s="3">
        <v>0</v>
      </c>
      <c r="C44" s="3">
        <v>40</v>
      </c>
      <c r="D44" s="3">
        <v>1</v>
      </c>
    </row>
    <row r="45" spans="1:4" x14ac:dyDescent="0.2">
      <c r="A45" s="3">
        <v>31</v>
      </c>
      <c r="B45" s="3">
        <v>0</v>
      </c>
      <c r="C45" s="3">
        <v>33</v>
      </c>
      <c r="D45" s="3">
        <v>1</v>
      </c>
    </row>
    <row r="46" spans="1:4" x14ac:dyDescent="0.2">
      <c r="A46" s="3">
        <v>57</v>
      </c>
      <c r="B46" s="3">
        <v>0</v>
      </c>
      <c r="C46" s="3">
        <v>35</v>
      </c>
      <c r="D46" s="3">
        <v>1</v>
      </c>
    </row>
    <row r="47" spans="1:4" x14ac:dyDescent="0.2">
      <c r="A47" s="3">
        <v>38</v>
      </c>
      <c r="B47" s="3">
        <v>0</v>
      </c>
      <c r="C47" s="3">
        <v>64</v>
      </c>
      <c r="D47" s="3">
        <v>1</v>
      </c>
    </row>
    <row r="48" spans="1:4" x14ac:dyDescent="0.2">
      <c r="A48" s="3">
        <v>62</v>
      </c>
      <c r="B48" s="3">
        <v>0</v>
      </c>
      <c r="C48" s="3">
        <v>42</v>
      </c>
      <c r="D48" s="3">
        <v>1</v>
      </c>
    </row>
    <row r="49" spans="1:4" x14ac:dyDescent="0.2">
      <c r="A49" s="3">
        <v>41</v>
      </c>
      <c r="B49" s="3">
        <v>0</v>
      </c>
      <c r="C49" s="3">
        <v>62</v>
      </c>
      <c r="D49" s="3">
        <v>1</v>
      </c>
    </row>
    <row r="50" spans="1:4" x14ac:dyDescent="0.2">
      <c r="A50" s="3">
        <v>43</v>
      </c>
      <c r="B50" s="3">
        <v>0</v>
      </c>
      <c r="C50" s="3">
        <v>58</v>
      </c>
      <c r="D50" s="3">
        <v>1</v>
      </c>
    </row>
    <row r="51" spans="1:4" x14ac:dyDescent="0.2">
      <c r="A51" s="3">
        <v>32</v>
      </c>
      <c r="B51" s="3">
        <v>0</v>
      </c>
      <c r="C51" s="3">
        <v>46</v>
      </c>
      <c r="D51" s="3">
        <v>1</v>
      </c>
    </row>
    <row r="52" spans="1:4" x14ac:dyDescent="0.2">
      <c r="A52" s="3">
        <v>62</v>
      </c>
      <c r="B52" s="3">
        <v>0</v>
      </c>
      <c r="C52" s="3">
        <v>18</v>
      </c>
      <c r="D52" s="3">
        <v>1</v>
      </c>
    </row>
    <row r="53" spans="1:4" x14ac:dyDescent="0.2">
      <c r="A53" s="3">
        <v>41</v>
      </c>
      <c r="B53" s="3">
        <v>0</v>
      </c>
      <c r="C53" s="3">
        <v>42</v>
      </c>
      <c r="D53" s="3">
        <v>1</v>
      </c>
    </row>
    <row r="54" spans="1:4" x14ac:dyDescent="0.2">
      <c r="A54" s="3">
        <v>18</v>
      </c>
      <c r="B54" s="3">
        <v>0</v>
      </c>
      <c r="C54" s="3">
        <v>24</v>
      </c>
      <c r="D54" s="3">
        <v>1</v>
      </c>
    </row>
    <row r="55" spans="1:4" x14ac:dyDescent="0.2">
      <c r="A55" s="3">
        <v>61</v>
      </c>
      <c r="B55" s="3">
        <v>0</v>
      </c>
      <c r="C55" s="3">
        <v>26</v>
      </c>
      <c r="D55" s="3">
        <v>1</v>
      </c>
    </row>
    <row r="56" spans="1:4" x14ac:dyDescent="0.2">
      <c r="A56" s="3">
        <v>41</v>
      </c>
      <c r="B56" s="3">
        <v>0</v>
      </c>
      <c r="C56" s="3">
        <v>25</v>
      </c>
      <c r="D56" s="3">
        <v>1</v>
      </c>
    </row>
    <row r="57" spans="1:4" x14ac:dyDescent="0.2">
      <c r="A57" s="3">
        <v>28</v>
      </c>
      <c r="B57" s="3">
        <v>0</v>
      </c>
      <c r="C57" s="3">
        <v>25</v>
      </c>
      <c r="D57" s="3">
        <v>1</v>
      </c>
    </row>
    <row r="58" spans="1:4" x14ac:dyDescent="0.2">
      <c r="A58" s="3">
        <v>68</v>
      </c>
      <c r="B58" s="3">
        <v>0</v>
      </c>
      <c r="C58" s="3">
        <v>52</v>
      </c>
      <c r="D58" s="3">
        <v>1</v>
      </c>
    </row>
    <row r="59" spans="1:4" x14ac:dyDescent="0.2">
      <c r="A59" s="3">
        <v>34</v>
      </c>
      <c r="B59" s="3">
        <v>0</v>
      </c>
      <c r="C59" s="3">
        <v>50</v>
      </c>
      <c r="D59" s="3">
        <v>1</v>
      </c>
    </row>
    <row r="60" spans="1:4" x14ac:dyDescent="0.2">
      <c r="A60" s="3">
        <v>52</v>
      </c>
      <c r="B60" s="3">
        <v>0</v>
      </c>
      <c r="C60" s="3">
        <v>22</v>
      </c>
      <c r="D60" s="3">
        <v>1</v>
      </c>
    </row>
    <row r="61" spans="1:4" x14ac:dyDescent="0.2">
      <c r="A61" s="3">
        <v>59</v>
      </c>
      <c r="B61" s="3">
        <v>0</v>
      </c>
      <c r="C61" s="3">
        <v>45</v>
      </c>
      <c r="D61" s="3">
        <v>1</v>
      </c>
    </row>
    <row r="62" spans="1:4" x14ac:dyDescent="0.2">
      <c r="A62" s="3">
        <v>56</v>
      </c>
      <c r="B62" s="3">
        <v>0</v>
      </c>
      <c r="C62" s="3">
        <v>65</v>
      </c>
      <c r="D62" s="3">
        <v>1</v>
      </c>
    </row>
    <row r="63" spans="1:4" x14ac:dyDescent="0.2">
      <c r="A63" s="3">
        <v>58</v>
      </c>
      <c r="B63" s="3">
        <v>0</v>
      </c>
      <c r="C63" s="3">
        <v>40</v>
      </c>
      <c r="D63" s="3">
        <v>1</v>
      </c>
    </row>
    <row r="64" spans="1:4" x14ac:dyDescent="0.2">
      <c r="A64" s="3">
        <v>24</v>
      </c>
      <c r="B64" s="3">
        <v>0</v>
      </c>
      <c r="C64" s="3">
        <v>41</v>
      </c>
      <c r="D64" s="3">
        <v>1</v>
      </c>
    </row>
    <row r="65" spans="1:4" x14ac:dyDescent="0.2">
      <c r="A65" s="3">
        <v>26</v>
      </c>
      <c r="B65" s="3">
        <v>0</v>
      </c>
      <c r="C65" s="3">
        <v>54</v>
      </c>
      <c r="D65" s="3">
        <v>1</v>
      </c>
    </row>
    <row r="66" spans="1:4" x14ac:dyDescent="0.2">
      <c r="A66" s="3">
        <v>25</v>
      </c>
      <c r="B66" s="3">
        <v>0</v>
      </c>
      <c r="C66" s="3">
        <v>52</v>
      </c>
      <c r="D66" s="3">
        <v>1</v>
      </c>
    </row>
    <row r="67" spans="1:4" x14ac:dyDescent="0.2">
      <c r="A67" s="3">
        <v>29</v>
      </c>
      <c r="B67" s="3">
        <v>0</v>
      </c>
      <c r="C67" s="3">
        <v>61</v>
      </c>
      <c r="D67" s="3">
        <v>1</v>
      </c>
    </row>
    <row r="68" spans="1:4" x14ac:dyDescent="0.2">
      <c r="A68" s="3">
        <v>51</v>
      </c>
      <c r="B68" s="3">
        <v>0</v>
      </c>
      <c r="C68" s="3">
        <v>39</v>
      </c>
      <c r="D68" s="3">
        <v>1</v>
      </c>
    </row>
    <row r="69" spans="1:4" x14ac:dyDescent="0.2">
      <c r="A69" s="3">
        <v>50</v>
      </c>
      <c r="B69" s="3">
        <v>0</v>
      </c>
      <c r="C69" s="3">
        <v>44</v>
      </c>
      <c r="D69" s="3">
        <v>1</v>
      </c>
    </row>
    <row r="70" spans="1:4" x14ac:dyDescent="0.2">
      <c r="A70" s="3">
        <v>57</v>
      </c>
      <c r="B70" s="3">
        <v>0</v>
      </c>
      <c r="C70" s="3">
        <v>52</v>
      </c>
      <c r="D70" s="3">
        <v>1</v>
      </c>
    </row>
    <row r="71" spans="1:4" x14ac:dyDescent="0.2">
      <c r="A71" s="3">
        <v>52</v>
      </c>
      <c r="B71" s="3">
        <v>0</v>
      </c>
      <c r="C71" s="3">
        <v>31</v>
      </c>
      <c r="D71" s="3">
        <v>1</v>
      </c>
    </row>
    <row r="72" spans="1:4" x14ac:dyDescent="0.2">
      <c r="A72" s="3">
        <v>18</v>
      </c>
      <c r="B72" s="3">
        <v>0</v>
      </c>
      <c r="C72" s="3">
        <v>56</v>
      </c>
      <c r="D72" s="3">
        <v>1</v>
      </c>
    </row>
    <row r="73" spans="1:4" x14ac:dyDescent="0.2">
      <c r="A73" s="3">
        <v>54</v>
      </c>
      <c r="B73" s="3">
        <v>0</v>
      </c>
      <c r="C73" s="3">
        <v>44</v>
      </c>
      <c r="D73" s="3">
        <v>1</v>
      </c>
    </row>
    <row r="74" spans="1:4" x14ac:dyDescent="0.2">
      <c r="A74" s="3">
        <v>64</v>
      </c>
      <c r="B74" s="3">
        <v>0</v>
      </c>
      <c r="C74" s="3">
        <v>26</v>
      </c>
      <c r="D74" s="3">
        <v>1</v>
      </c>
    </row>
    <row r="75" spans="1:4" x14ac:dyDescent="0.2">
      <c r="A75" s="3">
        <v>20</v>
      </c>
      <c r="B75" s="3">
        <v>0</v>
      </c>
      <c r="C75" s="3">
        <v>43</v>
      </c>
      <c r="D75" s="3">
        <v>1</v>
      </c>
    </row>
    <row r="76" spans="1:4" x14ac:dyDescent="0.2">
      <c r="A76" s="3">
        <v>18</v>
      </c>
      <c r="B76" s="3">
        <v>0</v>
      </c>
      <c r="C76" s="3">
        <v>68</v>
      </c>
      <c r="D76" s="3">
        <v>1</v>
      </c>
    </row>
    <row r="77" spans="1:4" x14ac:dyDescent="0.2">
      <c r="A77" s="3">
        <v>22</v>
      </c>
      <c r="B77" s="3">
        <v>0</v>
      </c>
      <c r="C77" s="3">
        <v>66</v>
      </c>
      <c r="D77" s="3">
        <v>1</v>
      </c>
    </row>
    <row r="78" spans="1:4" x14ac:dyDescent="0.2">
      <c r="A78" s="3">
        <v>43</v>
      </c>
      <c r="B78" s="3">
        <v>0</v>
      </c>
      <c r="C78" s="3">
        <v>21</v>
      </c>
      <c r="D78" s="3">
        <v>1</v>
      </c>
    </row>
    <row r="79" spans="1:4" x14ac:dyDescent="0.2">
      <c r="A79" s="3">
        <v>31</v>
      </c>
      <c r="B79" s="3">
        <v>0</v>
      </c>
      <c r="C79" s="3">
        <v>54</v>
      </c>
      <c r="D79" s="3">
        <v>1</v>
      </c>
    </row>
    <row r="80" spans="1:4" x14ac:dyDescent="0.2">
      <c r="A80" s="3">
        <v>32</v>
      </c>
      <c r="B80" s="3">
        <v>0</v>
      </c>
      <c r="C80" s="3">
        <v>40</v>
      </c>
      <c r="D80" s="3">
        <v>1</v>
      </c>
    </row>
    <row r="81" spans="1:4" x14ac:dyDescent="0.2">
      <c r="A81" s="3">
        <v>32</v>
      </c>
      <c r="B81" s="3">
        <v>0</v>
      </c>
      <c r="C81" s="3">
        <v>56</v>
      </c>
      <c r="D81" s="3">
        <v>1</v>
      </c>
    </row>
    <row r="82" spans="1:4" x14ac:dyDescent="0.2">
      <c r="A82" s="3">
        <v>59</v>
      </c>
      <c r="B82" s="3">
        <v>0</v>
      </c>
      <c r="C82" s="3">
        <v>62</v>
      </c>
      <c r="D82" s="3">
        <v>1</v>
      </c>
    </row>
    <row r="83" spans="1:4" x14ac:dyDescent="0.2">
      <c r="A83" s="3">
        <v>30</v>
      </c>
      <c r="B83" s="3">
        <v>0</v>
      </c>
      <c r="C83" s="3">
        <v>32</v>
      </c>
      <c r="D83" s="3">
        <v>1</v>
      </c>
    </row>
    <row r="84" spans="1:4" x14ac:dyDescent="0.2">
      <c r="A84" s="3">
        <v>49</v>
      </c>
      <c r="B84" s="3">
        <v>0</v>
      </c>
      <c r="C84" s="3">
        <v>60</v>
      </c>
      <c r="D84" s="3">
        <v>1</v>
      </c>
    </row>
    <row r="85" spans="1:4" x14ac:dyDescent="0.2">
      <c r="A85" s="3">
        <v>56</v>
      </c>
      <c r="B85" s="3">
        <v>0</v>
      </c>
      <c r="C85" s="3">
        <v>39</v>
      </c>
      <c r="D85" s="3">
        <v>1</v>
      </c>
    </row>
    <row r="86" spans="1:4" x14ac:dyDescent="0.2">
      <c r="A86" s="3">
        <v>69</v>
      </c>
      <c r="B86" s="3">
        <v>0</v>
      </c>
      <c r="C86" s="3">
        <v>45</v>
      </c>
      <c r="D86" s="3">
        <v>1</v>
      </c>
    </row>
    <row r="87" spans="1:4" x14ac:dyDescent="0.2">
      <c r="A87" s="3">
        <v>49</v>
      </c>
      <c r="B87" s="3">
        <v>0</v>
      </c>
      <c r="C87" s="3">
        <v>45</v>
      </c>
      <c r="D87" s="3">
        <v>1</v>
      </c>
    </row>
    <row r="88" spans="1:4" x14ac:dyDescent="0.2">
      <c r="A88" s="3">
        <v>47</v>
      </c>
      <c r="B88" s="3">
        <v>0</v>
      </c>
      <c r="C88" s="3">
        <v>61</v>
      </c>
      <c r="D88" s="3">
        <v>1</v>
      </c>
    </row>
    <row r="89" spans="1:4" x14ac:dyDescent="0.2">
      <c r="A89" s="3">
        <v>46</v>
      </c>
      <c r="B89" s="3">
        <v>0</v>
      </c>
      <c r="C89" s="3">
        <v>61</v>
      </c>
      <c r="D89" s="3">
        <v>1</v>
      </c>
    </row>
    <row r="90" spans="1:4" x14ac:dyDescent="0.2">
      <c r="A90" s="3">
        <v>53</v>
      </c>
      <c r="B90" s="3">
        <v>0</v>
      </c>
      <c r="C90" s="3">
        <v>28</v>
      </c>
      <c r="D90" s="3">
        <v>1</v>
      </c>
    </row>
    <row r="91" spans="1:4" x14ac:dyDescent="0.2">
      <c r="A91" s="3">
        <v>30</v>
      </c>
      <c r="B91" s="3">
        <v>0</v>
      </c>
      <c r="C91" s="3">
        <v>18</v>
      </c>
      <c r="D91" s="3">
        <v>1</v>
      </c>
    </row>
    <row r="92" spans="1:4" x14ac:dyDescent="0.2">
      <c r="A92" s="3">
        <v>49</v>
      </c>
      <c r="B92" s="3">
        <v>0</v>
      </c>
      <c r="C92" s="3">
        <v>30</v>
      </c>
      <c r="D92" s="3">
        <v>1</v>
      </c>
    </row>
    <row r="93" spans="1:4" x14ac:dyDescent="0.2">
      <c r="A93" s="3">
        <v>24</v>
      </c>
      <c r="B93" s="3">
        <v>0</v>
      </c>
      <c r="C93" s="3">
        <v>56</v>
      </c>
      <c r="D93" s="3">
        <v>1</v>
      </c>
    </row>
    <row r="94" spans="1:4" x14ac:dyDescent="0.2">
      <c r="A94" s="3">
        <v>68</v>
      </c>
      <c r="B94" s="3">
        <v>0</v>
      </c>
      <c r="C94" s="3">
        <v>44</v>
      </c>
      <c r="D94" s="3">
        <v>1</v>
      </c>
    </row>
    <row r="95" spans="1:4" x14ac:dyDescent="0.2">
      <c r="A95" s="3">
        <v>45</v>
      </c>
      <c r="B95" s="3">
        <v>0</v>
      </c>
      <c r="C95" s="3">
        <v>68</v>
      </c>
      <c r="D95" s="3">
        <v>1</v>
      </c>
    </row>
    <row r="96" spans="1:4" x14ac:dyDescent="0.2">
      <c r="A96" s="3">
        <v>19</v>
      </c>
      <c r="B96" s="3">
        <v>0</v>
      </c>
      <c r="C96" s="3">
        <v>59</v>
      </c>
      <c r="D96" s="3">
        <v>1</v>
      </c>
    </row>
    <row r="97" spans="1:4" x14ac:dyDescent="0.2">
      <c r="A97" s="3">
        <v>59</v>
      </c>
      <c r="B97" s="3">
        <v>0</v>
      </c>
      <c r="C97" s="3">
        <v>61</v>
      </c>
      <c r="D97" s="3">
        <v>1</v>
      </c>
    </row>
    <row r="98" spans="1:4" x14ac:dyDescent="0.2">
      <c r="A98" s="3">
        <v>62</v>
      </c>
      <c r="B98" s="3">
        <v>0</v>
      </c>
      <c r="C98" s="3">
        <v>32</v>
      </c>
      <c r="D98" s="3">
        <v>1</v>
      </c>
    </row>
    <row r="99" spans="1:4" x14ac:dyDescent="0.2">
      <c r="A99" s="3">
        <v>23</v>
      </c>
      <c r="B99" s="3">
        <v>0</v>
      </c>
      <c r="C99" s="3">
        <v>49</v>
      </c>
      <c r="D99" s="3">
        <v>1</v>
      </c>
    </row>
    <row r="100" spans="1:4" x14ac:dyDescent="0.2">
      <c r="A100" s="3">
        <v>37</v>
      </c>
      <c r="B100" s="3">
        <v>0</v>
      </c>
      <c r="C100" s="3">
        <v>49</v>
      </c>
      <c r="D100" s="3">
        <v>1</v>
      </c>
    </row>
    <row r="101" spans="1:4" x14ac:dyDescent="0.2">
      <c r="A101" s="3">
        <v>47</v>
      </c>
      <c r="B101" s="3">
        <v>0</v>
      </c>
      <c r="C101" s="3">
        <v>41</v>
      </c>
      <c r="D101" s="3">
        <v>1</v>
      </c>
    </row>
    <row r="102" spans="1:4" x14ac:dyDescent="0.2">
      <c r="A102" s="3">
        <v>45</v>
      </c>
      <c r="B102" s="3">
        <v>0</v>
      </c>
      <c r="C102" s="3">
        <v>66</v>
      </c>
      <c r="D102" s="3">
        <v>1</v>
      </c>
    </row>
    <row r="103" spans="1:4" x14ac:dyDescent="0.2">
      <c r="A103" s="3">
        <v>42</v>
      </c>
      <c r="B103" s="3">
        <v>0</v>
      </c>
      <c r="C103" s="3">
        <v>69</v>
      </c>
      <c r="D103" s="3">
        <v>1</v>
      </c>
    </row>
    <row r="104" spans="1:4" x14ac:dyDescent="0.2">
      <c r="A104" s="3">
        <v>56</v>
      </c>
      <c r="B104" s="3">
        <v>0</v>
      </c>
      <c r="C104" s="3">
        <v>19</v>
      </c>
      <c r="D104" s="3">
        <v>1</v>
      </c>
    </row>
    <row r="105" spans="1:4" x14ac:dyDescent="0.2">
      <c r="A105" s="3">
        <v>50</v>
      </c>
      <c r="B105" s="3">
        <v>0</v>
      </c>
      <c r="C105" s="3">
        <v>20</v>
      </c>
      <c r="D105" s="3">
        <v>1</v>
      </c>
    </row>
    <row r="106" spans="1:4" x14ac:dyDescent="0.2">
      <c r="A106" s="3">
        <v>44</v>
      </c>
      <c r="B106" s="3">
        <v>0</v>
      </c>
      <c r="C106" s="3">
        <v>66</v>
      </c>
      <c r="D106" s="3">
        <v>1</v>
      </c>
    </row>
    <row r="107" spans="1:4" x14ac:dyDescent="0.2">
      <c r="A107" s="3">
        <v>69</v>
      </c>
      <c r="B107" s="3">
        <v>0</v>
      </c>
      <c r="C107" s="3">
        <v>34</v>
      </c>
      <c r="D107" s="3">
        <v>1</v>
      </c>
    </row>
    <row r="108" spans="1:4" x14ac:dyDescent="0.2">
      <c r="A108" s="3">
        <v>58</v>
      </c>
      <c r="B108" s="3">
        <v>0</v>
      </c>
      <c r="C108" s="3">
        <v>19</v>
      </c>
      <c r="D108" s="3">
        <v>1</v>
      </c>
    </row>
    <row r="109" spans="1:4" x14ac:dyDescent="0.2">
      <c r="A109" s="3">
        <v>20</v>
      </c>
      <c r="B109" s="3">
        <v>0</v>
      </c>
      <c r="C109" s="3">
        <v>19</v>
      </c>
      <c r="D109" s="3">
        <v>1</v>
      </c>
    </row>
    <row r="110" spans="1:4" x14ac:dyDescent="0.2">
      <c r="A110" s="3">
        <v>23</v>
      </c>
      <c r="B110" s="3">
        <v>0</v>
      </c>
      <c r="C110" s="3">
        <v>49</v>
      </c>
      <c r="D110" s="3">
        <v>1</v>
      </c>
    </row>
    <row r="111" spans="1:4" x14ac:dyDescent="0.2">
      <c r="A111" s="3">
        <v>25</v>
      </c>
      <c r="B111" s="3">
        <v>0</v>
      </c>
      <c r="C111" s="3">
        <v>50</v>
      </c>
      <c r="D111" s="3">
        <v>1</v>
      </c>
    </row>
    <row r="112" spans="1:4" x14ac:dyDescent="0.2">
      <c r="A112" s="3">
        <v>26</v>
      </c>
      <c r="B112" s="3">
        <v>0</v>
      </c>
      <c r="C112" s="3">
        <v>61</v>
      </c>
      <c r="D112" s="3">
        <v>1</v>
      </c>
    </row>
    <row r="113" spans="1:4" x14ac:dyDescent="0.2">
      <c r="A113" s="3">
        <v>54</v>
      </c>
      <c r="B113" s="3">
        <v>0</v>
      </c>
      <c r="C113" s="3">
        <v>49</v>
      </c>
      <c r="D113" s="3">
        <v>1</v>
      </c>
    </row>
    <row r="114" spans="1:4" x14ac:dyDescent="0.2">
      <c r="A114" s="3">
        <v>50</v>
      </c>
      <c r="B114" s="3">
        <v>0</v>
      </c>
      <c r="C114" s="3">
        <v>23</v>
      </c>
      <c r="D114" s="3">
        <v>1</v>
      </c>
    </row>
    <row r="115" spans="1:4" x14ac:dyDescent="0.2">
      <c r="A115" s="3">
        <v>41</v>
      </c>
      <c r="B115" s="3">
        <v>0</v>
      </c>
      <c r="C115" s="3">
        <v>21</v>
      </c>
      <c r="D115" s="3">
        <v>1</v>
      </c>
    </row>
    <row r="116" spans="1:4" x14ac:dyDescent="0.2">
      <c r="A116" s="3">
        <v>58</v>
      </c>
      <c r="B116" s="3">
        <v>0</v>
      </c>
      <c r="C116" s="3">
        <v>34</v>
      </c>
      <c r="D116" s="3">
        <v>1</v>
      </c>
    </row>
    <row r="117" spans="1:4" x14ac:dyDescent="0.2">
      <c r="A117" s="3">
        <v>69</v>
      </c>
      <c r="B117" s="3">
        <v>0</v>
      </c>
      <c r="C117" s="3">
        <v>55</v>
      </c>
      <c r="D117" s="3">
        <v>1</v>
      </c>
    </row>
    <row r="118" spans="1:4" x14ac:dyDescent="0.2">
      <c r="A118" s="3">
        <v>66</v>
      </c>
      <c r="B118" s="3">
        <v>0</v>
      </c>
      <c r="C118" s="3">
        <v>41</v>
      </c>
      <c r="D118" s="3">
        <v>1</v>
      </c>
    </row>
    <row r="119" spans="1:4" x14ac:dyDescent="0.2">
      <c r="A119" s="3">
        <v>29</v>
      </c>
      <c r="B119" s="3">
        <v>0</v>
      </c>
      <c r="C119" s="3">
        <v>22</v>
      </c>
      <c r="D119" s="3">
        <v>1</v>
      </c>
    </row>
    <row r="120" spans="1:4" x14ac:dyDescent="0.2">
      <c r="A120" s="3">
        <v>56</v>
      </c>
      <c r="B120" s="3">
        <v>0</v>
      </c>
      <c r="D120" s="3"/>
    </row>
    <row r="121" spans="1:4" x14ac:dyDescent="0.2">
      <c r="A121" s="3">
        <v>54</v>
      </c>
      <c r="B121" s="3">
        <v>0</v>
      </c>
      <c r="D121" s="3"/>
    </row>
    <row r="122" spans="1:4" x14ac:dyDescent="0.2">
      <c r="A122" s="3">
        <v>66</v>
      </c>
      <c r="B122" s="3">
        <v>0</v>
      </c>
      <c r="D122" s="3"/>
    </row>
    <row r="123" spans="1:4" x14ac:dyDescent="0.2">
      <c r="A123" s="3">
        <v>66</v>
      </c>
      <c r="B123" s="3">
        <v>0</v>
      </c>
      <c r="D123" s="3"/>
    </row>
    <row r="124" spans="1:4" x14ac:dyDescent="0.2">
      <c r="A124" s="3">
        <v>45</v>
      </c>
      <c r="B124" s="3">
        <v>0</v>
      </c>
      <c r="D124" s="3"/>
    </row>
    <row r="125" spans="1:4" x14ac:dyDescent="0.2">
      <c r="A125" s="3">
        <v>40</v>
      </c>
      <c r="B125" s="3">
        <v>0</v>
      </c>
      <c r="D125" s="3"/>
    </row>
    <row r="126" spans="1:4" x14ac:dyDescent="0.2">
      <c r="A126" s="3">
        <v>54</v>
      </c>
      <c r="B126" s="3">
        <v>0</v>
      </c>
      <c r="D126" s="3"/>
    </row>
    <row r="127" spans="1:4" x14ac:dyDescent="0.2">
      <c r="A127" s="3">
        <v>18</v>
      </c>
      <c r="B127" s="3">
        <v>0</v>
      </c>
      <c r="D127" s="3"/>
    </row>
    <row r="128" spans="1:4" x14ac:dyDescent="0.2">
      <c r="A128" s="3">
        <v>36</v>
      </c>
      <c r="B128" s="3">
        <v>0</v>
      </c>
      <c r="D128" s="3"/>
    </row>
    <row r="129" spans="1:4" x14ac:dyDescent="0.2">
      <c r="A129" s="3">
        <v>19</v>
      </c>
      <c r="B129" s="3">
        <v>0</v>
      </c>
      <c r="D129" s="3"/>
    </row>
    <row r="130" spans="1:4" x14ac:dyDescent="0.2">
      <c r="A130" s="3">
        <v>43</v>
      </c>
      <c r="B130" s="3">
        <v>0</v>
      </c>
      <c r="D130" s="3"/>
    </row>
    <row r="131" spans="1:4" x14ac:dyDescent="0.2">
      <c r="A131" s="3">
        <v>49</v>
      </c>
      <c r="B131" s="3">
        <v>0</v>
      </c>
      <c r="D131" s="3"/>
    </row>
    <row r="132" spans="1:4" x14ac:dyDescent="0.2">
      <c r="A132" s="3">
        <v>28</v>
      </c>
      <c r="B132" s="3">
        <v>0</v>
      </c>
      <c r="D132" s="3"/>
    </row>
    <row r="133" spans="1:4" x14ac:dyDescent="0.2">
      <c r="A133" s="3">
        <v>69</v>
      </c>
      <c r="B133" s="3">
        <v>0</v>
      </c>
      <c r="D133" s="3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B40E5-BA61-0440-BD73-0056BC14E2E8}">
  <dimension ref="D1:J251"/>
  <sheetViews>
    <sheetView zoomScale="75" workbookViewId="0">
      <selection sqref="A1:B133"/>
    </sheetView>
  </sheetViews>
  <sheetFormatPr baseColWidth="10" defaultRowHeight="15" x14ac:dyDescent="0.2"/>
  <sheetData>
    <row r="1" spans="4:10" x14ac:dyDescent="0.2">
      <c r="D1" s="3" t="s">
        <v>208</v>
      </c>
      <c r="E1" s="3" t="s">
        <v>13</v>
      </c>
      <c r="F1" t="s">
        <v>203</v>
      </c>
      <c r="G1" t="s">
        <v>68</v>
      </c>
      <c r="H1">
        <v>0.03</v>
      </c>
      <c r="I1" t="s">
        <v>202</v>
      </c>
      <c r="J1" t="s">
        <v>13</v>
      </c>
    </row>
    <row r="2" spans="4:10" x14ac:dyDescent="0.2">
      <c r="D2" s="3">
        <v>2</v>
      </c>
      <c r="E2" s="3">
        <v>1</v>
      </c>
      <c r="F2" t="e">
        <f>IF($E2=0,$D2,NA())</f>
        <v>#N/A</v>
      </c>
      <c r="G2" t="e">
        <f ca="1">IF($E2=0,$E2 + (RAND()-0.5)*$H$1, NA())</f>
        <v>#N/A</v>
      </c>
      <c r="I2">
        <f>IF($E2=1,$D2,NA())</f>
        <v>2</v>
      </c>
      <c r="J2">
        <f ca="1">IF($E2=1,$E2 + (RAND()-0.5)*$H$1, NA())</f>
        <v>1.0015781821400966</v>
      </c>
    </row>
    <row r="3" spans="4:10" x14ac:dyDescent="0.2">
      <c r="D3" s="3">
        <v>1</v>
      </c>
      <c r="E3" s="3">
        <v>1</v>
      </c>
      <c r="F3" t="e">
        <f t="shared" ref="F3:F66" si="0">IF($E3=0,$D3,NA())</f>
        <v>#N/A</v>
      </c>
      <c r="G3" t="e">
        <f t="shared" ref="G3:G66" ca="1" si="1">IF($E3=0,$E3 + (RAND()-0.5)*$H$1, NA())</f>
        <v>#N/A</v>
      </c>
      <c r="I3">
        <f t="shared" ref="I3:I66" si="2">IF($E3=1,$D3,NA())</f>
        <v>1</v>
      </c>
      <c r="J3">
        <f t="shared" ref="J3:J66" ca="1" si="3">IF($E3=1,$E3 + (RAND()-0.5)*$H$1, NA())</f>
        <v>1.0020921424853444</v>
      </c>
    </row>
    <row r="4" spans="4:10" x14ac:dyDescent="0.2">
      <c r="D4" s="3">
        <v>1</v>
      </c>
      <c r="E4" s="3">
        <v>1</v>
      </c>
      <c r="F4" t="e">
        <f t="shared" si="0"/>
        <v>#N/A</v>
      </c>
      <c r="G4" t="e">
        <f t="shared" ca="1" si="1"/>
        <v>#N/A</v>
      </c>
      <c r="I4">
        <f t="shared" si="2"/>
        <v>1</v>
      </c>
      <c r="J4">
        <f t="shared" ca="1" si="3"/>
        <v>1.0118584125408501</v>
      </c>
    </row>
    <row r="5" spans="4:10" x14ac:dyDescent="0.2">
      <c r="D5" s="3">
        <v>3</v>
      </c>
      <c r="E5" s="3">
        <v>1</v>
      </c>
      <c r="F5" t="e">
        <f t="shared" si="0"/>
        <v>#N/A</v>
      </c>
      <c r="G5" t="e">
        <f t="shared" ca="1" si="1"/>
        <v>#N/A</v>
      </c>
      <c r="I5">
        <f t="shared" si="2"/>
        <v>3</v>
      </c>
      <c r="J5">
        <f t="shared" ca="1" si="3"/>
        <v>0.98666746867199184</v>
      </c>
    </row>
    <row r="6" spans="4:10" x14ac:dyDescent="0.2">
      <c r="D6" s="3">
        <v>2</v>
      </c>
      <c r="E6" s="3">
        <v>1</v>
      </c>
      <c r="F6" t="e">
        <f t="shared" si="0"/>
        <v>#N/A</v>
      </c>
      <c r="G6" t="e">
        <f t="shared" ca="1" si="1"/>
        <v>#N/A</v>
      </c>
      <c r="I6">
        <f t="shared" si="2"/>
        <v>2</v>
      </c>
      <c r="J6">
        <f t="shared" ca="1" si="3"/>
        <v>1.014223462865242</v>
      </c>
    </row>
    <row r="7" spans="4:10" x14ac:dyDescent="0.2">
      <c r="D7" s="3">
        <v>2</v>
      </c>
      <c r="E7" s="3">
        <v>1</v>
      </c>
      <c r="F7" t="e">
        <f t="shared" si="0"/>
        <v>#N/A</v>
      </c>
      <c r="G7" t="e">
        <f t="shared" ca="1" si="1"/>
        <v>#N/A</v>
      </c>
      <c r="I7">
        <f t="shared" si="2"/>
        <v>2</v>
      </c>
      <c r="J7">
        <f t="shared" ca="1" si="3"/>
        <v>0.98631513649720148</v>
      </c>
    </row>
    <row r="8" spans="4:10" x14ac:dyDescent="0.2">
      <c r="D8" s="3">
        <v>0</v>
      </c>
      <c r="E8" s="3">
        <v>1</v>
      </c>
      <c r="F8" t="e">
        <f t="shared" si="0"/>
        <v>#N/A</v>
      </c>
      <c r="G8" t="e">
        <f t="shared" ca="1" si="1"/>
        <v>#N/A</v>
      </c>
      <c r="I8">
        <f t="shared" si="2"/>
        <v>0</v>
      </c>
      <c r="J8">
        <f t="shared" ca="1" si="3"/>
        <v>1.0147141269841349</v>
      </c>
    </row>
    <row r="9" spans="4:10" x14ac:dyDescent="0.2">
      <c r="D9" s="3">
        <v>1</v>
      </c>
      <c r="E9" s="3">
        <v>1</v>
      </c>
      <c r="F9" t="e">
        <f t="shared" si="0"/>
        <v>#N/A</v>
      </c>
      <c r="G9" t="e">
        <f t="shared" ca="1" si="1"/>
        <v>#N/A</v>
      </c>
      <c r="I9">
        <f t="shared" si="2"/>
        <v>1</v>
      </c>
      <c r="J9">
        <f t="shared" ca="1" si="3"/>
        <v>0.99520620331546772</v>
      </c>
    </row>
    <row r="10" spans="4:10" x14ac:dyDescent="0.2">
      <c r="D10" s="3">
        <v>3</v>
      </c>
      <c r="E10" s="3">
        <v>1</v>
      </c>
      <c r="F10" t="e">
        <f t="shared" si="0"/>
        <v>#N/A</v>
      </c>
      <c r="G10" t="e">
        <f t="shared" ca="1" si="1"/>
        <v>#N/A</v>
      </c>
      <c r="I10">
        <f t="shared" si="2"/>
        <v>3</v>
      </c>
      <c r="J10">
        <f t="shared" ca="1" si="3"/>
        <v>1.0002654471756038</v>
      </c>
    </row>
    <row r="11" spans="4:10" x14ac:dyDescent="0.2">
      <c r="D11" s="3">
        <v>6</v>
      </c>
      <c r="E11" s="3">
        <v>1</v>
      </c>
      <c r="F11" t="e">
        <f t="shared" si="0"/>
        <v>#N/A</v>
      </c>
      <c r="G11" t="e">
        <f t="shared" ca="1" si="1"/>
        <v>#N/A</v>
      </c>
      <c r="I11">
        <f t="shared" si="2"/>
        <v>6</v>
      </c>
      <c r="J11">
        <f t="shared" ca="1" si="3"/>
        <v>1.0106175197382359</v>
      </c>
    </row>
    <row r="12" spans="4:10" x14ac:dyDescent="0.2">
      <c r="D12" s="3">
        <v>3</v>
      </c>
      <c r="E12" s="3">
        <v>1</v>
      </c>
      <c r="F12" t="e">
        <f t="shared" si="0"/>
        <v>#N/A</v>
      </c>
      <c r="G12" t="e">
        <f t="shared" ca="1" si="1"/>
        <v>#N/A</v>
      </c>
      <c r="I12">
        <f t="shared" si="2"/>
        <v>3</v>
      </c>
      <c r="J12">
        <f t="shared" ca="1" si="3"/>
        <v>0.99807513881097631</v>
      </c>
    </row>
    <row r="13" spans="4:10" x14ac:dyDescent="0.2">
      <c r="D13" s="3">
        <v>1</v>
      </c>
      <c r="E13" s="3">
        <v>1</v>
      </c>
      <c r="F13" t="e">
        <f t="shared" si="0"/>
        <v>#N/A</v>
      </c>
      <c r="G13" t="e">
        <f t="shared" ca="1" si="1"/>
        <v>#N/A</v>
      </c>
      <c r="I13">
        <f t="shared" si="2"/>
        <v>1</v>
      </c>
      <c r="J13">
        <f t="shared" ca="1" si="3"/>
        <v>0.99076968672551469</v>
      </c>
    </row>
    <row r="14" spans="4:10" x14ac:dyDescent="0.2">
      <c r="D14" s="3">
        <v>0</v>
      </c>
      <c r="E14" s="3">
        <v>1</v>
      </c>
      <c r="F14" t="e">
        <f t="shared" si="0"/>
        <v>#N/A</v>
      </c>
      <c r="G14" t="e">
        <f t="shared" ca="1" si="1"/>
        <v>#N/A</v>
      </c>
      <c r="I14">
        <f t="shared" si="2"/>
        <v>0</v>
      </c>
      <c r="J14">
        <f t="shared" ca="1" si="3"/>
        <v>0.99919338403880542</v>
      </c>
    </row>
    <row r="15" spans="4:10" x14ac:dyDescent="0.2">
      <c r="D15" s="3">
        <v>1</v>
      </c>
      <c r="E15" s="3">
        <v>1</v>
      </c>
      <c r="F15" t="e">
        <f t="shared" si="0"/>
        <v>#N/A</v>
      </c>
      <c r="G15" t="e">
        <f t="shared" ca="1" si="1"/>
        <v>#N/A</v>
      </c>
      <c r="I15">
        <f t="shared" si="2"/>
        <v>1</v>
      </c>
      <c r="J15">
        <f t="shared" ca="1" si="3"/>
        <v>1.0137513101227209</v>
      </c>
    </row>
    <row r="16" spans="4:10" x14ac:dyDescent="0.2">
      <c r="D16" s="3">
        <v>2</v>
      </c>
      <c r="E16" s="3">
        <v>1</v>
      </c>
      <c r="F16" t="e">
        <f t="shared" si="0"/>
        <v>#N/A</v>
      </c>
      <c r="G16" t="e">
        <f t="shared" ca="1" si="1"/>
        <v>#N/A</v>
      </c>
      <c r="I16">
        <f t="shared" si="2"/>
        <v>2</v>
      </c>
      <c r="J16">
        <f t="shared" ca="1" si="3"/>
        <v>1.0108726768641243</v>
      </c>
    </row>
    <row r="17" spans="4:10" x14ac:dyDescent="0.2">
      <c r="D17" s="3">
        <v>5</v>
      </c>
      <c r="E17" s="3">
        <v>1</v>
      </c>
      <c r="F17" t="e">
        <f t="shared" si="0"/>
        <v>#N/A</v>
      </c>
      <c r="G17" t="e">
        <f t="shared" ca="1" si="1"/>
        <v>#N/A</v>
      </c>
      <c r="I17">
        <f t="shared" si="2"/>
        <v>5</v>
      </c>
      <c r="J17">
        <f t="shared" ca="1" si="3"/>
        <v>0.98935527534910805</v>
      </c>
    </row>
    <row r="18" spans="4:10" x14ac:dyDescent="0.2">
      <c r="D18" s="3">
        <v>0</v>
      </c>
      <c r="E18" s="3">
        <v>1</v>
      </c>
      <c r="F18" t="e">
        <f t="shared" si="0"/>
        <v>#N/A</v>
      </c>
      <c r="G18" t="e">
        <f t="shared" ca="1" si="1"/>
        <v>#N/A</v>
      </c>
      <c r="I18">
        <f t="shared" si="2"/>
        <v>0</v>
      </c>
      <c r="J18">
        <f t="shared" ca="1" si="3"/>
        <v>0.99872570461509269</v>
      </c>
    </row>
    <row r="19" spans="4:10" x14ac:dyDescent="0.2">
      <c r="D19" s="3">
        <v>2</v>
      </c>
      <c r="E19" s="3">
        <v>1</v>
      </c>
      <c r="F19" t="e">
        <f t="shared" si="0"/>
        <v>#N/A</v>
      </c>
      <c r="G19" t="e">
        <f t="shared" ca="1" si="1"/>
        <v>#N/A</v>
      </c>
      <c r="I19">
        <f t="shared" si="2"/>
        <v>2</v>
      </c>
      <c r="J19">
        <f t="shared" ca="1" si="3"/>
        <v>1.0040676647975899</v>
      </c>
    </row>
    <row r="20" spans="4:10" x14ac:dyDescent="0.2">
      <c r="D20" s="3">
        <v>3</v>
      </c>
      <c r="E20" s="3">
        <v>1</v>
      </c>
      <c r="F20" t="e">
        <f t="shared" si="0"/>
        <v>#N/A</v>
      </c>
      <c r="G20" t="e">
        <f t="shared" ca="1" si="1"/>
        <v>#N/A</v>
      </c>
      <c r="I20">
        <f t="shared" si="2"/>
        <v>3</v>
      </c>
      <c r="J20">
        <f t="shared" ca="1" si="3"/>
        <v>0.99091008285274407</v>
      </c>
    </row>
    <row r="21" spans="4:10" x14ac:dyDescent="0.2">
      <c r="D21" s="3">
        <v>0</v>
      </c>
      <c r="E21" s="3">
        <v>1</v>
      </c>
      <c r="F21" t="e">
        <f t="shared" si="0"/>
        <v>#N/A</v>
      </c>
      <c r="G21" t="e">
        <f t="shared" ca="1" si="1"/>
        <v>#N/A</v>
      </c>
      <c r="I21">
        <f t="shared" si="2"/>
        <v>0</v>
      </c>
      <c r="J21">
        <f t="shared" ca="1" si="3"/>
        <v>1.0141995818918914</v>
      </c>
    </row>
    <row r="22" spans="4:10" x14ac:dyDescent="0.2">
      <c r="D22" s="3">
        <v>2</v>
      </c>
      <c r="E22" s="3">
        <v>1</v>
      </c>
      <c r="F22" t="e">
        <f t="shared" si="0"/>
        <v>#N/A</v>
      </c>
      <c r="G22" t="e">
        <f t="shared" ca="1" si="1"/>
        <v>#N/A</v>
      </c>
      <c r="I22">
        <f t="shared" si="2"/>
        <v>2</v>
      </c>
      <c r="J22">
        <f t="shared" ca="1" si="3"/>
        <v>0.99141521630456164</v>
      </c>
    </row>
    <row r="23" spans="4:10" x14ac:dyDescent="0.2">
      <c r="D23" s="3">
        <v>5</v>
      </c>
      <c r="E23" s="3">
        <v>1</v>
      </c>
      <c r="F23" t="e">
        <f t="shared" si="0"/>
        <v>#N/A</v>
      </c>
      <c r="G23" t="e">
        <f t="shared" ca="1" si="1"/>
        <v>#N/A</v>
      </c>
      <c r="I23">
        <f t="shared" si="2"/>
        <v>5</v>
      </c>
      <c r="J23">
        <f t="shared" ca="1" si="3"/>
        <v>1.0089970555770986</v>
      </c>
    </row>
    <row r="24" spans="4:10" x14ac:dyDescent="0.2">
      <c r="D24" s="3">
        <v>1</v>
      </c>
      <c r="E24" s="3">
        <v>1</v>
      </c>
      <c r="F24" t="e">
        <f t="shared" si="0"/>
        <v>#N/A</v>
      </c>
      <c r="G24" t="e">
        <f t="shared" ca="1" si="1"/>
        <v>#N/A</v>
      </c>
      <c r="I24">
        <f t="shared" si="2"/>
        <v>1</v>
      </c>
      <c r="J24">
        <f t="shared" ca="1" si="3"/>
        <v>0.98795755143713604</v>
      </c>
    </row>
    <row r="25" spans="4:10" x14ac:dyDescent="0.2">
      <c r="D25" s="3">
        <v>2</v>
      </c>
      <c r="E25" s="3">
        <v>1</v>
      </c>
      <c r="F25" t="e">
        <f t="shared" si="0"/>
        <v>#N/A</v>
      </c>
      <c r="G25" t="e">
        <f t="shared" ca="1" si="1"/>
        <v>#N/A</v>
      </c>
      <c r="I25">
        <f t="shared" si="2"/>
        <v>2</v>
      </c>
      <c r="J25">
        <f t="shared" ca="1" si="3"/>
        <v>0.99155691761970266</v>
      </c>
    </row>
    <row r="26" spans="4:10" x14ac:dyDescent="0.2">
      <c r="D26" s="3">
        <v>1</v>
      </c>
      <c r="E26" s="3">
        <v>1</v>
      </c>
      <c r="F26" t="e">
        <f t="shared" si="0"/>
        <v>#N/A</v>
      </c>
      <c r="G26" t="e">
        <f t="shared" ca="1" si="1"/>
        <v>#N/A</v>
      </c>
      <c r="I26">
        <f t="shared" si="2"/>
        <v>1</v>
      </c>
      <c r="J26">
        <f t="shared" ca="1" si="3"/>
        <v>1.0007171034474314</v>
      </c>
    </row>
    <row r="27" spans="4:10" x14ac:dyDescent="0.2">
      <c r="D27" s="3">
        <v>1</v>
      </c>
      <c r="E27" s="3">
        <v>1</v>
      </c>
      <c r="F27" t="e">
        <f t="shared" si="0"/>
        <v>#N/A</v>
      </c>
      <c r="G27" t="e">
        <f t="shared" ca="1" si="1"/>
        <v>#N/A</v>
      </c>
      <c r="I27">
        <f t="shared" si="2"/>
        <v>1</v>
      </c>
      <c r="J27">
        <f t="shared" ca="1" si="3"/>
        <v>0.98975466271805279</v>
      </c>
    </row>
    <row r="28" spans="4:10" x14ac:dyDescent="0.2">
      <c r="D28" s="3">
        <v>2</v>
      </c>
      <c r="E28" s="3">
        <v>1</v>
      </c>
      <c r="F28" t="e">
        <f t="shared" si="0"/>
        <v>#N/A</v>
      </c>
      <c r="G28" t="e">
        <f t="shared" ca="1" si="1"/>
        <v>#N/A</v>
      </c>
      <c r="I28">
        <f t="shared" si="2"/>
        <v>2</v>
      </c>
      <c r="J28">
        <f t="shared" ca="1" si="3"/>
        <v>0.99165498590796541</v>
      </c>
    </row>
    <row r="29" spans="4:10" x14ac:dyDescent="0.2">
      <c r="D29" s="3">
        <v>3</v>
      </c>
      <c r="E29" s="3">
        <v>1</v>
      </c>
      <c r="F29" t="e">
        <f t="shared" si="0"/>
        <v>#N/A</v>
      </c>
      <c r="G29" t="e">
        <f t="shared" ca="1" si="1"/>
        <v>#N/A</v>
      </c>
      <c r="I29">
        <f t="shared" si="2"/>
        <v>3</v>
      </c>
      <c r="J29">
        <f t="shared" ca="1" si="3"/>
        <v>0.9955680773059512</v>
      </c>
    </row>
    <row r="30" spans="4:10" x14ac:dyDescent="0.2">
      <c r="D30" s="3">
        <v>3</v>
      </c>
      <c r="E30" s="3">
        <v>1</v>
      </c>
      <c r="F30" t="e">
        <f t="shared" si="0"/>
        <v>#N/A</v>
      </c>
      <c r="G30" t="e">
        <f t="shared" ca="1" si="1"/>
        <v>#N/A</v>
      </c>
      <c r="I30">
        <f t="shared" si="2"/>
        <v>3</v>
      </c>
      <c r="J30">
        <f t="shared" ca="1" si="3"/>
        <v>0.9932922904822139</v>
      </c>
    </row>
    <row r="31" spans="4:10" x14ac:dyDescent="0.2">
      <c r="D31" s="3">
        <v>0</v>
      </c>
      <c r="E31" s="3">
        <v>1</v>
      </c>
      <c r="F31" t="e">
        <f t="shared" si="0"/>
        <v>#N/A</v>
      </c>
      <c r="G31" t="e">
        <f t="shared" ca="1" si="1"/>
        <v>#N/A</v>
      </c>
      <c r="I31">
        <f t="shared" si="2"/>
        <v>0</v>
      </c>
      <c r="J31">
        <f t="shared" ca="1" si="3"/>
        <v>0.99006841838658677</v>
      </c>
    </row>
    <row r="32" spans="4:10" x14ac:dyDescent="0.2">
      <c r="D32" s="3">
        <v>1</v>
      </c>
      <c r="E32" s="3">
        <v>1</v>
      </c>
      <c r="F32" t="e">
        <f t="shared" si="0"/>
        <v>#N/A</v>
      </c>
      <c r="G32" t="e">
        <f t="shared" ca="1" si="1"/>
        <v>#N/A</v>
      </c>
      <c r="I32">
        <f t="shared" si="2"/>
        <v>1</v>
      </c>
      <c r="J32">
        <f t="shared" ca="1" si="3"/>
        <v>0.99080162997336507</v>
      </c>
    </row>
    <row r="33" spans="4:10" x14ac:dyDescent="0.2">
      <c r="D33" s="3">
        <v>3</v>
      </c>
      <c r="E33" s="3">
        <v>1</v>
      </c>
      <c r="F33" t="e">
        <f t="shared" si="0"/>
        <v>#N/A</v>
      </c>
      <c r="G33" t="e">
        <f t="shared" ca="1" si="1"/>
        <v>#N/A</v>
      </c>
      <c r="I33">
        <f t="shared" si="2"/>
        <v>3</v>
      </c>
      <c r="J33">
        <f t="shared" ca="1" si="3"/>
        <v>1.0111704606246306</v>
      </c>
    </row>
    <row r="34" spans="4:10" x14ac:dyDescent="0.2">
      <c r="D34" s="3">
        <v>0</v>
      </c>
      <c r="E34" s="3">
        <v>1</v>
      </c>
      <c r="F34" t="e">
        <f t="shared" si="0"/>
        <v>#N/A</v>
      </c>
      <c r="G34" t="e">
        <f t="shared" ca="1" si="1"/>
        <v>#N/A</v>
      </c>
      <c r="I34">
        <f t="shared" si="2"/>
        <v>0</v>
      </c>
      <c r="J34">
        <f t="shared" ca="1" si="3"/>
        <v>1.0082440165695357</v>
      </c>
    </row>
    <row r="35" spans="4:10" x14ac:dyDescent="0.2">
      <c r="D35" s="3">
        <v>1</v>
      </c>
      <c r="E35" s="3">
        <v>1</v>
      </c>
      <c r="F35" t="e">
        <f t="shared" si="0"/>
        <v>#N/A</v>
      </c>
      <c r="G35" t="e">
        <f t="shared" ca="1" si="1"/>
        <v>#N/A</v>
      </c>
      <c r="I35">
        <f t="shared" si="2"/>
        <v>1</v>
      </c>
      <c r="J35">
        <f t="shared" ca="1" si="3"/>
        <v>1.0102966990549156</v>
      </c>
    </row>
    <row r="36" spans="4:10" x14ac:dyDescent="0.2">
      <c r="D36" s="3">
        <v>2</v>
      </c>
      <c r="E36" s="3">
        <v>1</v>
      </c>
      <c r="F36" t="e">
        <f t="shared" si="0"/>
        <v>#N/A</v>
      </c>
      <c r="G36" t="e">
        <f t="shared" ca="1" si="1"/>
        <v>#N/A</v>
      </c>
      <c r="I36">
        <f t="shared" si="2"/>
        <v>2</v>
      </c>
      <c r="J36">
        <f t="shared" ca="1" si="3"/>
        <v>1.0045505851139753</v>
      </c>
    </row>
    <row r="37" spans="4:10" x14ac:dyDescent="0.2">
      <c r="D37" s="3">
        <v>2</v>
      </c>
      <c r="E37" s="3">
        <v>1</v>
      </c>
      <c r="F37" t="e">
        <f t="shared" si="0"/>
        <v>#N/A</v>
      </c>
      <c r="G37" t="e">
        <f t="shared" ca="1" si="1"/>
        <v>#N/A</v>
      </c>
      <c r="I37">
        <f t="shared" si="2"/>
        <v>2</v>
      </c>
      <c r="J37">
        <f t="shared" ca="1" si="3"/>
        <v>0.99509498021126952</v>
      </c>
    </row>
    <row r="38" spans="4:10" x14ac:dyDescent="0.2">
      <c r="D38" s="3">
        <v>1</v>
      </c>
      <c r="E38" s="3">
        <v>1</v>
      </c>
      <c r="F38" t="e">
        <f t="shared" si="0"/>
        <v>#N/A</v>
      </c>
      <c r="G38" t="e">
        <f t="shared" ca="1" si="1"/>
        <v>#N/A</v>
      </c>
      <c r="I38">
        <f t="shared" si="2"/>
        <v>1</v>
      </c>
      <c r="J38">
        <f t="shared" ca="1" si="3"/>
        <v>0.98875646538404083</v>
      </c>
    </row>
    <row r="39" spans="4:10" x14ac:dyDescent="0.2">
      <c r="D39" s="3">
        <v>3</v>
      </c>
      <c r="E39" s="3">
        <v>1</v>
      </c>
      <c r="F39" t="e">
        <f t="shared" si="0"/>
        <v>#N/A</v>
      </c>
      <c r="G39" t="e">
        <f t="shared" ca="1" si="1"/>
        <v>#N/A</v>
      </c>
      <c r="I39">
        <f t="shared" si="2"/>
        <v>3</v>
      </c>
      <c r="J39">
        <f t="shared" ca="1" si="3"/>
        <v>1.0064801068056748</v>
      </c>
    </row>
    <row r="40" spans="4:10" x14ac:dyDescent="0.2">
      <c r="D40" s="3">
        <v>2</v>
      </c>
      <c r="E40" s="3">
        <v>1</v>
      </c>
      <c r="F40" t="e">
        <f t="shared" si="0"/>
        <v>#N/A</v>
      </c>
      <c r="G40" t="e">
        <f t="shared" ca="1" si="1"/>
        <v>#N/A</v>
      </c>
      <c r="I40">
        <f t="shared" si="2"/>
        <v>2</v>
      </c>
      <c r="J40">
        <f t="shared" ca="1" si="3"/>
        <v>1.0083632677715137</v>
      </c>
    </row>
    <row r="41" spans="4:10" x14ac:dyDescent="0.2">
      <c r="D41" s="3">
        <v>1</v>
      </c>
      <c r="E41" s="3">
        <v>1</v>
      </c>
      <c r="F41" t="e">
        <f t="shared" si="0"/>
        <v>#N/A</v>
      </c>
      <c r="G41" t="e">
        <f t="shared" ca="1" si="1"/>
        <v>#N/A</v>
      </c>
      <c r="I41">
        <f t="shared" si="2"/>
        <v>1</v>
      </c>
      <c r="J41">
        <f t="shared" ca="1" si="3"/>
        <v>0.99159064383431117</v>
      </c>
    </row>
    <row r="42" spans="4:10" x14ac:dyDescent="0.2">
      <c r="D42" s="3">
        <v>2</v>
      </c>
      <c r="E42" s="3">
        <v>1</v>
      </c>
      <c r="F42" t="e">
        <f t="shared" si="0"/>
        <v>#N/A</v>
      </c>
      <c r="G42" t="e">
        <f t="shared" ca="1" si="1"/>
        <v>#N/A</v>
      </c>
      <c r="I42">
        <f t="shared" si="2"/>
        <v>2</v>
      </c>
      <c r="J42">
        <f t="shared" ca="1" si="3"/>
        <v>1.0003363015482249</v>
      </c>
    </row>
    <row r="43" spans="4:10" x14ac:dyDescent="0.2">
      <c r="D43" s="3">
        <v>0</v>
      </c>
      <c r="E43" s="3">
        <v>1</v>
      </c>
      <c r="F43" t="e">
        <f t="shared" si="0"/>
        <v>#N/A</v>
      </c>
      <c r="G43" t="e">
        <f t="shared" ca="1" si="1"/>
        <v>#N/A</v>
      </c>
      <c r="I43">
        <f t="shared" si="2"/>
        <v>0</v>
      </c>
      <c r="J43">
        <f t="shared" ca="1" si="3"/>
        <v>1.0105664651112574</v>
      </c>
    </row>
    <row r="44" spans="4:10" x14ac:dyDescent="0.2">
      <c r="D44" s="3">
        <v>2</v>
      </c>
      <c r="E44" s="3">
        <v>1</v>
      </c>
      <c r="F44" t="e">
        <f t="shared" si="0"/>
        <v>#N/A</v>
      </c>
      <c r="G44" t="e">
        <f t="shared" ca="1" si="1"/>
        <v>#N/A</v>
      </c>
      <c r="I44">
        <f t="shared" si="2"/>
        <v>2</v>
      </c>
      <c r="J44">
        <f t="shared" ca="1" si="3"/>
        <v>0.99853852628663298</v>
      </c>
    </row>
    <row r="45" spans="4:10" x14ac:dyDescent="0.2">
      <c r="D45" s="3">
        <v>1</v>
      </c>
      <c r="E45" s="3">
        <v>1</v>
      </c>
      <c r="F45" t="e">
        <f t="shared" si="0"/>
        <v>#N/A</v>
      </c>
      <c r="G45" t="e">
        <f t="shared" ca="1" si="1"/>
        <v>#N/A</v>
      </c>
      <c r="I45">
        <f t="shared" si="2"/>
        <v>1</v>
      </c>
      <c r="J45">
        <f t="shared" ca="1" si="3"/>
        <v>0.99311584545199438</v>
      </c>
    </row>
    <row r="46" spans="4:10" x14ac:dyDescent="0.2">
      <c r="D46" s="3">
        <v>2</v>
      </c>
      <c r="E46" s="3">
        <v>1</v>
      </c>
      <c r="F46" t="e">
        <f t="shared" si="0"/>
        <v>#N/A</v>
      </c>
      <c r="G46" t="e">
        <f t="shared" ca="1" si="1"/>
        <v>#N/A</v>
      </c>
      <c r="I46">
        <f t="shared" si="2"/>
        <v>2</v>
      </c>
      <c r="J46">
        <f t="shared" ca="1" si="3"/>
        <v>0.99614199958083116</v>
      </c>
    </row>
    <row r="47" spans="4:10" x14ac:dyDescent="0.2">
      <c r="D47" s="3">
        <v>2</v>
      </c>
      <c r="E47" s="3">
        <v>1</v>
      </c>
      <c r="F47" t="e">
        <f t="shared" si="0"/>
        <v>#N/A</v>
      </c>
      <c r="G47" t="e">
        <f t="shared" ca="1" si="1"/>
        <v>#N/A</v>
      </c>
      <c r="I47">
        <f t="shared" si="2"/>
        <v>2</v>
      </c>
      <c r="J47">
        <f t="shared" ca="1" si="3"/>
        <v>1.0098871438427672</v>
      </c>
    </row>
    <row r="48" spans="4:10" x14ac:dyDescent="0.2">
      <c r="D48" s="3">
        <v>0</v>
      </c>
      <c r="E48" s="3">
        <v>1</v>
      </c>
      <c r="F48" t="e">
        <f t="shared" si="0"/>
        <v>#N/A</v>
      </c>
      <c r="G48" t="e">
        <f t="shared" ca="1" si="1"/>
        <v>#N/A</v>
      </c>
      <c r="I48">
        <f t="shared" si="2"/>
        <v>0</v>
      </c>
      <c r="J48">
        <f t="shared" ca="1" si="3"/>
        <v>0.98773642750524493</v>
      </c>
    </row>
    <row r="49" spans="4:10" x14ac:dyDescent="0.2">
      <c r="D49" s="3">
        <v>6</v>
      </c>
      <c r="E49" s="3">
        <v>1</v>
      </c>
      <c r="F49" t="e">
        <f t="shared" si="0"/>
        <v>#N/A</v>
      </c>
      <c r="G49" t="e">
        <f t="shared" ca="1" si="1"/>
        <v>#N/A</v>
      </c>
      <c r="I49">
        <f t="shared" si="2"/>
        <v>6</v>
      </c>
      <c r="J49">
        <f t="shared" ca="1" si="3"/>
        <v>0.985815744289395</v>
      </c>
    </row>
    <row r="50" spans="4:10" x14ac:dyDescent="0.2">
      <c r="D50" s="3">
        <v>1</v>
      </c>
      <c r="E50" s="3">
        <v>1</v>
      </c>
      <c r="F50" t="e">
        <f t="shared" si="0"/>
        <v>#N/A</v>
      </c>
      <c r="G50" t="e">
        <f t="shared" ca="1" si="1"/>
        <v>#N/A</v>
      </c>
      <c r="I50">
        <f t="shared" si="2"/>
        <v>1</v>
      </c>
      <c r="J50">
        <f t="shared" ca="1" si="3"/>
        <v>1.0062351927750108</v>
      </c>
    </row>
    <row r="51" spans="4:10" x14ac:dyDescent="0.2">
      <c r="D51" s="3">
        <v>4</v>
      </c>
      <c r="E51" s="3">
        <v>1</v>
      </c>
      <c r="F51" t="e">
        <f t="shared" si="0"/>
        <v>#N/A</v>
      </c>
      <c r="G51" t="e">
        <f t="shared" ca="1" si="1"/>
        <v>#N/A</v>
      </c>
      <c r="I51">
        <f t="shared" si="2"/>
        <v>4</v>
      </c>
      <c r="J51">
        <f t="shared" ca="1" si="3"/>
        <v>1.003362349309235</v>
      </c>
    </row>
    <row r="52" spans="4:10" x14ac:dyDescent="0.2">
      <c r="D52" s="3">
        <v>6</v>
      </c>
      <c r="E52" s="3">
        <v>1</v>
      </c>
      <c r="F52" t="e">
        <f t="shared" si="0"/>
        <v>#N/A</v>
      </c>
      <c r="G52" t="e">
        <f t="shared" ca="1" si="1"/>
        <v>#N/A</v>
      </c>
      <c r="I52">
        <f t="shared" si="2"/>
        <v>6</v>
      </c>
      <c r="J52">
        <f t="shared" ca="1" si="3"/>
        <v>1.0014031171312587</v>
      </c>
    </row>
    <row r="53" spans="4:10" x14ac:dyDescent="0.2">
      <c r="D53" s="3">
        <v>2</v>
      </c>
      <c r="E53" s="3">
        <v>1</v>
      </c>
      <c r="F53" t="e">
        <f t="shared" si="0"/>
        <v>#N/A</v>
      </c>
      <c r="G53" t="e">
        <f t="shared" ca="1" si="1"/>
        <v>#N/A</v>
      </c>
      <c r="I53">
        <f t="shared" si="2"/>
        <v>2</v>
      </c>
      <c r="J53">
        <f t="shared" ca="1" si="3"/>
        <v>1.005268577561117</v>
      </c>
    </row>
    <row r="54" spans="4:10" x14ac:dyDescent="0.2">
      <c r="D54" s="3">
        <v>2</v>
      </c>
      <c r="E54" s="3">
        <v>1</v>
      </c>
      <c r="F54" t="e">
        <f t="shared" si="0"/>
        <v>#N/A</v>
      </c>
      <c r="G54" t="e">
        <f t="shared" ca="1" si="1"/>
        <v>#N/A</v>
      </c>
      <c r="I54">
        <f t="shared" si="2"/>
        <v>2</v>
      </c>
      <c r="J54">
        <f t="shared" ca="1" si="3"/>
        <v>1.0069776866983597</v>
      </c>
    </row>
    <row r="55" spans="4:10" x14ac:dyDescent="0.2">
      <c r="D55" s="3">
        <v>2</v>
      </c>
      <c r="E55" s="3">
        <v>1</v>
      </c>
      <c r="F55" t="e">
        <f t="shared" si="0"/>
        <v>#N/A</v>
      </c>
      <c r="G55" t="e">
        <f t="shared" ca="1" si="1"/>
        <v>#N/A</v>
      </c>
      <c r="I55">
        <f t="shared" si="2"/>
        <v>2</v>
      </c>
      <c r="J55">
        <f t="shared" ca="1" si="3"/>
        <v>1.0056441086774528</v>
      </c>
    </row>
    <row r="56" spans="4:10" x14ac:dyDescent="0.2">
      <c r="D56" s="3">
        <v>3</v>
      </c>
      <c r="E56" s="3">
        <v>1</v>
      </c>
      <c r="F56" t="e">
        <f t="shared" si="0"/>
        <v>#N/A</v>
      </c>
      <c r="G56" t="e">
        <f t="shared" ca="1" si="1"/>
        <v>#N/A</v>
      </c>
      <c r="I56">
        <f t="shared" si="2"/>
        <v>3</v>
      </c>
      <c r="J56">
        <f t="shared" ca="1" si="3"/>
        <v>1.0061349609025503</v>
      </c>
    </row>
    <row r="57" spans="4:10" x14ac:dyDescent="0.2">
      <c r="D57" s="3">
        <v>4</v>
      </c>
      <c r="E57" s="3">
        <v>1</v>
      </c>
      <c r="F57" t="e">
        <f t="shared" si="0"/>
        <v>#N/A</v>
      </c>
      <c r="G57" t="e">
        <f t="shared" ca="1" si="1"/>
        <v>#N/A</v>
      </c>
      <c r="I57">
        <f t="shared" si="2"/>
        <v>4</v>
      </c>
      <c r="J57">
        <f t="shared" ca="1" si="3"/>
        <v>0.99455181810480586</v>
      </c>
    </row>
    <row r="58" spans="4:10" x14ac:dyDescent="0.2">
      <c r="D58" s="3">
        <v>1</v>
      </c>
      <c r="E58" s="3">
        <v>1</v>
      </c>
      <c r="F58" t="e">
        <f t="shared" si="0"/>
        <v>#N/A</v>
      </c>
      <c r="G58" t="e">
        <f t="shared" ca="1" si="1"/>
        <v>#N/A</v>
      </c>
      <c r="I58">
        <f t="shared" si="2"/>
        <v>1</v>
      </c>
      <c r="J58">
        <f t="shared" ca="1" si="3"/>
        <v>0.99988152339835401</v>
      </c>
    </row>
    <row r="59" spans="4:10" x14ac:dyDescent="0.2">
      <c r="D59" s="3">
        <v>1</v>
      </c>
      <c r="E59" s="3">
        <v>1</v>
      </c>
      <c r="F59" t="e">
        <f t="shared" si="0"/>
        <v>#N/A</v>
      </c>
      <c r="G59" t="e">
        <f t="shared" ca="1" si="1"/>
        <v>#N/A</v>
      </c>
      <c r="I59">
        <f t="shared" si="2"/>
        <v>1</v>
      </c>
      <c r="J59">
        <f t="shared" ca="1" si="3"/>
        <v>0.9895753025636278</v>
      </c>
    </row>
    <row r="60" spans="4:10" x14ac:dyDescent="0.2">
      <c r="D60" s="3">
        <v>4</v>
      </c>
      <c r="E60" s="3">
        <v>1</v>
      </c>
      <c r="F60" t="e">
        <f t="shared" si="0"/>
        <v>#N/A</v>
      </c>
      <c r="G60" t="e">
        <f t="shared" ca="1" si="1"/>
        <v>#N/A</v>
      </c>
      <c r="I60">
        <f t="shared" si="2"/>
        <v>4</v>
      </c>
      <c r="J60">
        <f t="shared" ca="1" si="3"/>
        <v>0.99215268868422202</v>
      </c>
    </row>
    <row r="61" spans="4:10" x14ac:dyDescent="0.2">
      <c r="D61" s="3">
        <v>2</v>
      </c>
      <c r="E61" s="3">
        <v>1</v>
      </c>
      <c r="F61" t="e">
        <f t="shared" si="0"/>
        <v>#N/A</v>
      </c>
      <c r="G61" t="e">
        <f t="shared" ca="1" si="1"/>
        <v>#N/A</v>
      </c>
      <c r="I61">
        <f t="shared" si="2"/>
        <v>2</v>
      </c>
      <c r="J61">
        <f t="shared" ca="1" si="3"/>
        <v>1.0117777799247631</v>
      </c>
    </row>
    <row r="62" spans="4:10" x14ac:dyDescent="0.2">
      <c r="D62" s="3">
        <v>3</v>
      </c>
      <c r="E62" s="3">
        <v>1</v>
      </c>
      <c r="F62" t="e">
        <f t="shared" si="0"/>
        <v>#N/A</v>
      </c>
      <c r="G62" t="e">
        <f t="shared" ca="1" si="1"/>
        <v>#N/A</v>
      </c>
      <c r="I62">
        <f t="shared" si="2"/>
        <v>3</v>
      </c>
      <c r="J62">
        <f t="shared" ca="1" si="3"/>
        <v>1.0134162227248342</v>
      </c>
    </row>
    <row r="63" spans="4:10" x14ac:dyDescent="0.2">
      <c r="D63" s="3">
        <v>3</v>
      </c>
      <c r="E63" s="3">
        <v>1</v>
      </c>
      <c r="F63" t="e">
        <f t="shared" si="0"/>
        <v>#N/A</v>
      </c>
      <c r="G63" t="e">
        <f t="shared" ca="1" si="1"/>
        <v>#N/A</v>
      </c>
      <c r="I63">
        <f t="shared" si="2"/>
        <v>3</v>
      </c>
      <c r="J63">
        <f t="shared" ca="1" si="3"/>
        <v>1.0078994210505827</v>
      </c>
    </row>
    <row r="64" spans="4:10" x14ac:dyDescent="0.2">
      <c r="D64" s="3">
        <v>2</v>
      </c>
      <c r="E64" s="3">
        <v>1</v>
      </c>
      <c r="F64" t="e">
        <f t="shared" si="0"/>
        <v>#N/A</v>
      </c>
      <c r="G64" t="e">
        <f t="shared" ca="1" si="1"/>
        <v>#N/A</v>
      </c>
      <c r="I64">
        <f t="shared" si="2"/>
        <v>2</v>
      </c>
      <c r="J64">
        <f t="shared" ca="1" si="3"/>
        <v>0.99882850573223247</v>
      </c>
    </row>
    <row r="65" spans="4:10" x14ac:dyDescent="0.2">
      <c r="D65" s="3">
        <v>1</v>
      </c>
      <c r="E65" s="3">
        <v>1</v>
      </c>
      <c r="F65" t="e">
        <f t="shared" si="0"/>
        <v>#N/A</v>
      </c>
      <c r="G65" t="e">
        <f t="shared" ca="1" si="1"/>
        <v>#N/A</v>
      </c>
      <c r="I65">
        <f t="shared" si="2"/>
        <v>1</v>
      </c>
      <c r="J65">
        <f t="shared" ca="1" si="3"/>
        <v>1.0113684834638328</v>
      </c>
    </row>
    <row r="66" spans="4:10" x14ac:dyDescent="0.2">
      <c r="D66" s="3">
        <v>2</v>
      </c>
      <c r="E66" s="3">
        <v>1</v>
      </c>
      <c r="F66" t="e">
        <f t="shared" si="0"/>
        <v>#N/A</v>
      </c>
      <c r="G66" t="e">
        <f t="shared" ca="1" si="1"/>
        <v>#N/A</v>
      </c>
      <c r="I66">
        <f t="shared" si="2"/>
        <v>2</v>
      </c>
      <c r="J66">
        <f t="shared" ca="1" si="3"/>
        <v>1.0051415351203292</v>
      </c>
    </row>
    <row r="67" spans="4:10" x14ac:dyDescent="0.2">
      <c r="D67" s="3">
        <v>1</v>
      </c>
      <c r="E67" s="3">
        <v>1</v>
      </c>
      <c r="F67" t="e">
        <f t="shared" ref="F67:F130" si="4">IF($E67=0,$D67,NA())</f>
        <v>#N/A</v>
      </c>
      <c r="G67" t="e">
        <f t="shared" ref="G67:G130" ca="1" si="5">IF($E67=0,$E67 + (RAND()-0.5)*$H$1, NA())</f>
        <v>#N/A</v>
      </c>
      <c r="I67">
        <f t="shared" ref="I67:I130" si="6">IF($E67=1,$D67,NA())</f>
        <v>1</v>
      </c>
      <c r="J67">
        <f t="shared" ref="J67:J130" ca="1" si="7">IF($E67=1,$E67 + (RAND()-0.5)*$H$1, NA())</f>
        <v>0.98577303289956364</v>
      </c>
    </row>
    <row r="68" spans="4:10" x14ac:dyDescent="0.2">
      <c r="D68" s="3">
        <v>1</v>
      </c>
      <c r="E68" s="3">
        <v>1</v>
      </c>
      <c r="F68" t="e">
        <f t="shared" si="4"/>
        <v>#N/A</v>
      </c>
      <c r="G68" t="e">
        <f t="shared" ca="1" si="5"/>
        <v>#N/A</v>
      </c>
      <c r="I68">
        <f t="shared" si="6"/>
        <v>1</v>
      </c>
      <c r="J68">
        <f t="shared" ca="1" si="7"/>
        <v>1.0126886309038614</v>
      </c>
    </row>
    <row r="69" spans="4:10" x14ac:dyDescent="0.2">
      <c r="D69" s="3">
        <v>2</v>
      </c>
      <c r="E69" s="3">
        <v>1</v>
      </c>
      <c r="F69" t="e">
        <f t="shared" si="4"/>
        <v>#N/A</v>
      </c>
      <c r="G69" t="e">
        <f t="shared" ca="1" si="5"/>
        <v>#N/A</v>
      </c>
      <c r="I69">
        <f t="shared" si="6"/>
        <v>2</v>
      </c>
      <c r="J69">
        <f t="shared" ca="1" si="7"/>
        <v>0.99853335814800126</v>
      </c>
    </row>
    <row r="70" spans="4:10" x14ac:dyDescent="0.2">
      <c r="D70" s="3">
        <v>1</v>
      </c>
      <c r="E70" s="3">
        <v>1</v>
      </c>
      <c r="F70" t="e">
        <f t="shared" si="4"/>
        <v>#N/A</v>
      </c>
      <c r="G70" t="e">
        <f t="shared" ca="1" si="5"/>
        <v>#N/A</v>
      </c>
      <c r="I70">
        <f t="shared" si="6"/>
        <v>1</v>
      </c>
      <c r="J70">
        <f t="shared" ca="1" si="7"/>
        <v>1.0017742202647861</v>
      </c>
    </row>
    <row r="71" spans="4:10" x14ac:dyDescent="0.2">
      <c r="D71" s="3">
        <v>2</v>
      </c>
      <c r="E71" s="3">
        <v>1</v>
      </c>
      <c r="F71" t="e">
        <f t="shared" si="4"/>
        <v>#N/A</v>
      </c>
      <c r="G71" t="e">
        <f t="shared" ca="1" si="5"/>
        <v>#N/A</v>
      </c>
      <c r="I71">
        <f t="shared" si="6"/>
        <v>2</v>
      </c>
      <c r="J71">
        <f t="shared" ca="1" si="7"/>
        <v>0.98525823249377686</v>
      </c>
    </row>
    <row r="72" spans="4:10" x14ac:dyDescent="0.2">
      <c r="D72" s="3">
        <v>3</v>
      </c>
      <c r="E72" s="3">
        <v>1</v>
      </c>
      <c r="F72" t="e">
        <f t="shared" si="4"/>
        <v>#N/A</v>
      </c>
      <c r="G72" t="e">
        <f t="shared" ca="1" si="5"/>
        <v>#N/A</v>
      </c>
      <c r="I72">
        <f t="shared" si="6"/>
        <v>3</v>
      </c>
      <c r="J72">
        <f t="shared" ca="1" si="7"/>
        <v>1.004590155699951</v>
      </c>
    </row>
    <row r="73" spans="4:10" x14ac:dyDescent="0.2">
      <c r="D73" s="3">
        <v>2</v>
      </c>
      <c r="E73" s="3">
        <v>1</v>
      </c>
      <c r="F73" t="e">
        <f t="shared" si="4"/>
        <v>#N/A</v>
      </c>
      <c r="G73" t="e">
        <f t="shared" ca="1" si="5"/>
        <v>#N/A</v>
      </c>
      <c r="I73">
        <f t="shared" si="6"/>
        <v>2</v>
      </c>
      <c r="J73">
        <f t="shared" ca="1" si="7"/>
        <v>1.0026355982977104</v>
      </c>
    </row>
    <row r="74" spans="4:10" x14ac:dyDescent="0.2">
      <c r="D74" s="3">
        <v>3</v>
      </c>
      <c r="E74" s="3">
        <v>1</v>
      </c>
      <c r="F74" t="e">
        <f t="shared" si="4"/>
        <v>#N/A</v>
      </c>
      <c r="G74" t="e">
        <f t="shared" ca="1" si="5"/>
        <v>#N/A</v>
      </c>
      <c r="I74">
        <f t="shared" si="6"/>
        <v>3</v>
      </c>
      <c r="J74">
        <f t="shared" ca="1" si="7"/>
        <v>1.012361282507384</v>
      </c>
    </row>
    <row r="75" spans="4:10" x14ac:dyDescent="0.2">
      <c r="D75" s="3">
        <v>0</v>
      </c>
      <c r="E75" s="3">
        <v>1</v>
      </c>
      <c r="F75" t="e">
        <f t="shared" si="4"/>
        <v>#N/A</v>
      </c>
      <c r="G75" t="e">
        <f t="shared" ca="1" si="5"/>
        <v>#N/A</v>
      </c>
      <c r="I75">
        <f t="shared" si="6"/>
        <v>0</v>
      </c>
      <c r="J75">
        <f t="shared" ca="1" si="7"/>
        <v>0.99495070001285546</v>
      </c>
    </row>
    <row r="76" spans="4:10" x14ac:dyDescent="0.2">
      <c r="D76" s="3">
        <v>0</v>
      </c>
      <c r="E76" s="3">
        <v>1</v>
      </c>
      <c r="F76" t="e">
        <f t="shared" si="4"/>
        <v>#N/A</v>
      </c>
      <c r="G76" t="e">
        <f t="shared" ca="1" si="5"/>
        <v>#N/A</v>
      </c>
      <c r="I76">
        <f t="shared" si="6"/>
        <v>0</v>
      </c>
      <c r="J76">
        <f t="shared" ca="1" si="7"/>
        <v>1.0054823765817213</v>
      </c>
    </row>
    <row r="77" spans="4:10" x14ac:dyDescent="0.2">
      <c r="D77" s="3">
        <v>0</v>
      </c>
      <c r="E77" s="3">
        <v>1</v>
      </c>
      <c r="F77" t="e">
        <f t="shared" si="4"/>
        <v>#N/A</v>
      </c>
      <c r="G77" t="e">
        <f t="shared" ca="1" si="5"/>
        <v>#N/A</v>
      </c>
      <c r="I77">
        <f t="shared" si="6"/>
        <v>0</v>
      </c>
      <c r="J77">
        <f t="shared" ca="1" si="7"/>
        <v>0.98921863538558596</v>
      </c>
    </row>
    <row r="78" spans="4:10" x14ac:dyDescent="0.2">
      <c r="D78" s="3">
        <v>1</v>
      </c>
      <c r="E78" s="3">
        <v>1</v>
      </c>
      <c r="F78" t="e">
        <f t="shared" si="4"/>
        <v>#N/A</v>
      </c>
      <c r="G78" t="e">
        <f t="shared" ca="1" si="5"/>
        <v>#N/A</v>
      </c>
      <c r="I78">
        <f t="shared" si="6"/>
        <v>1</v>
      </c>
      <c r="J78">
        <f t="shared" ca="1" si="7"/>
        <v>1.0073723623377695</v>
      </c>
    </row>
    <row r="79" spans="4:10" x14ac:dyDescent="0.2">
      <c r="D79" s="3">
        <v>4</v>
      </c>
      <c r="E79" s="3">
        <v>1</v>
      </c>
      <c r="F79" t="e">
        <f t="shared" si="4"/>
        <v>#N/A</v>
      </c>
      <c r="G79" t="e">
        <f t="shared" ca="1" si="5"/>
        <v>#N/A</v>
      </c>
      <c r="I79">
        <f t="shared" si="6"/>
        <v>4</v>
      </c>
      <c r="J79">
        <f t="shared" ca="1" si="7"/>
        <v>1.0038512369561579</v>
      </c>
    </row>
    <row r="80" spans="4:10" x14ac:dyDescent="0.2">
      <c r="D80" s="3">
        <v>3</v>
      </c>
      <c r="E80" s="3">
        <v>1</v>
      </c>
      <c r="F80" t="e">
        <f t="shared" si="4"/>
        <v>#N/A</v>
      </c>
      <c r="G80" t="e">
        <f t="shared" ca="1" si="5"/>
        <v>#N/A</v>
      </c>
      <c r="I80">
        <f t="shared" si="6"/>
        <v>3</v>
      </c>
      <c r="J80">
        <f t="shared" ca="1" si="7"/>
        <v>0.98954814171976313</v>
      </c>
    </row>
    <row r="81" spans="4:10" x14ac:dyDescent="0.2">
      <c r="D81" s="3">
        <v>2</v>
      </c>
      <c r="E81" s="3">
        <v>1</v>
      </c>
      <c r="F81" t="e">
        <f t="shared" si="4"/>
        <v>#N/A</v>
      </c>
      <c r="G81" t="e">
        <f t="shared" ca="1" si="5"/>
        <v>#N/A</v>
      </c>
      <c r="I81">
        <f t="shared" si="6"/>
        <v>2</v>
      </c>
      <c r="J81">
        <f t="shared" ca="1" si="7"/>
        <v>1.0083832229347702</v>
      </c>
    </row>
    <row r="82" spans="4:10" x14ac:dyDescent="0.2">
      <c r="D82" s="3">
        <v>4</v>
      </c>
      <c r="E82" s="3">
        <v>1</v>
      </c>
      <c r="F82" t="e">
        <f t="shared" si="4"/>
        <v>#N/A</v>
      </c>
      <c r="G82" t="e">
        <f t="shared" ca="1" si="5"/>
        <v>#N/A</v>
      </c>
      <c r="I82">
        <f t="shared" si="6"/>
        <v>4</v>
      </c>
      <c r="J82">
        <f t="shared" ca="1" si="7"/>
        <v>0.9989530317247397</v>
      </c>
    </row>
    <row r="83" spans="4:10" x14ac:dyDescent="0.2">
      <c r="D83" s="3">
        <v>2</v>
      </c>
      <c r="E83" s="3">
        <v>1</v>
      </c>
      <c r="F83" t="e">
        <f t="shared" si="4"/>
        <v>#N/A</v>
      </c>
      <c r="G83" t="e">
        <f t="shared" ca="1" si="5"/>
        <v>#N/A</v>
      </c>
      <c r="I83">
        <f t="shared" si="6"/>
        <v>2</v>
      </c>
      <c r="J83">
        <f t="shared" ca="1" si="7"/>
        <v>1.008903684842573</v>
      </c>
    </row>
    <row r="84" spans="4:10" x14ac:dyDescent="0.2">
      <c r="D84" s="3">
        <v>0</v>
      </c>
      <c r="E84" s="3">
        <v>1</v>
      </c>
      <c r="F84" t="e">
        <f t="shared" si="4"/>
        <v>#N/A</v>
      </c>
      <c r="G84" t="e">
        <f t="shared" ca="1" si="5"/>
        <v>#N/A</v>
      </c>
      <c r="I84">
        <f t="shared" si="6"/>
        <v>0</v>
      </c>
      <c r="J84">
        <f t="shared" ca="1" si="7"/>
        <v>0.99043207548051659</v>
      </c>
    </row>
    <row r="85" spans="4:10" x14ac:dyDescent="0.2">
      <c r="D85" s="3">
        <v>0</v>
      </c>
      <c r="E85" s="3">
        <v>1</v>
      </c>
      <c r="F85" t="e">
        <f t="shared" si="4"/>
        <v>#N/A</v>
      </c>
      <c r="G85" t="e">
        <f t="shared" ca="1" si="5"/>
        <v>#N/A</v>
      </c>
      <c r="I85">
        <f t="shared" si="6"/>
        <v>0</v>
      </c>
      <c r="J85">
        <f t="shared" ca="1" si="7"/>
        <v>0.99261414559985128</v>
      </c>
    </row>
    <row r="86" spans="4:10" x14ac:dyDescent="0.2">
      <c r="D86" s="3">
        <v>1</v>
      </c>
      <c r="E86" s="3">
        <v>1</v>
      </c>
      <c r="F86" t="e">
        <f t="shared" si="4"/>
        <v>#N/A</v>
      </c>
      <c r="G86" t="e">
        <f t="shared" ca="1" si="5"/>
        <v>#N/A</v>
      </c>
      <c r="I86">
        <f t="shared" si="6"/>
        <v>1</v>
      </c>
      <c r="J86">
        <f t="shared" ca="1" si="7"/>
        <v>0.98729045632749135</v>
      </c>
    </row>
    <row r="87" spans="4:10" x14ac:dyDescent="0.2">
      <c r="D87" s="3">
        <v>1</v>
      </c>
      <c r="E87" s="3">
        <v>1</v>
      </c>
      <c r="F87" t="e">
        <f t="shared" si="4"/>
        <v>#N/A</v>
      </c>
      <c r="G87" t="e">
        <f t="shared" ca="1" si="5"/>
        <v>#N/A</v>
      </c>
      <c r="I87">
        <f t="shared" si="6"/>
        <v>1</v>
      </c>
      <c r="J87">
        <f t="shared" ca="1" si="7"/>
        <v>1.0081270821537469</v>
      </c>
    </row>
    <row r="88" spans="4:10" x14ac:dyDescent="0.2">
      <c r="D88" s="3">
        <v>3</v>
      </c>
      <c r="E88" s="3">
        <v>1</v>
      </c>
      <c r="F88" t="e">
        <f t="shared" si="4"/>
        <v>#N/A</v>
      </c>
      <c r="G88" t="e">
        <f t="shared" ca="1" si="5"/>
        <v>#N/A</v>
      </c>
      <c r="I88">
        <f t="shared" si="6"/>
        <v>3</v>
      </c>
      <c r="J88">
        <f t="shared" ca="1" si="7"/>
        <v>0.9994648939321541</v>
      </c>
    </row>
    <row r="89" spans="4:10" x14ac:dyDescent="0.2">
      <c r="D89" s="3">
        <v>1</v>
      </c>
      <c r="E89" s="3">
        <v>1</v>
      </c>
      <c r="F89" t="e">
        <f t="shared" si="4"/>
        <v>#N/A</v>
      </c>
      <c r="G89" t="e">
        <f t="shared" ca="1" si="5"/>
        <v>#N/A</v>
      </c>
      <c r="I89">
        <f t="shared" si="6"/>
        <v>1</v>
      </c>
      <c r="J89">
        <f t="shared" ca="1" si="7"/>
        <v>1.0050880402718667</v>
      </c>
    </row>
    <row r="90" spans="4:10" x14ac:dyDescent="0.2">
      <c r="D90" s="3">
        <v>1</v>
      </c>
      <c r="E90" s="3">
        <v>1</v>
      </c>
      <c r="F90" t="e">
        <f t="shared" si="4"/>
        <v>#N/A</v>
      </c>
      <c r="G90" t="e">
        <f t="shared" ca="1" si="5"/>
        <v>#N/A</v>
      </c>
      <c r="I90">
        <f t="shared" si="6"/>
        <v>1</v>
      </c>
      <c r="J90">
        <f t="shared" ca="1" si="7"/>
        <v>1.0024823223045825</v>
      </c>
    </row>
    <row r="91" spans="4:10" x14ac:dyDescent="0.2">
      <c r="D91" s="3">
        <v>2</v>
      </c>
      <c r="E91" s="3">
        <v>1</v>
      </c>
      <c r="F91" t="e">
        <f t="shared" si="4"/>
        <v>#N/A</v>
      </c>
      <c r="G91" t="e">
        <f t="shared" ca="1" si="5"/>
        <v>#N/A</v>
      </c>
      <c r="I91">
        <f t="shared" si="6"/>
        <v>2</v>
      </c>
      <c r="J91">
        <f t="shared" ca="1" si="7"/>
        <v>1.0105824021980347</v>
      </c>
    </row>
    <row r="92" spans="4:10" x14ac:dyDescent="0.2">
      <c r="D92" s="3">
        <v>3</v>
      </c>
      <c r="E92" s="3">
        <v>1</v>
      </c>
      <c r="F92" t="e">
        <f t="shared" si="4"/>
        <v>#N/A</v>
      </c>
      <c r="G92" t="e">
        <f t="shared" ca="1" si="5"/>
        <v>#N/A</v>
      </c>
      <c r="I92">
        <f t="shared" si="6"/>
        <v>3</v>
      </c>
      <c r="J92">
        <f t="shared" ca="1" si="7"/>
        <v>0.99935320981480347</v>
      </c>
    </row>
    <row r="93" spans="4:10" x14ac:dyDescent="0.2">
      <c r="D93" s="3">
        <v>1</v>
      </c>
      <c r="E93" s="3">
        <v>1</v>
      </c>
      <c r="F93" t="e">
        <f t="shared" si="4"/>
        <v>#N/A</v>
      </c>
      <c r="G93" t="e">
        <f t="shared" ca="1" si="5"/>
        <v>#N/A</v>
      </c>
      <c r="I93">
        <f t="shared" si="6"/>
        <v>1</v>
      </c>
      <c r="J93">
        <f t="shared" ca="1" si="7"/>
        <v>0.98916838983998567</v>
      </c>
    </row>
    <row r="94" spans="4:10" x14ac:dyDescent="0.2">
      <c r="D94" s="3">
        <v>3</v>
      </c>
      <c r="E94" s="3">
        <v>1</v>
      </c>
      <c r="F94" t="e">
        <f t="shared" si="4"/>
        <v>#N/A</v>
      </c>
      <c r="G94" t="e">
        <f t="shared" ca="1" si="5"/>
        <v>#N/A</v>
      </c>
      <c r="I94">
        <f t="shared" si="6"/>
        <v>3</v>
      </c>
      <c r="J94">
        <f t="shared" ca="1" si="7"/>
        <v>0.98729140439853214</v>
      </c>
    </row>
    <row r="95" spans="4:10" x14ac:dyDescent="0.2">
      <c r="D95" s="3">
        <v>2</v>
      </c>
      <c r="E95" s="3">
        <v>1</v>
      </c>
      <c r="F95" t="e">
        <f t="shared" si="4"/>
        <v>#N/A</v>
      </c>
      <c r="G95" t="e">
        <f t="shared" ca="1" si="5"/>
        <v>#N/A</v>
      </c>
      <c r="I95">
        <f t="shared" si="6"/>
        <v>2</v>
      </c>
      <c r="J95">
        <f t="shared" ca="1" si="7"/>
        <v>0.9873334613463034</v>
      </c>
    </row>
    <row r="96" spans="4:10" x14ac:dyDescent="0.2">
      <c r="D96" s="3">
        <v>3</v>
      </c>
      <c r="E96" s="3">
        <v>1</v>
      </c>
      <c r="F96" t="e">
        <f t="shared" si="4"/>
        <v>#N/A</v>
      </c>
      <c r="G96" t="e">
        <f t="shared" ca="1" si="5"/>
        <v>#N/A</v>
      </c>
      <c r="I96">
        <f t="shared" si="6"/>
        <v>3</v>
      </c>
      <c r="J96">
        <f t="shared" ca="1" si="7"/>
        <v>0.99749661470609474</v>
      </c>
    </row>
    <row r="97" spans="4:10" x14ac:dyDescent="0.2">
      <c r="D97" s="3">
        <v>1</v>
      </c>
      <c r="E97" s="3">
        <v>1</v>
      </c>
      <c r="F97" t="e">
        <f t="shared" si="4"/>
        <v>#N/A</v>
      </c>
      <c r="G97" t="e">
        <f t="shared" ca="1" si="5"/>
        <v>#N/A</v>
      </c>
      <c r="I97">
        <f t="shared" si="6"/>
        <v>1</v>
      </c>
      <c r="J97">
        <f t="shared" ca="1" si="7"/>
        <v>1.0039805001983106</v>
      </c>
    </row>
    <row r="98" spans="4:10" x14ac:dyDescent="0.2">
      <c r="D98" s="3">
        <v>2</v>
      </c>
      <c r="E98" s="3">
        <v>1</v>
      </c>
      <c r="F98" t="e">
        <f t="shared" si="4"/>
        <v>#N/A</v>
      </c>
      <c r="G98" t="e">
        <f t="shared" ca="1" si="5"/>
        <v>#N/A</v>
      </c>
      <c r="I98">
        <f t="shared" si="6"/>
        <v>2</v>
      </c>
      <c r="J98">
        <f t="shared" ca="1" si="7"/>
        <v>1.010927749670389</v>
      </c>
    </row>
    <row r="99" spans="4:10" x14ac:dyDescent="0.2">
      <c r="D99" s="3">
        <v>0</v>
      </c>
      <c r="E99" s="3">
        <v>1</v>
      </c>
      <c r="F99" t="e">
        <f t="shared" si="4"/>
        <v>#N/A</v>
      </c>
      <c r="G99" t="e">
        <f t="shared" ca="1" si="5"/>
        <v>#N/A</v>
      </c>
      <c r="I99">
        <f t="shared" si="6"/>
        <v>0</v>
      </c>
      <c r="J99">
        <f t="shared" ca="1" si="7"/>
        <v>0.99797728008370556</v>
      </c>
    </row>
    <row r="100" spans="4:10" x14ac:dyDescent="0.2">
      <c r="D100" s="3">
        <v>3</v>
      </c>
      <c r="E100" s="3">
        <v>1</v>
      </c>
      <c r="F100" t="e">
        <f t="shared" si="4"/>
        <v>#N/A</v>
      </c>
      <c r="G100" t="e">
        <f t="shared" ca="1" si="5"/>
        <v>#N/A</v>
      </c>
      <c r="I100">
        <f t="shared" si="6"/>
        <v>3</v>
      </c>
      <c r="J100">
        <f t="shared" ca="1" si="7"/>
        <v>1.0026903479173892</v>
      </c>
    </row>
    <row r="101" spans="4:10" x14ac:dyDescent="0.2">
      <c r="D101" s="3">
        <v>0</v>
      </c>
      <c r="E101" s="3">
        <v>1</v>
      </c>
      <c r="F101" t="e">
        <f t="shared" si="4"/>
        <v>#N/A</v>
      </c>
      <c r="G101" t="e">
        <f t="shared" ca="1" si="5"/>
        <v>#N/A</v>
      </c>
      <c r="I101">
        <f t="shared" si="6"/>
        <v>0</v>
      </c>
      <c r="J101">
        <f t="shared" ca="1" si="7"/>
        <v>1.0117296433163445</v>
      </c>
    </row>
    <row r="102" spans="4:10" x14ac:dyDescent="0.2">
      <c r="D102" s="3">
        <v>2</v>
      </c>
      <c r="E102" s="3">
        <v>1</v>
      </c>
      <c r="F102" t="e">
        <f t="shared" si="4"/>
        <v>#N/A</v>
      </c>
      <c r="G102" t="e">
        <f t="shared" ca="1" si="5"/>
        <v>#N/A</v>
      </c>
      <c r="I102">
        <f t="shared" si="6"/>
        <v>2</v>
      </c>
      <c r="J102">
        <f t="shared" ca="1" si="7"/>
        <v>1.0029093160546039</v>
      </c>
    </row>
    <row r="103" spans="4:10" x14ac:dyDescent="0.2">
      <c r="D103" s="3">
        <v>3</v>
      </c>
      <c r="E103" s="3">
        <v>1</v>
      </c>
      <c r="F103" t="e">
        <f t="shared" si="4"/>
        <v>#N/A</v>
      </c>
      <c r="G103" t="e">
        <f t="shared" ca="1" si="5"/>
        <v>#N/A</v>
      </c>
      <c r="I103">
        <f t="shared" si="6"/>
        <v>3</v>
      </c>
      <c r="J103">
        <f t="shared" ca="1" si="7"/>
        <v>1.0147024838035958</v>
      </c>
    </row>
    <row r="104" spans="4:10" x14ac:dyDescent="0.2">
      <c r="D104" s="3">
        <v>0</v>
      </c>
      <c r="E104" s="3">
        <v>1</v>
      </c>
      <c r="F104" t="e">
        <f t="shared" si="4"/>
        <v>#N/A</v>
      </c>
      <c r="G104" t="e">
        <f t="shared" ca="1" si="5"/>
        <v>#N/A</v>
      </c>
      <c r="I104">
        <f t="shared" si="6"/>
        <v>0</v>
      </c>
      <c r="J104">
        <f t="shared" ca="1" si="7"/>
        <v>0.98831041268776298</v>
      </c>
    </row>
    <row r="105" spans="4:10" x14ac:dyDescent="0.2">
      <c r="D105" s="3">
        <v>3</v>
      </c>
      <c r="E105" s="3">
        <v>1</v>
      </c>
      <c r="F105" t="e">
        <f t="shared" si="4"/>
        <v>#N/A</v>
      </c>
      <c r="G105" t="e">
        <f t="shared" ca="1" si="5"/>
        <v>#N/A</v>
      </c>
      <c r="I105">
        <f t="shared" si="6"/>
        <v>3</v>
      </c>
      <c r="J105">
        <f t="shared" ca="1" si="7"/>
        <v>1.0139235719697923</v>
      </c>
    </row>
    <row r="106" spans="4:10" x14ac:dyDescent="0.2">
      <c r="D106" s="3">
        <v>0</v>
      </c>
      <c r="E106" s="3">
        <v>1</v>
      </c>
      <c r="F106" t="e">
        <f t="shared" si="4"/>
        <v>#N/A</v>
      </c>
      <c r="G106" t="e">
        <f t="shared" ca="1" si="5"/>
        <v>#N/A</v>
      </c>
      <c r="I106">
        <f t="shared" si="6"/>
        <v>0</v>
      </c>
      <c r="J106">
        <f t="shared" ca="1" si="7"/>
        <v>1.0117989913700169</v>
      </c>
    </row>
    <row r="107" spans="4:10" x14ac:dyDescent="0.2">
      <c r="D107" s="3">
        <v>0</v>
      </c>
      <c r="E107" s="3">
        <v>1</v>
      </c>
      <c r="F107" t="e">
        <f t="shared" si="4"/>
        <v>#N/A</v>
      </c>
      <c r="G107" t="e">
        <f t="shared" ca="1" si="5"/>
        <v>#N/A</v>
      </c>
      <c r="I107">
        <f t="shared" si="6"/>
        <v>0</v>
      </c>
      <c r="J107">
        <f t="shared" ca="1" si="7"/>
        <v>1.0084621315177298</v>
      </c>
    </row>
    <row r="108" spans="4:10" x14ac:dyDescent="0.2">
      <c r="D108" s="3">
        <v>1</v>
      </c>
      <c r="E108" s="3">
        <v>1</v>
      </c>
      <c r="F108" t="e">
        <f t="shared" si="4"/>
        <v>#N/A</v>
      </c>
      <c r="G108" t="e">
        <f t="shared" ca="1" si="5"/>
        <v>#N/A</v>
      </c>
      <c r="I108">
        <f t="shared" si="6"/>
        <v>1</v>
      </c>
      <c r="J108">
        <f t="shared" ca="1" si="7"/>
        <v>1.0046547890689606</v>
      </c>
    </row>
    <row r="109" spans="4:10" x14ac:dyDescent="0.2">
      <c r="D109" s="3">
        <v>2</v>
      </c>
      <c r="E109" s="3">
        <v>1</v>
      </c>
      <c r="F109" t="e">
        <f t="shared" si="4"/>
        <v>#N/A</v>
      </c>
      <c r="G109" t="e">
        <f t="shared" ca="1" si="5"/>
        <v>#N/A</v>
      </c>
      <c r="I109">
        <f t="shared" si="6"/>
        <v>2</v>
      </c>
      <c r="J109">
        <f t="shared" ca="1" si="7"/>
        <v>0.98563269650296714</v>
      </c>
    </row>
    <row r="110" spans="4:10" x14ac:dyDescent="0.2">
      <c r="D110" s="3">
        <v>2</v>
      </c>
      <c r="E110" s="3">
        <v>1</v>
      </c>
      <c r="F110" t="e">
        <f t="shared" si="4"/>
        <v>#N/A</v>
      </c>
      <c r="G110" t="e">
        <f t="shared" ca="1" si="5"/>
        <v>#N/A</v>
      </c>
      <c r="I110">
        <f t="shared" si="6"/>
        <v>2</v>
      </c>
      <c r="J110">
        <f t="shared" ca="1" si="7"/>
        <v>1.0009740233837783</v>
      </c>
    </row>
    <row r="111" spans="4:10" x14ac:dyDescent="0.2">
      <c r="D111" s="3">
        <v>3</v>
      </c>
      <c r="E111" s="3">
        <v>1</v>
      </c>
      <c r="F111" t="e">
        <f t="shared" si="4"/>
        <v>#N/A</v>
      </c>
      <c r="G111" t="e">
        <f t="shared" ca="1" si="5"/>
        <v>#N/A</v>
      </c>
      <c r="I111">
        <f t="shared" si="6"/>
        <v>3</v>
      </c>
      <c r="J111">
        <f t="shared" ca="1" si="7"/>
        <v>0.98534409899859343</v>
      </c>
    </row>
    <row r="112" spans="4:10" x14ac:dyDescent="0.2">
      <c r="D112" s="3">
        <v>1</v>
      </c>
      <c r="E112" s="3">
        <v>1</v>
      </c>
      <c r="F112" t="e">
        <f t="shared" si="4"/>
        <v>#N/A</v>
      </c>
      <c r="G112" t="e">
        <f t="shared" ca="1" si="5"/>
        <v>#N/A</v>
      </c>
      <c r="I112">
        <f t="shared" si="6"/>
        <v>1</v>
      </c>
      <c r="J112">
        <f t="shared" ca="1" si="7"/>
        <v>0.99616053943114402</v>
      </c>
    </row>
    <row r="113" spans="4:10" x14ac:dyDescent="0.2">
      <c r="D113" s="3">
        <v>2</v>
      </c>
      <c r="E113" s="3">
        <v>1</v>
      </c>
      <c r="F113" t="e">
        <f t="shared" si="4"/>
        <v>#N/A</v>
      </c>
      <c r="G113" t="e">
        <f t="shared" ca="1" si="5"/>
        <v>#N/A</v>
      </c>
      <c r="I113">
        <f t="shared" si="6"/>
        <v>2</v>
      </c>
      <c r="J113">
        <f t="shared" ca="1" si="7"/>
        <v>1.0108975810455347</v>
      </c>
    </row>
    <row r="114" spans="4:10" x14ac:dyDescent="0.2">
      <c r="D114" s="3">
        <v>2</v>
      </c>
      <c r="E114" s="3">
        <v>1</v>
      </c>
      <c r="F114" t="e">
        <f t="shared" si="4"/>
        <v>#N/A</v>
      </c>
      <c r="G114" t="e">
        <f t="shared" ca="1" si="5"/>
        <v>#N/A</v>
      </c>
      <c r="I114">
        <f t="shared" si="6"/>
        <v>2</v>
      </c>
      <c r="J114">
        <f t="shared" ca="1" si="7"/>
        <v>1.0130175484884525</v>
      </c>
    </row>
    <row r="115" spans="4:10" x14ac:dyDescent="0.2">
      <c r="D115" s="3">
        <v>3</v>
      </c>
      <c r="E115" s="3">
        <v>1</v>
      </c>
      <c r="F115" t="e">
        <f t="shared" si="4"/>
        <v>#N/A</v>
      </c>
      <c r="G115" t="e">
        <f t="shared" ca="1" si="5"/>
        <v>#N/A</v>
      </c>
      <c r="I115">
        <f t="shared" si="6"/>
        <v>3</v>
      </c>
      <c r="J115">
        <f t="shared" ca="1" si="7"/>
        <v>0.99405526228844587</v>
      </c>
    </row>
    <row r="116" spans="4:10" x14ac:dyDescent="0.2">
      <c r="D116" s="3">
        <v>2</v>
      </c>
      <c r="E116" s="3">
        <v>1</v>
      </c>
      <c r="F116" t="e">
        <f t="shared" si="4"/>
        <v>#N/A</v>
      </c>
      <c r="G116" t="e">
        <f t="shared" ca="1" si="5"/>
        <v>#N/A</v>
      </c>
      <c r="I116">
        <f t="shared" si="6"/>
        <v>2</v>
      </c>
      <c r="J116">
        <f t="shared" ca="1" si="7"/>
        <v>0.98670239143701921</v>
      </c>
    </row>
    <row r="117" spans="4:10" x14ac:dyDescent="0.2">
      <c r="D117" s="3">
        <v>3</v>
      </c>
      <c r="E117" s="3">
        <v>1</v>
      </c>
      <c r="F117" t="e">
        <f t="shared" si="4"/>
        <v>#N/A</v>
      </c>
      <c r="G117" t="e">
        <f t="shared" ca="1" si="5"/>
        <v>#N/A</v>
      </c>
      <c r="I117">
        <f t="shared" si="6"/>
        <v>3</v>
      </c>
      <c r="J117">
        <f t="shared" ca="1" si="7"/>
        <v>0.99877492637175247</v>
      </c>
    </row>
    <row r="118" spans="4:10" x14ac:dyDescent="0.2">
      <c r="D118" s="3">
        <v>3</v>
      </c>
      <c r="E118" s="3">
        <v>1</v>
      </c>
      <c r="F118" t="e">
        <f t="shared" si="4"/>
        <v>#N/A</v>
      </c>
      <c r="G118" t="e">
        <f t="shared" ca="1" si="5"/>
        <v>#N/A</v>
      </c>
      <c r="I118">
        <f t="shared" si="6"/>
        <v>3</v>
      </c>
      <c r="J118">
        <f t="shared" ca="1" si="7"/>
        <v>1.0120442151737914</v>
      </c>
    </row>
    <row r="119" spans="4:10" x14ac:dyDescent="0.2">
      <c r="D119" s="3">
        <v>3</v>
      </c>
      <c r="E119" s="3">
        <v>1</v>
      </c>
      <c r="F119" t="e">
        <f t="shared" si="4"/>
        <v>#N/A</v>
      </c>
      <c r="G119" t="e">
        <f t="shared" ca="1" si="5"/>
        <v>#N/A</v>
      </c>
      <c r="I119">
        <f t="shared" si="6"/>
        <v>3</v>
      </c>
      <c r="J119">
        <f t="shared" ca="1" si="7"/>
        <v>1.0030212071149516</v>
      </c>
    </row>
    <row r="120" spans="4:10" x14ac:dyDescent="0.2">
      <c r="D120" s="3">
        <v>9</v>
      </c>
      <c r="E120" s="3">
        <v>0</v>
      </c>
      <c r="F120">
        <f t="shared" si="4"/>
        <v>9</v>
      </c>
      <c r="G120">
        <f t="shared" ca="1" si="5"/>
        <v>-8.7316853634306461E-3</v>
      </c>
      <c r="I120" t="e">
        <f t="shared" si="6"/>
        <v>#N/A</v>
      </c>
      <c r="J120" t="e">
        <f t="shared" ca="1" si="7"/>
        <v>#N/A</v>
      </c>
    </row>
    <row r="121" spans="4:10" x14ac:dyDescent="0.2">
      <c r="D121" s="3">
        <v>3</v>
      </c>
      <c r="E121" s="3">
        <v>0</v>
      </c>
      <c r="F121">
        <f t="shared" si="4"/>
        <v>3</v>
      </c>
      <c r="G121">
        <f t="shared" ca="1" si="5"/>
        <v>1.1171671405577479E-2</v>
      </c>
      <c r="I121" t="e">
        <f t="shared" si="6"/>
        <v>#N/A</v>
      </c>
      <c r="J121" t="e">
        <f t="shared" ca="1" si="7"/>
        <v>#N/A</v>
      </c>
    </row>
    <row r="122" spans="4:10" x14ac:dyDescent="0.2">
      <c r="D122" s="3">
        <v>10</v>
      </c>
      <c r="E122" s="3">
        <v>0</v>
      </c>
      <c r="F122">
        <f t="shared" si="4"/>
        <v>10</v>
      </c>
      <c r="G122">
        <f t="shared" ca="1" si="5"/>
        <v>1.2197466635741852E-2</v>
      </c>
      <c r="I122" t="e">
        <f t="shared" si="6"/>
        <v>#N/A</v>
      </c>
      <c r="J122" t="e">
        <f t="shared" ca="1" si="7"/>
        <v>#N/A</v>
      </c>
    </row>
    <row r="123" spans="4:10" x14ac:dyDescent="0.2">
      <c r="D123" s="3">
        <v>4</v>
      </c>
      <c r="E123" s="3">
        <v>1</v>
      </c>
      <c r="F123" t="e">
        <f t="shared" si="4"/>
        <v>#N/A</v>
      </c>
      <c r="G123" t="e">
        <f t="shared" ca="1" si="5"/>
        <v>#N/A</v>
      </c>
      <c r="I123">
        <f t="shared" si="6"/>
        <v>4</v>
      </c>
      <c r="J123">
        <f t="shared" ca="1" si="7"/>
        <v>1.0131729605395345</v>
      </c>
    </row>
    <row r="124" spans="4:10" x14ac:dyDescent="0.2">
      <c r="D124" s="3">
        <v>6</v>
      </c>
      <c r="E124" s="3">
        <v>0</v>
      </c>
      <c r="F124">
        <f t="shared" si="4"/>
        <v>6</v>
      </c>
      <c r="G124">
        <f t="shared" ca="1" si="5"/>
        <v>-3.9180490777187132E-3</v>
      </c>
      <c r="I124" t="e">
        <f t="shared" si="6"/>
        <v>#N/A</v>
      </c>
      <c r="J124" t="e">
        <f t="shared" ca="1" si="7"/>
        <v>#N/A</v>
      </c>
    </row>
    <row r="125" spans="4:10" x14ac:dyDescent="0.2">
      <c r="D125" s="3">
        <v>8</v>
      </c>
      <c r="E125" s="3">
        <v>0</v>
      </c>
      <c r="F125">
        <f t="shared" si="4"/>
        <v>8</v>
      </c>
      <c r="G125">
        <f t="shared" ca="1" si="5"/>
        <v>-6.8579830268344971E-3</v>
      </c>
      <c r="I125" t="e">
        <f t="shared" si="6"/>
        <v>#N/A</v>
      </c>
      <c r="J125" t="e">
        <f t="shared" ca="1" si="7"/>
        <v>#N/A</v>
      </c>
    </row>
    <row r="126" spans="4:10" x14ac:dyDescent="0.2">
      <c r="D126" s="3">
        <v>5</v>
      </c>
      <c r="E126" s="3">
        <v>0</v>
      </c>
      <c r="F126">
        <f t="shared" si="4"/>
        <v>5</v>
      </c>
      <c r="G126">
        <f t="shared" ca="1" si="5"/>
        <v>-3.9045478579977245E-3</v>
      </c>
      <c r="I126" t="e">
        <f t="shared" si="6"/>
        <v>#N/A</v>
      </c>
      <c r="J126" t="e">
        <f t="shared" ca="1" si="7"/>
        <v>#N/A</v>
      </c>
    </row>
    <row r="127" spans="4:10" x14ac:dyDescent="0.2">
      <c r="D127" s="3">
        <v>3</v>
      </c>
      <c r="E127" s="3">
        <v>0</v>
      </c>
      <c r="F127">
        <f t="shared" si="4"/>
        <v>3</v>
      </c>
      <c r="G127">
        <f t="shared" ca="1" si="5"/>
        <v>-1.4103133747052068E-2</v>
      </c>
      <c r="I127" t="e">
        <f t="shared" si="6"/>
        <v>#N/A</v>
      </c>
      <c r="J127" t="e">
        <f t="shared" ca="1" si="7"/>
        <v>#N/A</v>
      </c>
    </row>
    <row r="128" spans="4:10" x14ac:dyDescent="0.2">
      <c r="D128" s="3">
        <v>6</v>
      </c>
      <c r="E128" s="3">
        <v>0</v>
      </c>
      <c r="F128">
        <f t="shared" si="4"/>
        <v>6</v>
      </c>
      <c r="G128">
        <f t="shared" ca="1" si="5"/>
        <v>-7.9639544964567426E-3</v>
      </c>
      <c r="I128" t="e">
        <f t="shared" si="6"/>
        <v>#N/A</v>
      </c>
      <c r="J128" t="e">
        <f t="shared" ca="1" si="7"/>
        <v>#N/A</v>
      </c>
    </row>
    <row r="129" spans="4:10" x14ac:dyDescent="0.2">
      <c r="D129" s="3">
        <v>4</v>
      </c>
      <c r="E129" s="3">
        <v>0</v>
      </c>
      <c r="F129">
        <f t="shared" si="4"/>
        <v>4</v>
      </c>
      <c r="G129">
        <f t="shared" ca="1" si="5"/>
        <v>6.786548592163222E-3</v>
      </c>
      <c r="I129" t="e">
        <f t="shared" si="6"/>
        <v>#N/A</v>
      </c>
      <c r="J129" t="e">
        <f t="shared" ca="1" si="7"/>
        <v>#N/A</v>
      </c>
    </row>
    <row r="130" spans="4:10" x14ac:dyDescent="0.2">
      <c r="D130" s="3">
        <v>9</v>
      </c>
      <c r="E130" s="3">
        <v>1</v>
      </c>
      <c r="F130" t="e">
        <f t="shared" si="4"/>
        <v>#N/A</v>
      </c>
      <c r="G130" t="e">
        <f t="shared" ca="1" si="5"/>
        <v>#N/A</v>
      </c>
      <c r="I130">
        <f t="shared" si="6"/>
        <v>9</v>
      </c>
      <c r="J130">
        <f t="shared" ca="1" si="7"/>
        <v>1.0045221863923077</v>
      </c>
    </row>
    <row r="131" spans="4:10" x14ac:dyDescent="0.2">
      <c r="D131" s="3">
        <v>3</v>
      </c>
      <c r="E131" s="3">
        <v>1</v>
      </c>
      <c r="F131" t="e">
        <f t="shared" ref="F131:F194" si="8">IF($E131=0,$D131,NA())</f>
        <v>#N/A</v>
      </c>
      <c r="G131" t="e">
        <f t="shared" ref="G131:G194" ca="1" si="9">IF($E131=0,$E131 + (RAND()-0.5)*$H$1, NA())</f>
        <v>#N/A</v>
      </c>
      <c r="I131">
        <f t="shared" ref="I131:I194" si="10">IF($E131=1,$D131,NA())</f>
        <v>3</v>
      </c>
      <c r="J131">
        <f t="shared" ref="J131:J194" ca="1" si="11">IF($E131=1,$E131 + (RAND()-0.5)*$H$1, NA())</f>
        <v>1.0064163883359705</v>
      </c>
    </row>
    <row r="132" spans="4:10" x14ac:dyDescent="0.2">
      <c r="D132" s="3">
        <v>4</v>
      </c>
      <c r="E132" s="3">
        <v>1</v>
      </c>
      <c r="F132" t="e">
        <f t="shared" si="8"/>
        <v>#N/A</v>
      </c>
      <c r="G132" t="e">
        <f t="shared" ca="1" si="9"/>
        <v>#N/A</v>
      </c>
      <c r="I132">
        <f t="shared" si="10"/>
        <v>4</v>
      </c>
      <c r="J132">
        <f t="shared" ca="1" si="11"/>
        <v>1.0096831748102482</v>
      </c>
    </row>
    <row r="133" spans="4:10" x14ac:dyDescent="0.2">
      <c r="D133" s="3">
        <v>7</v>
      </c>
      <c r="E133" s="3">
        <v>1</v>
      </c>
      <c r="F133" t="e">
        <f t="shared" si="8"/>
        <v>#N/A</v>
      </c>
      <c r="G133" t="e">
        <f t="shared" ca="1" si="9"/>
        <v>#N/A</v>
      </c>
      <c r="I133">
        <f t="shared" si="10"/>
        <v>7</v>
      </c>
      <c r="J133">
        <f t="shared" ca="1" si="11"/>
        <v>1.0096349585450601</v>
      </c>
    </row>
    <row r="134" spans="4:10" x14ac:dyDescent="0.2">
      <c r="D134" s="3">
        <v>7</v>
      </c>
      <c r="E134" s="3">
        <v>1</v>
      </c>
      <c r="F134" t="e">
        <f t="shared" si="8"/>
        <v>#N/A</v>
      </c>
      <c r="G134" t="e">
        <f t="shared" ca="1" si="9"/>
        <v>#N/A</v>
      </c>
      <c r="I134">
        <f t="shared" si="10"/>
        <v>7</v>
      </c>
      <c r="J134">
        <f t="shared" ca="1" si="11"/>
        <v>0.98913892727596964</v>
      </c>
    </row>
    <row r="135" spans="4:10" x14ac:dyDescent="0.2">
      <c r="D135" s="3">
        <v>4</v>
      </c>
      <c r="E135" s="3">
        <v>1</v>
      </c>
      <c r="F135" t="e">
        <f t="shared" si="8"/>
        <v>#N/A</v>
      </c>
      <c r="G135" t="e">
        <f t="shared" ca="1" si="9"/>
        <v>#N/A</v>
      </c>
      <c r="I135">
        <f t="shared" si="10"/>
        <v>4</v>
      </c>
      <c r="J135">
        <f t="shared" ca="1" si="11"/>
        <v>1.0081405419474245</v>
      </c>
    </row>
    <row r="136" spans="4:10" x14ac:dyDescent="0.2">
      <c r="D136" s="3">
        <v>6</v>
      </c>
      <c r="E136" s="3">
        <v>0</v>
      </c>
      <c r="F136">
        <f t="shared" si="8"/>
        <v>6</v>
      </c>
      <c r="G136">
        <f t="shared" ca="1" si="9"/>
        <v>4.7816177242445725E-3</v>
      </c>
      <c r="I136" t="e">
        <f t="shared" si="10"/>
        <v>#N/A</v>
      </c>
      <c r="J136" t="e">
        <f t="shared" ca="1" si="11"/>
        <v>#N/A</v>
      </c>
    </row>
    <row r="137" spans="4:10" x14ac:dyDescent="0.2">
      <c r="D137" s="3">
        <v>3</v>
      </c>
      <c r="E137" s="3">
        <v>1</v>
      </c>
      <c r="F137" t="e">
        <f t="shared" si="8"/>
        <v>#N/A</v>
      </c>
      <c r="G137" t="e">
        <f t="shared" ca="1" si="9"/>
        <v>#N/A</v>
      </c>
      <c r="I137">
        <f t="shared" si="10"/>
        <v>3</v>
      </c>
      <c r="J137">
        <f t="shared" ca="1" si="11"/>
        <v>0.98620336019003074</v>
      </c>
    </row>
    <row r="138" spans="4:10" x14ac:dyDescent="0.2">
      <c r="D138" s="3">
        <v>6</v>
      </c>
      <c r="E138" s="3">
        <v>1</v>
      </c>
      <c r="F138" t="e">
        <f t="shared" si="8"/>
        <v>#N/A</v>
      </c>
      <c r="G138" t="e">
        <f t="shared" ca="1" si="9"/>
        <v>#N/A</v>
      </c>
      <c r="I138">
        <f t="shared" si="10"/>
        <v>6</v>
      </c>
      <c r="J138">
        <f t="shared" ca="1" si="11"/>
        <v>1.0059519241010093</v>
      </c>
    </row>
    <row r="139" spans="4:10" x14ac:dyDescent="0.2">
      <c r="D139" s="3">
        <v>2</v>
      </c>
      <c r="E139" s="3">
        <v>0</v>
      </c>
      <c r="F139">
        <f t="shared" si="8"/>
        <v>2</v>
      </c>
      <c r="G139">
        <f t="shared" ca="1" si="9"/>
        <v>2.6532334908194997E-3</v>
      </c>
      <c r="I139" t="e">
        <f t="shared" si="10"/>
        <v>#N/A</v>
      </c>
      <c r="J139" t="e">
        <f t="shared" ca="1" si="11"/>
        <v>#N/A</v>
      </c>
    </row>
    <row r="140" spans="4:10" x14ac:dyDescent="0.2">
      <c r="D140" s="3">
        <v>8</v>
      </c>
      <c r="E140" s="3">
        <v>0</v>
      </c>
      <c r="F140">
        <f t="shared" si="8"/>
        <v>8</v>
      </c>
      <c r="G140">
        <f t="shared" ca="1" si="9"/>
        <v>-1.3493012683114357E-2</v>
      </c>
      <c r="I140" t="e">
        <f t="shared" si="10"/>
        <v>#N/A</v>
      </c>
      <c r="J140" t="e">
        <f t="shared" ca="1" si="11"/>
        <v>#N/A</v>
      </c>
    </row>
    <row r="141" spans="4:10" x14ac:dyDescent="0.2">
      <c r="D141" s="3">
        <v>2</v>
      </c>
      <c r="E141" s="3">
        <v>1</v>
      </c>
      <c r="F141" t="e">
        <f t="shared" si="8"/>
        <v>#N/A</v>
      </c>
      <c r="G141" t="e">
        <f t="shared" ca="1" si="9"/>
        <v>#N/A</v>
      </c>
      <c r="I141">
        <f t="shared" si="10"/>
        <v>2</v>
      </c>
      <c r="J141">
        <f t="shared" ca="1" si="11"/>
        <v>1.0081387786697564</v>
      </c>
    </row>
    <row r="142" spans="4:10" x14ac:dyDescent="0.2">
      <c r="D142" s="3">
        <v>7</v>
      </c>
      <c r="E142" s="3">
        <v>0</v>
      </c>
      <c r="F142">
        <f t="shared" si="8"/>
        <v>7</v>
      </c>
      <c r="G142">
        <f t="shared" ca="1" si="9"/>
        <v>1.2625948959720811E-2</v>
      </c>
      <c r="I142" t="e">
        <f t="shared" si="10"/>
        <v>#N/A</v>
      </c>
      <c r="J142" t="e">
        <f t="shared" ca="1" si="11"/>
        <v>#N/A</v>
      </c>
    </row>
    <row r="143" spans="4:10" x14ac:dyDescent="0.2">
      <c r="D143" s="3">
        <v>9</v>
      </c>
      <c r="E143" s="3">
        <v>0</v>
      </c>
      <c r="F143">
        <f t="shared" si="8"/>
        <v>9</v>
      </c>
      <c r="G143">
        <f t="shared" ca="1" si="9"/>
        <v>-3.3487486318039893E-3</v>
      </c>
      <c r="I143" t="e">
        <f t="shared" si="10"/>
        <v>#N/A</v>
      </c>
      <c r="J143" t="e">
        <f t="shared" ca="1" si="11"/>
        <v>#N/A</v>
      </c>
    </row>
    <row r="144" spans="4:10" x14ac:dyDescent="0.2">
      <c r="D144" s="3">
        <v>1</v>
      </c>
      <c r="E144" s="3">
        <v>1</v>
      </c>
      <c r="F144" t="e">
        <f t="shared" si="8"/>
        <v>#N/A</v>
      </c>
      <c r="G144" t="e">
        <f t="shared" ca="1" si="9"/>
        <v>#N/A</v>
      </c>
      <c r="I144">
        <f t="shared" si="10"/>
        <v>1</v>
      </c>
      <c r="J144">
        <f t="shared" ca="1" si="11"/>
        <v>0.99698771415559906</v>
      </c>
    </row>
    <row r="145" spans="4:10" x14ac:dyDescent="0.2">
      <c r="D145" s="3">
        <v>8</v>
      </c>
      <c r="E145" s="3">
        <v>0</v>
      </c>
      <c r="F145">
        <f t="shared" si="8"/>
        <v>8</v>
      </c>
      <c r="G145">
        <f t="shared" ca="1" si="9"/>
        <v>-2.0105354266120056E-3</v>
      </c>
      <c r="I145" t="e">
        <f t="shared" si="10"/>
        <v>#N/A</v>
      </c>
      <c r="J145" t="e">
        <f t="shared" ca="1" si="11"/>
        <v>#N/A</v>
      </c>
    </row>
    <row r="146" spans="4:10" x14ac:dyDescent="0.2">
      <c r="D146" s="3">
        <v>7</v>
      </c>
      <c r="E146" s="3">
        <v>0</v>
      </c>
      <c r="F146">
        <f t="shared" si="8"/>
        <v>7</v>
      </c>
      <c r="G146">
        <f t="shared" ca="1" si="9"/>
        <v>9.6467801414303229E-3</v>
      </c>
      <c r="I146" t="e">
        <f t="shared" si="10"/>
        <v>#N/A</v>
      </c>
      <c r="J146" t="e">
        <f t="shared" ca="1" si="11"/>
        <v>#N/A</v>
      </c>
    </row>
    <row r="147" spans="4:10" x14ac:dyDescent="0.2">
      <c r="D147" s="3">
        <v>6</v>
      </c>
      <c r="E147" s="3">
        <v>0</v>
      </c>
      <c r="F147">
        <f t="shared" si="8"/>
        <v>6</v>
      </c>
      <c r="G147">
        <f t="shared" ca="1" si="9"/>
        <v>-1.2195392466016058E-2</v>
      </c>
      <c r="I147" t="e">
        <f t="shared" si="10"/>
        <v>#N/A</v>
      </c>
      <c r="J147" t="e">
        <f t="shared" ca="1" si="11"/>
        <v>#N/A</v>
      </c>
    </row>
    <row r="148" spans="4:10" x14ac:dyDescent="0.2">
      <c r="D148" s="3">
        <v>6</v>
      </c>
      <c r="E148" s="3">
        <v>0</v>
      </c>
      <c r="F148">
        <f t="shared" si="8"/>
        <v>6</v>
      </c>
      <c r="G148">
        <f t="shared" ca="1" si="9"/>
        <v>-4.4449341948279517E-3</v>
      </c>
      <c r="I148" t="e">
        <f t="shared" si="10"/>
        <v>#N/A</v>
      </c>
      <c r="J148" t="e">
        <f t="shared" ca="1" si="11"/>
        <v>#N/A</v>
      </c>
    </row>
    <row r="149" spans="4:10" x14ac:dyDescent="0.2">
      <c r="D149" s="3">
        <v>6</v>
      </c>
      <c r="E149" s="3">
        <v>0</v>
      </c>
      <c r="F149">
        <f t="shared" si="8"/>
        <v>6</v>
      </c>
      <c r="G149">
        <f t="shared" ca="1" si="9"/>
        <v>-1.2839759735793847E-2</v>
      </c>
      <c r="I149" t="e">
        <f t="shared" si="10"/>
        <v>#N/A</v>
      </c>
      <c r="J149" t="e">
        <f t="shared" ca="1" si="11"/>
        <v>#N/A</v>
      </c>
    </row>
    <row r="150" spans="4:10" x14ac:dyDescent="0.2">
      <c r="D150" s="3">
        <v>9</v>
      </c>
      <c r="E150" s="3">
        <v>1</v>
      </c>
      <c r="F150" t="e">
        <f t="shared" si="8"/>
        <v>#N/A</v>
      </c>
      <c r="G150" t="e">
        <f t="shared" ca="1" si="9"/>
        <v>#N/A</v>
      </c>
      <c r="I150">
        <f t="shared" si="10"/>
        <v>9</v>
      </c>
      <c r="J150">
        <f t="shared" ca="1" si="11"/>
        <v>0.98812716653396593</v>
      </c>
    </row>
    <row r="151" spans="4:10" x14ac:dyDescent="0.2">
      <c r="D151" s="3">
        <v>2</v>
      </c>
      <c r="E151" s="3">
        <v>1</v>
      </c>
      <c r="F151" t="e">
        <f t="shared" si="8"/>
        <v>#N/A</v>
      </c>
      <c r="G151" t="e">
        <f t="shared" ca="1" si="9"/>
        <v>#N/A</v>
      </c>
      <c r="I151">
        <f t="shared" si="10"/>
        <v>2</v>
      </c>
      <c r="J151">
        <f t="shared" ca="1" si="11"/>
        <v>1.009128567850752</v>
      </c>
    </row>
    <row r="152" spans="4:10" x14ac:dyDescent="0.2">
      <c r="D152" s="3">
        <v>1</v>
      </c>
      <c r="E152" s="3">
        <v>1</v>
      </c>
      <c r="F152" t="e">
        <f t="shared" si="8"/>
        <v>#N/A</v>
      </c>
      <c r="G152" t="e">
        <f t="shared" ca="1" si="9"/>
        <v>#N/A</v>
      </c>
      <c r="I152">
        <f t="shared" si="10"/>
        <v>1</v>
      </c>
      <c r="J152">
        <f t="shared" ca="1" si="11"/>
        <v>0.99743011996008701</v>
      </c>
    </row>
    <row r="153" spans="4:10" x14ac:dyDescent="0.2">
      <c r="D153" s="3">
        <v>6</v>
      </c>
      <c r="E153" s="3">
        <v>0</v>
      </c>
      <c r="F153">
        <f t="shared" si="8"/>
        <v>6</v>
      </c>
      <c r="G153">
        <f t="shared" ca="1" si="9"/>
        <v>-7.037676223953903E-5</v>
      </c>
      <c r="I153" t="e">
        <f t="shared" si="10"/>
        <v>#N/A</v>
      </c>
      <c r="J153" t="e">
        <f t="shared" ca="1" si="11"/>
        <v>#N/A</v>
      </c>
    </row>
    <row r="154" spans="4:10" x14ac:dyDescent="0.2">
      <c r="D154" s="3">
        <v>10</v>
      </c>
      <c r="E154" s="3">
        <v>0</v>
      </c>
      <c r="F154">
        <f t="shared" si="8"/>
        <v>10</v>
      </c>
      <c r="G154">
        <f t="shared" ca="1" si="9"/>
        <v>1.5196077423986819E-3</v>
      </c>
      <c r="I154" t="e">
        <f t="shared" si="10"/>
        <v>#N/A</v>
      </c>
      <c r="J154" t="e">
        <f t="shared" ca="1" si="11"/>
        <v>#N/A</v>
      </c>
    </row>
    <row r="155" spans="4:10" x14ac:dyDescent="0.2">
      <c r="D155" s="3">
        <v>8</v>
      </c>
      <c r="E155" s="3">
        <v>1</v>
      </c>
      <c r="F155" t="e">
        <f t="shared" si="8"/>
        <v>#N/A</v>
      </c>
      <c r="G155" t="e">
        <f t="shared" ca="1" si="9"/>
        <v>#N/A</v>
      </c>
      <c r="I155">
        <f t="shared" si="10"/>
        <v>8</v>
      </c>
      <c r="J155">
        <f t="shared" ca="1" si="11"/>
        <v>0.98994185014108227</v>
      </c>
    </row>
    <row r="156" spans="4:10" x14ac:dyDescent="0.2">
      <c r="D156" s="3">
        <v>3</v>
      </c>
      <c r="E156" s="3">
        <v>0</v>
      </c>
      <c r="F156">
        <f t="shared" si="8"/>
        <v>3</v>
      </c>
      <c r="G156">
        <f t="shared" ca="1" si="9"/>
        <v>8.3242290421254184E-3</v>
      </c>
      <c r="I156" t="e">
        <f t="shared" si="10"/>
        <v>#N/A</v>
      </c>
      <c r="J156" t="e">
        <f t="shared" ca="1" si="11"/>
        <v>#N/A</v>
      </c>
    </row>
    <row r="157" spans="4:10" x14ac:dyDescent="0.2">
      <c r="D157" s="3">
        <v>10</v>
      </c>
      <c r="E157" s="3">
        <v>0</v>
      </c>
      <c r="F157">
        <f t="shared" si="8"/>
        <v>10</v>
      </c>
      <c r="G157">
        <f t="shared" ca="1" si="9"/>
        <v>-9.5609395289022563E-3</v>
      </c>
      <c r="I157" t="e">
        <f t="shared" si="10"/>
        <v>#N/A</v>
      </c>
      <c r="J157" t="e">
        <f t="shared" ca="1" si="11"/>
        <v>#N/A</v>
      </c>
    </row>
    <row r="158" spans="4:10" x14ac:dyDescent="0.2">
      <c r="D158" s="3">
        <v>1</v>
      </c>
      <c r="E158" s="3">
        <v>1</v>
      </c>
      <c r="F158" t="e">
        <f t="shared" si="8"/>
        <v>#N/A</v>
      </c>
      <c r="G158" t="e">
        <f t="shared" ca="1" si="9"/>
        <v>#N/A</v>
      </c>
      <c r="I158">
        <f t="shared" si="10"/>
        <v>1</v>
      </c>
      <c r="J158">
        <f t="shared" ca="1" si="11"/>
        <v>1.0145428514619677</v>
      </c>
    </row>
    <row r="159" spans="4:10" x14ac:dyDescent="0.2">
      <c r="D159" s="3">
        <v>9</v>
      </c>
      <c r="E159" s="3">
        <v>0</v>
      </c>
      <c r="F159">
        <f t="shared" si="8"/>
        <v>9</v>
      </c>
      <c r="G159">
        <f t="shared" ca="1" si="9"/>
        <v>-1.4694805242946215E-2</v>
      </c>
      <c r="I159" t="e">
        <f t="shared" si="10"/>
        <v>#N/A</v>
      </c>
      <c r="J159" t="e">
        <f t="shared" ca="1" si="11"/>
        <v>#N/A</v>
      </c>
    </row>
    <row r="160" spans="4:10" x14ac:dyDescent="0.2">
      <c r="D160" s="3">
        <v>1</v>
      </c>
      <c r="E160" s="3">
        <v>0</v>
      </c>
      <c r="F160">
        <f t="shared" si="8"/>
        <v>1</v>
      </c>
      <c r="G160">
        <f t="shared" ca="1" si="9"/>
        <v>4.1847844206300694E-3</v>
      </c>
      <c r="I160" t="e">
        <f t="shared" si="10"/>
        <v>#N/A</v>
      </c>
      <c r="J160" t="e">
        <f t="shared" ca="1" si="11"/>
        <v>#N/A</v>
      </c>
    </row>
    <row r="161" spans="4:10" x14ac:dyDescent="0.2">
      <c r="D161" s="3">
        <v>3</v>
      </c>
      <c r="E161" s="3">
        <v>1</v>
      </c>
      <c r="F161" t="e">
        <f t="shared" si="8"/>
        <v>#N/A</v>
      </c>
      <c r="G161" t="e">
        <f t="shared" ca="1" si="9"/>
        <v>#N/A</v>
      </c>
      <c r="I161">
        <f t="shared" si="10"/>
        <v>3</v>
      </c>
      <c r="J161">
        <f t="shared" ca="1" si="11"/>
        <v>1.0060157903634841</v>
      </c>
    </row>
    <row r="162" spans="4:10" x14ac:dyDescent="0.2">
      <c r="D162" s="3">
        <v>8</v>
      </c>
      <c r="E162" s="3">
        <v>0</v>
      </c>
      <c r="F162">
        <f t="shared" si="8"/>
        <v>8</v>
      </c>
      <c r="G162">
        <f t="shared" ca="1" si="9"/>
        <v>7.3288518900285612E-3</v>
      </c>
      <c r="I162" t="e">
        <f t="shared" si="10"/>
        <v>#N/A</v>
      </c>
      <c r="J162" t="e">
        <f t="shared" ca="1" si="11"/>
        <v>#N/A</v>
      </c>
    </row>
    <row r="163" spans="4:10" x14ac:dyDescent="0.2">
      <c r="D163" s="3">
        <v>3</v>
      </c>
      <c r="E163" s="3">
        <v>0</v>
      </c>
      <c r="F163">
        <f t="shared" si="8"/>
        <v>3</v>
      </c>
      <c r="G163">
        <f t="shared" ca="1" si="9"/>
        <v>8.9593631871328194E-3</v>
      </c>
      <c r="I163" t="e">
        <f t="shared" si="10"/>
        <v>#N/A</v>
      </c>
      <c r="J163" t="e">
        <f t="shared" ca="1" si="11"/>
        <v>#N/A</v>
      </c>
    </row>
    <row r="164" spans="4:10" x14ac:dyDescent="0.2">
      <c r="D164" s="3">
        <v>4</v>
      </c>
      <c r="E164" s="3">
        <v>1</v>
      </c>
      <c r="F164" t="e">
        <f t="shared" si="8"/>
        <v>#N/A</v>
      </c>
      <c r="G164" t="e">
        <f t="shared" ca="1" si="9"/>
        <v>#N/A</v>
      </c>
      <c r="I164">
        <f t="shared" si="10"/>
        <v>4</v>
      </c>
      <c r="J164">
        <f t="shared" ca="1" si="11"/>
        <v>0.98872156313193538</v>
      </c>
    </row>
    <row r="165" spans="4:10" x14ac:dyDescent="0.2">
      <c r="D165" s="3">
        <v>8</v>
      </c>
      <c r="E165" s="3">
        <v>0</v>
      </c>
      <c r="F165">
        <f t="shared" si="8"/>
        <v>8</v>
      </c>
      <c r="G165">
        <f t="shared" ca="1" si="9"/>
        <v>-4.1012431374415443E-3</v>
      </c>
      <c r="I165" t="e">
        <f t="shared" si="10"/>
        <v>#N/A</v>
      </c>
      <c r="J165" t="e">
        <f t="shared" ca="1" si="11"/>
        <v>#N/A</v>
      </c>
    </row>
    <row r="166" spans="4:10" x14ac:dyDescent="0.2">
      <c r="D166" s="3">
        <v>1</v>
      </c>
      <c r="E166" s="3">
        <v>1</v>
      </c>
      <c r="F166" t="e">
        <f t="shared" si="8"/>
        <v>#N/A</v>
      </c>
      <c r="G166" t="e">
        <f t="shared" ca="1" si="9"/>
        <v>#N/A</v>
      </c>
      <c r="I166">
        <f t="shared" si="10"/>
        <v>1</v>
      </c>
      <c r="J166">
        <f t="shared" ca="1" si="11"/>
        <v>0.99352877511959237</v>
      </c>
    </row>
    <row r="167" spans="4:10" x14ac:dyDescent="0.2">
      <c r="D167" s="3">
        <v>6</v>
      </c>
      <c r="E167" s="3">
        <v>1</v>
      </c>
      <c r="F167" t="e">
        <f t="shared" si="8"/>
        <v>#N/A</v>
      </c>
      <c r="G167" t="e">
        <f t="shared" ca="1" si="9"/>
        <v>#N/A</v>
      </c>
      <c r="I167">
        <f t="shared" si="10"/>
        <v>6</v>
      </c>
      <c r="J167">
        <f t="shared" ca="1" si="11"/>
        <v>1.0004794673397477</v>
      </c>
    </row>
    <row r="168" spans="4:10" x14ac:dyDescent="0.2">
      <c r="D168" s="3">
        <v>1</v>
      </c>
      <c r="E168" s="3">
        <v>1</v>
      </c>
      <c r="F168" t="e">
        <f t="shared" si="8"/>
        <v>#N/A</v>
      </c>
      <c r="G168" t="e">
        <f t="shared" ca="1" si="9"/>
        <v>#N/A</v>
      </c>
      <c r="I168">
        <f t="shared" si="10"/>
        <v>1</v>
      </c>
      <c r="J168">
        <f t="shared" ca="1" si="11"/>
        <v>0.99102070916743135</v>
      </c>
    </row>
    <row r="169" spans="4:10" x14ac:dyDescent="0.2">
      <c r="D169" s="3">
        <v>1</v>
      </c>
      <c r="E169" s="3">
        <v>1</v>
      </c>
      <c r="F169" t="e">
        <f t="shared" si="8"/>
        <v>#N/A</v>
      </c>
      <c r="G169" t="e">
        <f t="shared" ca="1" si="9"/>
        <v>#N/A</v>
      </c>
      <c r="I169">
        <f t="shared" si="10"/>
        <v>1</v>
      </c>
      <c r="J169">
        <f t="shared" ca="1" si="11"/>
        <v>0.99506831360393433</v>
      </c>
    </row>
    <row r="170" spans="4:10" x14ac:dyDescent="0.2">
      <c r="D170" s="3">
        <v>8</v>
      </c>
      <c r="E170" s="3">
        <v>1</v>
      </c>
      <c r="F170" t="e">
        <f t="shared" si="8"/>
        <v>#N/A</v>
      </c>
      <c r="G170" t="e">
        <f t="shared" ca="1" si="9"/>
        <v>#N/A</v>
      </c>
      <c r="I170">
        <f t="shared" si="10"/>
        <v>8</v>
      </c>
      <c r="J170">
        <f t="shared" ca="1" si="11"/>
        <v>0.99939586464701702</v>
      </c>
    </row>
    <row r="171" spans="4:10" x14ac:dyDescent="0.2">
      <c r="D171" s="3">
        <v>4</v>
      </c>
      <c r="E171" s="3">
        <v>1</v>
      </c>
      <c r="F171" t="e">
        <f t="shared" si="8"/>
        <v>#N/A</v>
      </c>
      <c r="G171" t="e">
        <f t="shared" ca="1" si="9"/>
        <v>#N/A</v>
      </c>
      <c r="I171">
        <f t="shared" si="10"/>
        <v>4</v>
      </c>
      <c r="J171">
        <f t="shared" ca="1" si="11"/>
        <v>1.0098963071327014</v>
      </c>
    </row>
    <row r="172" spans="4:10" x14ac:dyDescent="0.2">
      <c r="D172" s="3">
        <v>1</v>
      </c>
      <c r="E172" s="3">
        <v>0</v>
      </c>
      <c r="F172">
        <f t="shared" si="8"/>
        <v>1</v>
      </c>
      <c r="G172">
        <f t="shared" ca="1" si="9"/>
        <v>6.9923509696970211E-3</v>
      </c>
      <c r="I172" t="e">
        <f t="shared" si="10"/>
        <v>#N/A</v>
      </c>
      <c r="J172" t="e">
        <f t="shared" ca="1" si="11"/>
        <v>#N/A</v>
      </c>
    </row>
    <row r="173" spans="4:10" x14ac:dyDescent="0.2">
      <c r="D173" s="3">
        <v>10</v>
      </c>
      <c r="E173" s="3">
        <v>0</v>
      </c>
      <c r="F173">
        <f t="shared" si="8"/>
        <v>10</v>
      </c>
      <c r="G173">
        <f t="shared" ca="1" si="9"/>
        <v>5.5800000894723142E-4</v>
      </c>
      <c r="I173" t="e">
        <f t="shared" si="10"/>
        <v>#N/A</v>
      </c>
      <c r="J173" t="e">
        <f t="shared" ca="1" si="11"/>
        <v>#N/A</v>
      </c>
    </row>
    <row r="174" spans="4:10" x14ac:dyDescent="0.2">
      <c r="D174" s="3">
        <v>7</v>
      </c>
      <c r="E174" s="3">
        <v>0</v>
      </c>
      <c r="F174">
        <f t="shared" si="8"/>
        <v>7</v>
      </c>
      <c r="G174">
        <f t="shared" ca="1" si="9"/>
        <v>-9.1428950522404896E-3</v>
      </c>
      <c r="I174" t="e">
        <f t="shared" si="10"/>
        <v>#N/A</v>
      </c>
      <c r="J174" t="e">
        <f t="shared" ca="1" si="11"/>
        <v>#N/A</v>
      </c>
    </row>
    <row r="175" spans="4:10" x14ac:dyDescent="0.2">
      <c r="D175" s="3">
        <v>5</v>
      </c>
      <c r="E175" s="3">
        <v>0</v>
      </c>
      <c r="F175">
        <f t="shared" si="8"/>
        <v>5</v>
      </c>
      <c r="G175">
        <f t="shared" ca="1" si="9"/>
        <v>8.5171237514101977E-3</v>
      </c>
      <c r="I175" t="e">
        <f t="shared" si="10"/>
        <v>#N/A</v>
      </c>
      <c r="J175" t="e">
        <f t="shared" ca="1" si="11"/>
        <v>#N/A</v>
      </c>
    </row>
    <row r="176" spans="4:10" x14ac:dyDescent="0.2">
      <c r="D176" s="3">
        <v>5</v>
      </c>
      <c r="E176" s="3">
        <v>0</v>
      </c>
      <c r="F176">
        <f t="shared" si="8"/>
        <v>5</v>
      </c>
      <c r="G176">
        <f t="shared" ca="1" si="9"/>
        <v>-9.2083802106773596E-3</v>
      </c>
      <c r="I176" t="e">
        <f t="shared" si="10"/>
        <v>#N/A</v>
      </c>
      <c r="J176" t="e">
        <f t="shared" ca="1" si="11"/>
        <v>#N/A</v>
      </c>
    </row>
    <row r="177" spans="4:10" x14ac:dyDescent="0.2">
      <c r="D177" s="3">
        <v>1</v>
      </c>
      <c r="E177" s="3">
        <v>0</v>
      </c>
      <c r="F177">
        <f t="shared" si="8"/>
        <v>1</v>
      </c>
      <c r="G177">
        <f t="shared" ca="1" si="9"/>
        <v>9.1598914477787584E-3</v>
      </c>
      <c r="I177" t="e">
        <f t="shared" si="10"/>
        <v>#N/A</v>
      </c>
      <c r="J177" t="e">
        <f t="shared" ca="1" si="11"/>
        <v>#N/A</v>
      </c>
    </row>
    <row r="178" spans="4:10" x14ac:dyDescent="0.2">
      <c r="D178" s="3">
        <v>10</v>
      </c>
      <c r="E178" s="3">
        <v>1</v>
      </c>
      <c r="F178" t="e">
        <f t="shared" si="8"/>
        <v>#N/A</v>
      </c>
      <c r="G178" t="e">
        <f t="shared" ca="1" si="9"/>
        <v>#N/A</v>
      </c>
      <c r="I178">
        <f t="shared" si="10"/>
        <v>10</v>
      </c>
      <c r="J178">
        <f t="shared" ca="1" si="11"/>
        <v>1.0065158743298643</v>
      </c>
    </row>
    <row r="179" spans="4:10" x14ac:dyDescent="0.2">
      <c r="D179" s="3">
        <v>6</v>
      </c>
      <c r="E179" s="3">
        <v>0</v>
      </c>
      <c r="F179">
        <f t="shared" si="8"/>
        <v>6</v>
      </c>
      <c r="G179">
        <f t="shared" ca="1" si="9"/>
        <v>-3.1726162140478052E-3</v>
      </c>
      <c r="I179" t="e">
        <f t="shared" si="10"/>
        <v>#N/A</v>
      </c>
      <c r="J179" t="e">
        <f t="shared" ca="1" si="11"/>
        <v>#N/A</v>
      </c>
    </row>
    <row r="180" spans="4:10" x14ac:dyDescent="0.2">
      <c r="D180" s="3">
        <v>9</v>
      </c>
      <c r="E180" s="3">
        <v>0</v>
      </c>
      <c r="F180">
        <f t="shared" si="8"/>
        <v>9</v>
      </c>
      <c r="G180">
        <f t="shared" ca="1" si="9"/>
        <v>6.7194051180378116E-3</v>
      </c>
      <c r="I180" t="e">
        <f t="shared" si="10"/>
        <v>#N/A</v>
      </c>
      <c r="J180" t="e">
        <f t="shared" ca="1" si="11"/>
        <v>#N/A</v>
      </c>
    </row>
    <row r="181" spans="4:10" x14ac:dyDescent="0.2">
      <c r="D181" s="3">
        <v>9</v>
      </c>
      <c r="E181" s="3">
        <v>0</v>
      </c>
      <c r="F181">
        <f t="shared" si="8"/>
        <v>9</v>
      </c>
      <c r="G181">
        <f t="shared" ca="1" si="9"/>
        <v>3.3366752374829698E-3</v>
      </c>
      <c r="I181" t="e">
        <f t="shared" si="10"/>
        <v>#N/A</v>
      </c>
      <c r="J181" t="e">
        <f t="shared" ca="1" si="11"/>
        <v>#N/A</v>
      </c>
    </row>
    <row r="182" spans="4:10" x14ac:dyDescent="0.2">
      <c r="D182" s="3">
        <v>8</v>
      </c>
      <c r="E182" s="3">
        <v>0</v>
      </c>
      <c r="F182">
        <f t="shared" si="8"/>
        <v>8</v>
      </c>
      <c r="G182">
        <f t="shared" ca="1" si="9"/>
        <v>5.1345439963889662E-3</v>
      </c>
      <c r="I182" t="e">
        <f t="shared" si="10"/>
        <v>#N/A</v>
      </c>
      <c r="J182" t="e">
        <f t="shared" ca="1" si="11"/>
        <v>#N/A</v>
      </c>
    </row>
    <row r="183" spans="4:10" x14ac:dyDescent="0.2">
      <c r="D183" s="3">
        <v>5</v>
      </c>
      <c r="E183" s="3">
        <v>0</v>
      </c>
      <c r="F183">
        <f t="shared" si="8"/>
        <v>5</v>
      </c>
      <c r="G183">
        <f t="shared" ca="1" si="9"/>
        <v>9.6842188929115117E-3</v>
      </c>
      <c r="I183" t="e">
        <f t="shared" si="10"/>
        <v>#N/A</v>
      </c>
      <c r="J183" t="e">
        <f t="shared" ca="1" si="11"/>
        <v>#N/A</v>
      </c>
    </row>
    <row r="184" spans="4:10" x14ac:dyDescent="0.2">
      <c r="D184" s="3">
        <v>1</v>
      </c>
      <c r="E184" s="3">
        <v>1</v>
      </c>
      <c r="F184" t="e">
        <f t="shared" si="8"/>
        <v>#N/A</v>
      </c>
      <c r="G184" t="e">
        <f t="shared" ca="1" si="9"/>
        <v>#N/A</v>
      </c>
      <c r="I184">
        <f t="shared" si="10"/>
        <v>1</v>
      </c>
      <c r="J184">
        <f t="shared" ca="1" si="11"/>
        <v>0.99731249149408896</v>
      </c>
    </row>
    <row r="185" spans="4:10" x14ac:dyDescent="0.2">
      <c r="D185" s="3">
        <v>9</v>
      </c>
      <c r="E185" s="3">
        <v>1</v>
      </c>
      <c r="F185" t="e">
        <f t="shared" si="8"/>
        <v>#N/A</v>
      </c>
      <c r="G185" t="e">
        <f t="shared" ca="1" si="9"/>
        <v>#N/A</v>
      </c>
      <c r="I185">
        <f t="shared" si="10"/>
        <v>9</v>
      </c>
      <c r="J185">
        <f t="shared" ca="1" si="11"/>
        <v>0.98774248265125919</v>
      </c>
    </row>
    <row r="186" spans="4:10" x14ac:dyDescent="0.2">
      <c r="D186" s="3">
        <v>1</v>
      </c>
      <c r="E186" s="3">
        <v>1</v>
      </c>
      <c r="F186" t="e">
        <f t="shared" si="8"/>
        <v>#N/A</v>
      </c>
      <c r="G186" t="e">
        <f t="shared" ca="1" si="9"/>
        <v>#N/A</v>
      </c>
      <c r="I186">
        <f t="shared" si="10"/>
        <v>1</v>
      </c>
      <c r="J186">
        <f t="shared" ca="1" si="11"/>
        <v>0.99780513992341713</v>
      </c>
    </row>
    <row r="187" spans="4:10" x14ac:dyDescent="0.2">
      <c r="D187" s="3">
        <v>8</v>
      </c>
      <c r="E187" s="3">
        <v>1</v>
      </c>
      <c r="F187" t="e">
        <f t="shared" si="8"/>
        <v>#N/A</v>
      </c>
      <c r="G187" t="e">
        <f t="shared" ca="1" si="9"/>
        <v>#N/A</v>
      </c>
      <c r="I187">
        <f t="shared" si="10"/>
        <v>8</v>
      </c>
      <c r="J187">
        <f t="shared" ca="1" si="11"/>
        <v>1.0149120071416535</v>
      </c>
    </row>
    <row r="188" spans="4:10" x14ac:dyDescent="0.2">
      <c r="D188" s="3">
        <v>5</v>
      </c>
      <c r="E188" s="3">
        <v>0</v>
      </c>
      <c r="F188">
        <f t="shared" si="8"/>
        <v>5</v>
      </c>
      <c r="G188">
        <f t="shared" ca="1" si="9"/>
        <v>-1.2452029052992268E-2</v>
      </c>
      <c r="I188" t="e">
        <f t="shared" si="10"/>
        <v>#N/A</v>
      </c>
      <c r="J188" t="e">
        <f t="shared" ca="1" si="11"/>
        <v>#N/A</v>
      </c>
    </row>
    <row r="189" spans="4:10" x14ac:dyDescent="0.2">
      <c r="D189" s="3">
        <v>3</v>
      </c>
      <c r="E189" s="3">
        <v>0</v>
      </c>
      <c r="F189">
        <f t="shared" si="8"/>
        <v>3</v>
      </c>
      <c r="G189">
        <f t="shared" ca="1" si="9"/>
        <v>2.695363075214566E-3</v>
      </c>
      <c r="I189" t="e">
        <f t="shared" si="10"/>
        <v>#N/A</v>
      </c>
      <c r="J189" t="e">
        <f t="shared" ca="1" si="11"/>
        <v>#N/A</v>
      </c>
    </row>
    <row r="190" spans="4:10" x14ac:dyDescent="0.2">
      <c r="D190" s="3">
        <v>7</v>
      </c>
      <c r="E190" s="3">
        <v>1</v>
      </c>
      <c r="F190" t="e">
        <f t="shared" si="8"/>
        <v>#N/A</v>
      </c>
      <c r="G190" t="e">
        <f t="shared" ca="1" si="9"/>
        <v>#N/A</v>
      </c>
      <c r="I190">
        <f t="shared" si="10"/>
        <v>7</v>
      </c>
      <c r="J190">
        <f t="shared" ca="1" si="11"/>
        <v>1.008789904549289</v>
      </c>
    </row>
    <row r="191" spans="4:10" x14ac:dyDescent="0.2">
      <c r="D191" s="3">
        <v>7</v>
      </c>
      <c r="E191" s="3">
        <v>0</v>
      </c>
      <c r="F191">
        <f t="shared" si="8"/>
        <v>7</v>
      </c>
      <c r="G191">
        <f t="shared" ca="1" si="9"/>
        <v>-9.0072198651427126E-4</v>
      </c>
      <c r="I191" t="e">
        <f t="shared" si="10"/>
        <v>#N/A</v>
      </c>
      <c r="J191" t="e">
        <f t="shared" ca="1" si="11"/>
        <v>#N/A</v>
      </c>
    </row>
    <row r="192" spans="4:10" x14ac:dyDescent="0.2">
      <c r="D192" s="3">
        <v>9</v>
      </c>
      <c r="E192" s="3">
        <v>0</v>
      </c>
      <c r="F192">
        <f t="shared" si="8"/>
        <v>9</v>
      </c>
      <c r="G192">
        <f t="shared" ca="1" si="9"/>
        <v>1.3241766241153358E-2</v>
      </c>
      <c r="I192" t="e">
        <f t="shared" si="10"/>
        <v>#N/A</v>
      </c>
      <c r="J192" t="e">
        <f t="shared" ca="1" si="11"/>
        <v>#N/A</v>
      </c>
    </row>
    <row r="193" spans="4:10" x14ac:dyDescent="0.2">
      <c r="D193" s="3">
        <v>7</v>
      </c>
      <c r="E193" s="3">
        <v>0</v>
      </c>
      <c r="F193">
        <f t="shared" si="8"/>
        <v>7</v>
      </c>
      <c r="G193">
        <f t="shared" ca="1" si="9"/>
        <v>5.9692545021380588E-3</v>
      </c>
      <c r="I193" t="e">
        <f t="shared" si="10"/>
        <v>#N/A</v>
      </c>
      <c r="J193" t="e">
        <f t="shared" ca="1" si="11"/>
        <v>#N/A</v>
      </c>
    </row>
    <row r="194" spans="4:10" x14ac:dyDescent="0.2">
      <c r="D194" s="3">
        <v>3</v>
      </c>
      <c r="E194" s="3">
        <v>0</v>
      </c>
      <c r="F194">
        <f t="shared" si="8"/>
        <v>3</v>
      </c>
      <c r="G194">
        <f t="shared" ca="1" si="9"/>
        <v>8.9427412696364197E-3</v>
      </c>
      <c r="I194" t="e">
        <f t="shared" si="10"/>
        <v>#N/A</v>
      </c>
      <c r="J194" t="e">
        <f t="shared" ca="1" si="11"/>
        <v>#N/A</v>
      </c>
    </row>
    <row r="195" spans="4:10" x14ac:dyDescent="0.2">
      <c r="D195" s="3">
        <v>1</v>
      </c>
      <c r="E195" s="3">
        <v>1</v>
      </c>
      <c r="F195" t="e">
        <f t="shared" ref="F195:F251" si="12">IF($E195=0,$D195,NA())</f>
        <v>#N/A</v>
      </c>
      <c r="G195" t="e">
        <f t="shared" ref="G195:G251" ca="1" si="13">IF($E195=0,$E195 + (RAND()-0.5)*$H$1, NA())</f>
        <v>#N/A</v>
      </c>
      <c r="I195">
        <f t="shared" ref="I195:I251" si="14">IF($E195=1,$D195,NA())</f>
        <v>1</v>
      </c>
      <c r="J195">
        <f t="shared" ref="J195:J251" ca="1" si="15">IF($E195=1,$E195 + (RAND()-0.5)*$H$1, NA())</f>
        <v>1.0076998371211598</v>
      </c>
    </row>
    <row r="196" spans="4:10" x14ac:dyDescent="0.2">
      <c r="D196" s="3">
        <v>8</v>
      </c>
      <c r="E196" s="3">
        <v>0</v>
      </c>
      <c r="F196">
        <f t="shared" si="12"/>
        <v>8</v>
      </c>
      <c r="G196">
        <f t="shared" ca="1" si="13"/>
        <v>-1.2589746991243799E-2</v>
      </c>
      <c r="I196" t="e">
        <f t="shared" si="14"/>
        <v>#N/A</v>
      </c>
      <c r="J196" t="e">
        <f t="shared" ca="1" si="15"/>
        <v>#N/A</v>
      </c>
    </row>
    <row r="197" spans="4:10" x14ac:dyDescent="0.2">
      <c r="D197" s="3">
        <v>3</v>
      </c>
      <c r="E197" s="3">
        <v>0</v>
      </c>
      <c r="F197">
        <f t="shared" si="12"/>
        <v>3</v>
      </c>
      <c r="G197">
        <f t="shared" ca="1" si="13"/>
        <v>4.1346150240309174E-3</v>
      </c>
      <c r="I197" t="e">
        <f t="shared" si="14"/>
        <v>#N/A</v>
      </c>
      <c r="J197" t="e">
        <f t="shared" ca="1" si="15"/>
        <v>#N/A</v>
      </c>
    </row>
    <row r="198" spans="4:10" x14ac:dyDescent="0.2">
      <c r="D198" s="3">
        <v>8</v>
      </c>
      <c r="E198" s="3">
        <v>1</v>
      </c>
      <c r="F198" t="e">
        <f t="shared" si="12"/>
        <v>#N/A</v>
      </c>
      <c r="G198" t="e">
        <f t="shared" ca="1" si="13"/>
        <v>#N/A</v>
      </c>
      <c r="I198">
        <f t="shared" si="14"/>
        <v>8</v>
      </c>
      <c r="J198">
        <f t="shared" ca="1" si="15"/>
        <v>1.000240989425293</v>
      </c>
    </row>
    <row r="199" spans="4:10" x14ac:dyDescent="0.2">
      <c r="D199" s="3">
        <v>8</v>
      </c>
      <c r="E199" s="3">
        <v>0</v>
      </c>
      <c r="F199">
        <f t="shared" si="12"/>
        <v>8</v>
      </c>
      <c r="G199">
        <f t="shared" ca="1" si="13"/>
        <v>1.266738683769973E-2</v>
      </c>
      <c r="I199" t="e">
        <f t="shared" si="14"/>
        <v>#N/A</v>
      </c>
      <c r="J199" t="e">
        <f t="shared" ca="1" si="15"/>
        <v>#N/A</v>
      </c>
    </row>
    <row r="200" spans="4:10" x14ac:dyDescent="0.2">
      <c r="D200" s="3">
        <v>5</v>
      </c>
      <c r="E200" s="3">
        <v>0</v>
      </c>
      <c r="F200">
        <f t="shared" si="12"/>
        <v>5</v>
      </c>
      <c r="G200">
        <f t="shared" ca="1" si="13"/>
        <v>2.7289554421507822E-4</v>
      </c>
      <c r="I200" t="e">
        <f t="shared" si="14"/>
        <v>#N/A</v>
      </c>
      <c r="J200" t="e">
        <f t="shared" ca="1" si="15"/>
        <v>#N/A</v>
      </c>
    </row>
    <row r="201" spans="4:10" x14ac:dyDescent="0.2">
      <c r="D201" s="3">
        <v>1</v>
      </c>
      <c r="E201" s="3">
        <v>1</v>
      </c>
      <c r="F201" t="e">
        <f t="shared" si="12"/>
        <v>#N/A</v>
      </c>
      <c r="G201" t="e">
        <f t="shared" ca="1" si="13"/>
        <v>#N/A</v>
      </c>
      <c r="I201">
        <f t="shared" si="14"/>
        <v>1</v>
      </c>
      <c r="J201">
        <f t="shared" ca="1" si="15"/>
        <v>1.0006444318560181</v>
      </c>
    </row>
    <row r="202" spans="4:10" x14ac:dyDescent="0.2">
      <c r="D202" s="3">
        <v>10</v>
      </c>
      <c r="E202" s="3">
        <v>0</v>
      </c>
      <c r="F202">
        <f t="shared" si="12"/>
        <v>10</v>
      </c>
      <c r="G202">
        <f t="shared" ca="1" si="13"/>
        <v>6.624723129224473E-3</v>
      </c>
      <c r="I202" t="e">
        <f t="shared" si="14"/>
        <v>#N/A</v>
      </c>
      <c r="J202" t="e">
        <f t="shared" ca="1" si="15"/>
        <v>#N/A</v>
      </c>
    </row>
    <row r="203" spans="4:10" x14ac:dyDescent="0.2">
      <c r="D203" s="3">
        <v>7</v>
      </c>
      <c r="E203" s="3">
        <v>0</v>
      </c>
      <c r="F203">
        <f t="shared" si="12"/>
        <v>7</v>
      </c>
      <c r="G203">
        <f t="shared" ca="1" si="13"/>
        <v>-9.279473968858365E-3</v>
      </c>
      <c r="I203" t="e">
        <f t="shared" si="14"/>
        <v>#N/A</v>
      </c>
      <c r="J203" t="e">
        <f t="shared" ca="1" si="15"/>
        <v>#N/A</v>
      </c>
    </row>
    <row r="204" spans="4:10" x14ac:dyDescent="0.2">
      <c r="D204" s="3">
        <v>10</v>
      </c>
      <c r="E204" s="3">
        <v>1</v>
      </c>
      <c r="F204" t="e">
        <f t="shared" si="12"/>
        <v>#N/A</v>
      </c>
      <c r="G204" t="e">
        <f t="shared" ca="1" si="13"/>
        <v>#N/A</v>
      </c>
      <c r="I204">
        <f t="shared" si="14"/>
        <v>10</v>
      </c>
      <c r="J204">
        <f t="shared" ca="1" si="15"/>
        <v>1.005835408742537</v>
      </c>
    </row>
    <row r="205" spans="4:10" x14ac:dyDescent="0.2">
      <c r="D205" s="3">
        <v>5</v>
      </c>
      <c r="E205" s="3">
        <v>0</v>
      </c>
      <c r="F205">
        <f t="shared" si="12"/>
        <v>5</v>
      </c>
      <c r="G205">
        <f t="shared" ca="1" si="13"/>
        <v>1.3183720347631827E-2</v>
      </c>
      <c r="I205" t="e">
        <f t="shared" si="14"/>
        <v>#N/A</v>
      </c>
      <c r="J205" t="e">
        <f t="shared" ca="1" si="15"/>
        <v>#N/A</v>
      </c>
    </row>
    <row r="206" spans="4:10" x14ac:dyDescent="0.2">
      <c r="D206" s="3">
        <v>8</v>
      </c>
      <c r="E206" s="3">
        <v>0</v>
      </c>
      <c r="F206">
        <f t="shared" si="12"/>
        <v>8</v>
      </c>
      <c r="G206">
        <f t="shared" ca="1" si="13"/>
        <v>2.2149516823142899E-3</v>
      </c>
      <c r="I206" t="e">
        <f t="shared" si="14"/>
        <v>#N/A</v>
      </c>
      <c r="J206" t="e">
        <f t="shared" ca="1" si="15"/>
        <v>#N/A</v>
      </c>
    </row>
    <row r="207" spans="4:10" x14ac:dyDescent="0.2">
      <c r="D207" s="3">
        <v>9</v>
      </c>
      <c r="E207" s="3">
        <v>0</v>
      </c>
      <c r="F207">
        <f t="shared" si="12"/>
        <v>9</v>
      </c>
      <c r="G207">
        <f t="shared" ca="1" si="13"/>
        <v>1.1399729008682278E-2</v>
      </c>
      <c r="I207" t="e">
        <f t="shared" si="14"/>
        <v>#N/A</v>
      </c>
      <c r="J207" t="e">
        <f t="shared" ca="1" si="15"/>
        <v>#N/A</v>
      </c>
    </row>
    <row r="208" spans="4:10" x14ac:dyDescent="0.2">
      <c r="D208" s="3">
        <v>7</v>
      </c>
      <c r="E208" s="3">
        <v>1</v>
      </c>
      <c r="F208" t="e">
        <f t="shared" si="12"/>
        <v>#N/A</v>
      </c>
      <c r="G208" t="e">
        <f t="shared" ca="1" si="13"/>
        <v>#N/A</v>
      </c>
      <c r="I208">
        <f t="shared" si="14"/>
        <v>7</v>
      </c>
      <c r="J208">
        <f t="shared" ca="1" si="15"/>
        <v>1.0083472087851171</v>
      </c>
    </row>
    <row r="209" spans="4:10" x14ac:dyDescent="0.2">
      <c r="D209" s="3">
        <v>7</v>
      </c>
      <c r="E209" s="3">
        <v>1</v>
      </c>
      <c r="F209" t="e">
        <f t="shared" si="12"/>
        <v>#N/A</v>
      </c>
      <c r="G209" t="e">
        <f t="shared" ca="1" si="13"/>
        <v>#N/A</v>
      </c>
      <c r="I209">
        <f t="shared" si="14"/>
        <v>7</v>
      </c>
      <c r="J209">
        <f t="shared" ca="1" si="15"/>
        <v>1.0049017073140756</v>
      </c>
    </row>
    <row r="210" spans="4:10" x14ac:dyDescent="0.2">
      <c r="D210" s="3">
        <v>1</v>
      </c>
      <c r="E210" s="3">
        <v>1</v>
      </c>
      <c r="F210" t="e">
        <f t="shared" si="12"/>
        <v>#N/A</v>
      </c>
      <c r="G210" t="e">
        <f t="shared" ca="1" si="13"/>
        <v>#N/A</v>
      </c>
      <c r="I210">
        <f t="shared" si="14"/>
        <v>1</v>
      </c>
      <c r="J210">
        <f t="shared" ca="1" si="15"/>
        <v>1.0074879351084167</v>
      </c>
    </row>
    <row r="211" spans="4:10" x14ac:dyDescent="0.2">
      <c r="D211" s="3">
        <v>4</v>
      </c>
      <c r="E211" s="3">
        <v>0</v>
      </c>
      <c r="F211">
        <f t="shared" si="12"/>
        <v>4</v>
      </c>
      <c r="G211">
        <f t="shared" ca="1" si="13"/>
        <v>1.178538426174542E-2</v>
      </c>
      <c r="I211" t="e">
        <f t="shared" si="14"/>
        <v>#N/A</v>
      </c>
      <c r="J211" t="e">
        <f t="shared" ca="1" si="15"/>
        <v>#N/A</v>
      </c>
    </row>
    <row r="212" spans="4:10" x14ac:dyDescent="0.2">
      <c r="D212" s="3">
        <v>2</v>
      </c>
      <c r="E212" s="3">
        <v>1</v>
      </c>
      <c r="F212" t="e">
        <f t="shared" si="12"/>
        <v>#N/A</v>
      </c>
      <c r="G212" t="e">
        <f t="shared" ca="1" si="13"/>
        <v>#N/A</v>
      </c>
      <c r="I212">
        <f t="shared" si="14"/>
        <v>2</v>
      </c>
      <c r="J212">
        <f t="shared" ca="1" si="15"/>
        <v>1.0063226722266652</v>
      </c>
    </row>
    <row r="213" spans="4:10" x14ac:dyDescent="0.2">
      <c r="D213" s="3">
        <v>2</v>
      </c>
      <c r="E213" s="3">
        <v>1</v>
      </c>
      <c r="F213" t="e">
        <f t="shared" si="12"/>
        <v>#N/A</v>
      </c>
      <c r="G213" t="e">
        <f t="shared" ca="1" si="13"/>
        <v>#N/A</v>
      </c>
      <c r="I213">
        <f t="shared" si="14"/>
        <v>2</v>
      </c>
      <c r="J213">
        <f t="shared" ca="1" si="15"/>
        <v>1.0008909920442592</v>
      </c>
    </row>
    <row r="214" spans="4:10" x14ac:dyDescent="0.2">
      <c r="D214" s="3">
        <v>2</v>
      </c>
      <c r="E214" s="3">
        <v>1</v>
      </c>
      <c r="F214" t="e">
        <f t="shared" si="12"/>
        <v>#N/A</v>
      </c>
      <c r="G214" t="e">
        <f t="shared" ca="1" si="13"/>
        <v>#N/A</v>
      </c>
      <c r="I214">
        <f t="shared" si="14"/>
        <v>2</v>
      </c>
      <c r="J214">
        <f t="shared" ca="1" si="15"/>
        <v>0.99460937341845634</v>
      </c>
    </row>
    <row r="215" spans="4:10" x14ac:dyDescent="0.2">
      <c r="D215" s="3">
        <v>4</v>
      </c>
      <c r="E215" s="3">
        <v>1</v>
      </c>
      <c r="F215" t="e">
        <f t="shared" si="12"/>
        <v>#N/A</v>
      </c>
      <c r="G215" t="e">
        <f t="shared" ca="1" si="13"/>
        <v>#N/A</v>
      </c>
      <c r="I215">
        <f t="shared" si="14"/>
        <v>4</v>
      </c>
      <c r="J215">
        <f t="shared" ca="1" si="15"/>
        <v>0.99720945544001727</v>
      </c>
    </row>
    <row r="216" spans="4:10" x14ac:dyDescent="0.2">
      <c r="D216" s="3">
        <v>1</v>
      </c>
      <c r="E216" s="3">
        <v>0</v>
      </c>
      <c r="F216">
        <f t="shared" si="12"/>
        <v>1</v>
      </c>
      <c r="G216">
        <f t="shared" ca="1" si="13"/>
        <v>-5.3676842482055006E-3</v>
      </c>
      <c r="I216" t="e">
        <f t="shared" si="14"/>
        <v>#N/A</v>
      </c>
      <c r="J216" t="e">
        <f t="shared" ca="1" si="15"/>
        <v>#N/A</v>
      </c>
    </row>
    <row r="217" spans="4:10" x14ac:dyDescent="0.2">
      <c r="D217" s="3">
        <v>4</v>
      </c>
      <c r="E217" s="3">
        <v>0</v>
      </c>
      <c r="F217">
        <f t="shared" si="12"/>
        <v>4</v>
      </c>
      <c r="G217">
        <f t="shared" ca="1" si="13"/>
        <v>-1.2146820929249217E-2</v>
      </c>
      <c r="I217" t="e">
        <f t="shared" si="14"/>
        <v>#N/A</v>
      </c>
      <c r="J217" t="e">
        <f t="shared" ca="1" si="15"/>
        <v>#N/A</v>
      </c>
    </row>
    <row r="218" spans="4:10" x14ac:dyDescent="0.2">
      <c r="D218" s="3">
        <v>2</v>
      </c>
      <c r="E218" s="3">
        <v>1</v>
      </c>
      <c r="F218" t="e">
        <f t="shared" si="12"/>
        <v>#N/A</v>
      </c>
      <c r="G218" t="e">
        <f t="shared" ca="1" si="13"/>
        <v>#N/A</v>
      </c>
      <c r="I218">
        <f t="shared" si="14"/>
        <v>2</v>
      </c>
      <c r="J218">
        <f t="shared" ca="1" si="15"/>
        <v>0.99860246039629741</v>
      </c>
    </row>
    <row r="219" spans="4:10" x14ac:dyDescent="0.2">
      <c r="D219" s="3">
        <v>5</v>
      </c>
      <c r="E219" s="3">
        <v>0</v>
      </c>
      <c r="F219">
        <f t="shared" si="12"/>
        <v>5</v>
      </c>
      <c r="G219">
        <f t="shared" ca="1" si="13"/>
        <v>-1.2012153471775151E-2</v>
      </c>
      <c r="I219" t="e">
        <f t="shared" si="14"/>
        <v>#N/A</v>
      </c>
      <c r="J219" t="e">
        <f t="shared" ca="1" si="15"/>
        <v>#N/A</v>
      </c>
    </row>
    <row r="220" spans="4:10" x14ac:dyDescent="0.2">
      <c r="D220" s="3">
        <v>3</v>
      </c>
      <c r="E220" s="3">
        <v>1</v>
      </c>
      <c r="F220" t="e">
        <f t="shared" si="12"/>
        <v>#N/A</v>
      </c>
      <c r="G220" t="e">
        <f t="shared" ca="1" si="13"/>
        <v>#N/A</v>
      </c>
      <c r="I220">
        <f t="shared" si="14"/>
        <v>3</v>
      </c>
      <c r="J220">
        <f t="shared" ca="1" si="15"/>
        <v>1.0139732505371681</v>
      </c>
    </row>
    <row r="221" spans="4:10" x14ac:dyDescent="0.2">
      <c r="D221" s="3">
        <v>8</v>
      </c>
      <c r="E221" s="3">
        <v>0</v>
      </c>
      <c r="F221">
        <f t="shared" si="12"/>
        <v>8</v>
      </c>
      <c r="G221">
        <f t="shared" ca="1" si="13"/>
        <v>-3.7828281477018011E-3</v>
      </c>
      <c r="I221" t="e">
        <f t="shared" si="14"/>
        <v>#N/A</v>
      </c>
      <c r="J221" t="e">
        <f t="shared" ca="1" si="15"/>
        <v>#N/A</v>
      </c>
    </row>
    <row r="222" spans="4:10" x14ac:dyDescent="0.2">
      <c r="D222" s="3">
        <v>4</v>
      </c>
      <c r="E222" s="3">
        <v>0</v>
      </c>
      <c r="F222">
        <f t="shared" si="12"/>
        <v>4</v>
      </c>
      <c r="G222">
        <f t="shared" ca="1" si="13"/>
        <v>1.374601957746599E-2</v>
      </c>
      <c r="I222" t="e">
        <f t="shared" si="14"/>
        <v>#N/A</v>
      </c>
      <c r="J222" t="e">
        <f t="shared" ca="1" si="15"/>
        <v>#N/A</v>
      </c>
    </row>
    <row r="223" spans="4:10" x14ac:dyDescent="0.2">
      <c r="D223" s="3">
        <v>1</v>
      </c>
      <c r="E223" s="3">
        <v>1</v>
      </c>
      <c r="F223" t="e">
        <f t="shared" si="12"/>
        <v>#N/A</v>
      </c>
      <c r="G223" t="e">
        <f t="shared" ca="1" si="13"/>
        <v>#N/A</v>
      </c>
      <c r="I223">
        <f t="shared" si="14"/>
        <v>1</v>
      </c>
      <c r="J223">
        <f t="shared" ca="1" si="15"/>
        <v>0.98859050386450964</v>
      </c>
    </row>
    <row r="224" spans="4:10" x14ac:dyDescent="0.2">
      <c r="D224" s="3">
        <v>1</v>
      </c>
      <c r="E224" s="3">
        <v>1</v>
      </c>
      <c r="F224" t="e">
        <f t="shared" si="12"/>
        <v>#N/A</v>
      </c>
      <c r="G224" t="e">
        <f t="shared" ca="1" si="13"/>
        <v>#N/A</v>
      </c>
      <c r="I224">
        <f t="shared" si="14"/>
        <v>1</v>
      </c>
      <c r="J224">
        <f t="shared" ca="1" si="15"/>
        <v>1.0057253788352463</v>
      </c>
    </row>
    <row r="225" spans="4:10" x14ac:dyDescent="0.2">
      <c r="D225" s="3">
        <v>10</v>
      </c>
      <c r="E225" s="3">
        <v>1</v>
      </c>
      <c r="F225" t="e">
        <f t="shared" si="12"/>
        <v>#N/A</v>
      </c>
      <c r="G225" t="e">
        <f t="shared" ca="1" si="13"/>
        <v>#N/A</v>
      </c>
      <c r="I225">
        <f t="shared" si="14"/>
        <v>10</v>
      </c>
      <c r="J225">
        <f t="shared" ca="1" si="15"/>
        <v>0.99922447840009709</v>
      </c>
    </row>
    <row r="226" spans="4:10" x14ac:dyDescent="0.2">
      <c r="D226" s="3">
        <v>3</v>
      </c>
      <c r="E226" s="3">
        <v>0</v>
      </c>
      <c r="F226">
        <f t="shared" si="12"/>
        <v>3</v>
      </c>
      <c r="G226">
        <f t="shared" ca="1" si="13"/>
        <v>-1.1057380089641649E-2</v>
      </c>
      <c r="I226" t="e">
        <f t="shared" si="14"/>
        <v>#N/A</v>
      </c>
      <c r="J226" t="e">
        <f t="shared" ca="1" si="15"/>
        <v>#N/A</v>
      </c>
    </row>
    <row r="227" spans="4:10" x14ac:dyDescent="0.2">
      <c r="D227" s="3">
        <v>9</v>
      </c>
      <c r="E227" s="3">
        <v>0</v>
      </c>
      <c r="F227">
        <f t="shared" si="12"/>
        <v>9</v>
      </c>
      <c r="G227">
        <f t="shared" ca="1" si="13"/>
        <v>8.023458843564835E-3</v>
      </c>
      <c r="I227" t="e">
        <f t="shared" si="14"/>
        <v>#N/A</v>
      </c>
      <c r="J227" t="e">
        <f t="shared" ca="1" si="15"/>
        <v>#N/A</v>
      </c>
    </row>
    <row r="228" spans="4:10" x14ac:dyDescent="0.2">
      <c r="D228" s="3">
        <v>7</v>
      </c>
      <c r="E228" s="3">
        <v>1</v>
      </c>
      <c r="F228" t="e">
        <f t="shared" si="12"/>
        <v>#N/A</v>
      </c>
      <c r="G228" t="e">
        <f t="shared" ca="1" si="13"/>
        <v>#N/A</v>
      </c>
      <c r="I228">
        <f t="shared" si="14"/>
        <v>7</v>
      </c>
      <c r="J228">
        <f t="shared" ca="1" si="15"/>
        <v>1.0115659129020176</v>
      </c>
    </row>
    <row r="229" spans="4:10" x14ac:dyDescent="0.2">
      <c r="D229" s="3">
        <v>2</v>
      </c>
      <c r="E229" s="3">
        <v>0</v>
      </c>
      <c r="F229">
        <f t="shared" si="12"/>
        <v>2</v>
      </c>
      <c r="G229">
        <f t="shared" ca="1" si="13"/>
        <v>-1.9999730004711903E-3</v>
      </c>
      <c r="I229" t="e">
        <f t="shared" si="14"/>
        <v>#N/A</v>
      </c>
      <c r="J229" t="e">
        <f t="shared" ca="1" si="15"/>
        <v>#N/A</v>
      </c>
    </row>
    <row r="230" spans="4:10" x14ac:dyDescent="0.2">
      <c r="D230" s="3">
        <v>9</v>
      </c>
      <c r="E230" s="3">
        <v>1</v>
      </c>
      <c r="F230" t="e">
        <f t="shared" si="12"/>
        <v>#N/A</v>
      </c>
      <c r="G230" t="e">
        <f t="shared" ca="1" si="13"/>
        <v>#N/A</v>
      </c>
      <c r="I230">
        <f t="shared" si="14"/>
        <v>9</v>
      </c>
      <c r="J230">
        <f t="shared" ca="1" si="15"/>
        <v>1.013423904157565</v>
      </c>
    </row>
    <row r="231" spans="4:10" x14ac:dyDescent="0.2">
      <c r="D231" s="3">
        <v>10</v>
      </c>
      <c r="E231" s="3">
        <v>1</v>
      </c>
      <c r="F231" t="e">
        <f t="shared" si="12"/>
        <v>#N/A</v>
      </c>
      <c r="G231" t="e">
        <f t="shared" ca="1" si="13"/>
        <v>#N/A</v>
      </c>
      <c r="I231">
        <f t="shared" si="14"/>
        <v>10</v>
      </c>
      <c r="J231">
        <f t="shared" ca="1" si="15"/>
        <v>0.98840548716267063</v>
      </c>
    </row>
    <row r="232" spans="4:10" x14ac:dyDescent="0.2">
      <c r="D232" s="3">
        <v>2</v>
      </c>
      <c r="E232" s="3">
        <v>0</v>
      </c>
      <c r="F232">
        <f t="shared" si="12"/>
        <v>2</v>
      </c>
      <c r="G232">
        <f t="shared" ca="1" si="13"/>
        <v>-1.2298082850313917E-2</v>
      </c>
      <c r="I232" t="e">
        <f t="shared" si="14"/>
        <v>#N/A</v>
      </c>
      <c r="J232" t="e">
        <f t="shared" ca="1" si="15"/>
        <v>#N/A</v>
      </c>
    </row>
    <row r="233" spans="4:10" x14ac:dyDescent="0.2">
      <c r="D233" s="3">
        <v>3</v>
      </c>
      <c r="E233" s="3">
        <v>0</v>
      </c>
      <c r="F233">
        <f t="shared" si="12"/>
        <v>3</v>
      </c>
      <c r="G233">
        <f t="shared" ca="1" si="13"/>
        <v>4.1566665131059885E-4</v>
      </c>
      <c r="I233" t="e">
        <f t="shared" si="14"/>
        <v>#N/A</v>
      </c>
      <c r="J233" t="e">
        <f t="shared" ca="1" si="15"/>
        <v>#N/A</v>
      </c>
    </row>
    <row r="234" spans="4:10" x14ac:dyDescent="0.2">
      <c r="D234" s="3">
        <v>10</v>
      </c>
      <c r="E234" s="3">
        <v>0</v>
      </c>
      <c r="F234">
        <f t="shared" si="12"/>
        <v>10</v>
      </c>
      <c r="G234">
        <f t="shared" ca="1" si="13"/>
        <v>-3.944777087572981E-3</v>
      </c>
      <c r="I234" t="e">
        <f t="shared" si="14"/>
        <v>#N/A</v>
      </c>
      <c r="J234" t="e">
        <f t="shared" ca="1" si="15"/>
        <v>#N/A</v>
      </c>
    </row>
    <row r="235" spans="4:10" x14ac:dyDescent="0.2">
      <c r="D235" s="3">
        <v>2</v>
      </c>
      <c r="E235" s="3">
        <v>1</v>
      </c>
      <c r="F235" t="e">
        <f t="shared" si="12"/>
        <v>#N/A</v>
      </c>
      <c r="G235" t="e">
        <f t="shared" ca="1" si="13"/>
        <v>#N/A</v>
      </c>
      <c r="I235">
        <f t="shared" si="14"/>
        <v>2</v>
      </c>
      <c r="J235">
        <f t="shared" ca="1" si="15"/>
        <v>0.99124285462151551</v>
      </c>
    </row>
    <row r="236" spans="4:10" x14ac:dyDescent="0.2">
      <c r="D236" s="3">
        <v>3</v>
      </c>
      <c r="E236" s="3">
        <v>1</v>
      </c>
      <c r="F236" t="e">
        <f t="shared" si="12"/>
        <v>#N/A</v>
      </c>
      <c r="G236" t="e">
        <f t="shared" ca="1" si="13"/>
        <v>#N/A</v>
      </c>
      <c r="I236">
        <f t="shared" si="14"/>
        <v>3</v>
      </c>
      <c r="J236">
        <f t="shared" ca="1" si="15"/>
        <v>1.0024157040245498</v>
      </c>
    </row>
    <row r="237" spans="4:10" x14ac:dyDescent="0.2">
      <c r="D237" s="3">
        <v>6</v>
      </c>
      <c r="E237" s="3">
        <v>0</v>
      </c>
      <c r="F237">
        <f t="shared" si="12"/>
        <v>6</v>
      </c>
      <c r="G237">
        <f t="shared" ca="1" si="13"/>
        <v>1.235147006118672E-3</v>
      </c>
      <c r="I237" t="e">
        <f t="shared" si="14"/>
        <v>#N/A</v>
      </c>
      <c r="J237" t="e">
        <f t="shared" ca="1" si="15"/>
        <v>#N/A</v>
      </c>
    </row>
    <row r="238" spans="4:10" x14ac:dyDescent="0.2">
      <c r="D238" s="3">
        <v>9</v>
      </c>
      <c r="E238" s="3">
        <v>0</v>
      </c>
      <c r="F238">
        <f t="shared" si="12"/>
        <v>9</v>
      </c>
      <c r="G238">
        <f t="shared" ca="1" si="13"/>
        <v>1.4293557123039809E-2</v>
      </c>
      <c r="I238" t="e">
        <f t="shared" si="14"/>
        <v>#N/A</v>
      </c>
      <c r="J238" t="e">
        <f t="shared" ca="1" si="15"/>
        <v>#N/A</v>
      </c>
    </row>
    <row r="239" spans="4:10" x14ac:dyDescent="0.2">
      <c r="D239" s="3">
        <v>9</v>
      </c>
      <c r="E239" s="3">
        <v>0</v>
      </c>
      <c r="F239">
        <f t="shared" si="12"/>
        <v>9</v>
      </c>
      <c r="G239">
        <f t="shared" ca="1" si="13"/>
        <v>6.0038055636397526E-4</v>
      </c>
      <c r="I239" t="e">
        <f t="shared" si="14"/>
        <v>#N/A</v>
      </c>
      <c r="J239" t="e">
        <f t="shared" ca="1" si="15"/>
        <v>#N/A</v>
      </c>
    </row>
    <row r="240" spans="4:10" x14ac:dyDescent="0.2">
      <c r="D240" s="3">
        <v>7</v>
      </c>
      <c r="E240" s="3">
        <v>1</v>
      </c>
      <c r="F240" t="e">
        <f t="shared" si="12"/>
        <v>#N/A</v>
      </c>
      <c r="G240" t="e">
        <f t="shared" ca="1" si="13"/>
        <v>#N/A</v>
      </c>
      <c r="I240">
        <f t="shared" si="14"/>
        <v>7</v>
      </c>
      <c r="J240">
        <f t="shared" ca="1" si="15"/>
        <v>0.99518440414339637</v>
      </c>
    </row>
    <row r="241" spans="4:10" x14ac:dyDescent="0.2">
      <c r="D241" s="3">
        <v>3</v>
      </c>
      <c r="E241" s="3">
        <v>0</v>
      </c>
      <c r="F241">
        <f t="shared" si="12"/>
        <v>3</v>
      </c>
      <c r="G241">
        <f t="shared" ca="1" si="13"/>
        <v>-4.541439873552342E-3</v>
      </c>
      <c r="I241" t="e">
        <f t="shared" si="14"/>
        <v>#N/A</v>
      </c>
      <c r="J241" t="e">
        <f t="shared" ca="1" si="15"/>
        <v>#N/A</v>
      </c>
    </row>
    <row r="242" spans="4:10" x14ac:dyDescent="0.2">
      <c r="D242" s="3">
        <v>4</v>
      </c>
      <c r="E242" s="3">
        <v>1</v>
      </c>
      <c r="F242" t="e">
        <f t="shared" si="12"/>
        <v>#N/A</v>
      </c>
      <c r="G242" t="e">
        <f t="shared" ca="1" si="13"/>
        <v>#N/A</v>
      </c>
      <c r="I242">
        <f t="shared" si="14"/>
        <v>4</v>
      </c>
      <c r="J242">
        <f t="shared" ca="1" si="15"/>
        <v>1.0090702332126178</v>
      </c>
    </row>
    <row r="243" spans="4:10" x14ac:dyDescent="0.2">
      <c r="D243" s="3">
        <v>6</v>
      </c>
      <c r="E243" s="3">
        <v>1</v>
      </c>
      <c r="F243" t="e">
        <f t="shared" si="12"/>
        <v>#N/A</v>
      </c>
      <c r="G243" t="e">
        <f t="shared" ca="1" si="13"/>
        <v>#N/A</v>
      </c>
      <c r="I243">
        <f t="shared" si="14"/>
        <v>6</v>
      </c>
      <c r="J243">
        <f t="shared" ca="1" si="15"/>
        <v>1.0006095240297417</v>
      </c>
    </row>
    <row r="244" spans="4:10" x14ac:dyDescent="0.2">
      <c r="D244" s="3">
        <v>5</v>
      </c>
      <c r="E244" s="3">
        <v>0</v>
      </c>
      <c r="F244">
        <f t="shared" si="12"/>
        <v>5</v>
      </c>
      <c r="G244">
        <f t="shared" ca="1" si="13"/>
        <v>-1.1716152657042938E-2</v>
      </c>
      <c r="I244" t="e">
        <f t="shared" si="14"/>
        <v>#N/A</v>
      </c>
      <c r="J244" t="e">
        <f t="shared" ca="1" si="15"/>
        <v>#N/A</v>
      </c>
    </row>
    <row r="245" spans="4:10" x14ac:dyDescent="0.2">
      <c r="D245" s="3">
        <v>2</v>
      </c>
      <c r="E245" s="3">
        <v>1</v>
      </c>
      <c r="F245" t="e">
        <f t="shared" si="12"/>
        <v>#N/A</v>
      </c>
      <c r="G245" t="e">
        <f t="shared" ca="1" si="13"/>
        <v>#N/A</v>
      </c>
      <c r="I245">
        <f t="shared" si="14"/>
        <v>2</v>
      </c>
      <c r="J245">
        <f t="shared" ca="1" si="15"/>
        <v>0.99587915702052243</v>
      </c>
    </row>
    <row r="246" spans="4:10" x14ac:dyDescent="0.2">
      <c r="D246" s="3">
        <v>6</v>
      </c>
      <c r="E246" s="3">
        <v>0</v>
      </c>
      <c r="F246">
        <f t="shared" si="12"/>
        <v>6</v>
      </c>
      <c r="G246">
        <f t="shared" ca="1" si="13"/>
        <v>8.7100443856238056E-3</v>
      </c>
      <c r="I246" t="e">
        <f t="shared" si="14"/>
        <v>#N/A</v>
      </c>
      <c r="J246" t="e">
        <f t="shared" ca="1" si="15"/>
        <v>#N/A</v>
      </c>
    </row>
    <row r="247" spans="4:10" x14ac:dyDescent="0.2">
      <c r="D247" s="3">
        <v>3</v>
      </c>
      <c r="E247" s="3">
        <v>1</v>
      </c>
      <c r="F247" t="e">
        <f t="shared" si="12"/>
        <v>#N/A</v>
      </c>
      <c r="G247" t="e">
        <f t="shared" ca="1" si="13"/>
        <v>#N/A</v>
      </c>
      <c r="I247">
        <f t="shared" si="14"/>
        <v>3</v>
      </c>
      <c r="J247">
        <f t="shared" ca="1" si="15"/>
        <v>1.0079318184299131</v>
      </c>
    </row>
    <row r="248" spans="4:10" x14ac:dyDescent="0.2">
      <c r="D248" s="3">
        <v>8</v>
      </c>
      <c r="E248" s="3">
        <v>1</v>
      </c>
      <c r="F248" t="e">
        <f t="shared" si="12"/>
        <v>#N/A</v>
      </c>
      <c r="G248" t="e">
        <f t="shared" ca="1" si="13"/>
        <v>#N/A</v>
      </c>
      <c r="I248">
        <f t="shared" si="14"/>
        <v>8</v>
      </c>
      <c r="J248">
        <f t="shared" ca="1" si="15"/>
        <v>1.0026874770351659</v>
      </c>
    </row>
    <row r="249" spans="4:10" x14ac:dyDescent="0.2">
      <c r="D249" s="3">
        <v>2</v>
      </c>
      <c r="E249" s="3">
        <v>1</v>
      </c>
      <c r="F249" t="e">
        <f t="shared" si="12"/>
        <v>#N/A</v>
      </c>
      <c r="G249" t="e">
        <f t="shared" ca="1" si="13"/>
        <v>#N/A</v>
      </c>
      <c r="I249">
        <f t="shared" si="14"/>
        <v>2</v>
      </c>
      <c r="J249">
        <f t="shared" ca="1" si="15"/>
        <v>1.0042828887148774</v>
      </c>
    </row>
    <row r="250" spans="4:10" x14ac:dyDescent="0.2">
      <c r="D250" s="3">
        <v>1</v>
      </c>
      <c r="E250" s="3">
        <v>1</v>
      </c>
      <c r="F250" t="e">
        <f t="shared" si="12"/>
        <v>#N/A</v>
      </c>
      <c r="G250" t="e">
        <f t="shared" ca="1" si="13"/>
        <v>#N/A</v>
      </c>
      <c r="I250">
        <f t="shared" si="14"/>
        <v>1</v>
      </c>
      <c r="J250">
        <f t="shared" ca="1" si="15"/>
        <v>1.0062452037427345</v>
      </c>
    </row>
    <row r="251" spans="4:10" x14ac:dyDescent="0.2">
      <c r="D251" s="3">
        <v>9</v>
      </c>
      <c r="E251" s="3">
        <v>0</v>
      </c>
      <c r="F251">
        <f t="shared" si="12"/>
        <v>9</v>
      </c>
      <c r="G251">
        <f t="shared" ca="1" si="13"/>
        <v>-4.0500074585654518E-4</v>
      </c>
      <c r="I251" t="e">
        <f t="shared" si="14"/>
        <v>#N/A</v>
      </c>
      <c r="J251" t="e">
        <f t="shared" ca="1" si="15"/>
        <v>#N/A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290F-F902-3F47-8173-39FC5F2FAE87}">
  <dimension ref="A2:M36"/>
  <sheetViews>
    <sheetView topLeftCell="B1" zoomScale="94" workbookViewId="0">
      <selection sqref="A1:B133"/>
    </sheetView>
  </sheetViews>
  <sheetFormatPr baseColWidth="10" defaultRowHeight="15" x14ac:dyDescent="0.2"/>
  <cols>
    <col min="1" max="1" width="12.1640625" bestFit="1" customWidth="1"/>
    <col min="2" max="2" width="17.33203125" bestFit="1" customWidth="1"/>
    <col min="3" max="3" width="14.33203125" bestFit="1" customWidth="1"/>
    <col min="6" max="6" width="11" customWidth="1"/>
    <col min="8" max="8" width="14.5" customWidth="1"/>
    <col min="13" max="13" width="10.83203125" customWidth="1"/>
  </cols>
  <sheetData>
    <row r="2" spans="1:11" x14ac:dyDescent="0.2">
      <c r="H2" t="s">
        <v>105</v>
      </c>
      <c r="K2" t="s">
        <v>105</v>
      </c>
    </row>
    <row r="3" spans="1:11" x14ac:dyDescent="0.2">
      <c r="A3" s="22" t="s">
        <v>82</v>
      </c>
      <c r="B3" t="s">
        <v>102</v>
      </c>
      <c r="C3" t="s">
        <v>101</v>
      </c>
      <c r="E3" t="s">
        <v>103</v>
      </c>
      <c r="G3" s="23" t="s">
        <v>89</v>
      </c>
      <c r="H3" s="7">
        <v>0.44654088050314467</v>
      </c>
      <c r="J3" s="37" t="s">
        <v>94</v>
      </c>
      <c r="K3" s="38">
        <v>0.63</v>
      </c>
    </row>
    <row r="4" spans="1:11" x14ac:dyDescent="0.2">
      <c r="A4" s="23" t="s">
        <v>94</v>
      </c>
      <c r="B4">
        <v>108</v>
      </c>
      <c r="C4" s="25">
        <v>0.62962962962962965</v>
      </c>
      <c r="E4">
        <f>118/250</f>
        <v>0.47199999999999998</v>
      </c>
      <c r="G4" s="23" t="s">
        <v>90</v>
      </c>
      <c r="H4" s="7">
        <v>0.6</v>
      </c>
      <c r="J4" s="37" t="s">
        <v>95</v>
      </c>
      <c r="K4" s="38">
        <v>0.32</v>
      </c>
    </row>
    <row r="5" spans="1:11" x14ac:dyDescent="0.2">
      <c r="A5" s="23" t="s">
        <v>95</v>
      </c>
      <c r="B5">
        <v>44</v>
      </c>
      <c r="C5" s="25">
        <v>0.31818181818181818</v>
      </c>
      <c r="G5" s="23" t="s">
        <v>91</v>
      </c>
      <c r="H5" s="7">
        <v>0.50980392156862742</v>
      </c>
      <c r="J5" s="37" t="s">
        <v>96</v>
      </c>
      <c r="K5" s="38">
        <v>0.4</v>
      </c>
    </row>
    <row r="6" spans="1:11" x14ac:dyDescent="0.2">
      <c r="A6" s="23" t="s">
        <v>96</v>
      </c>
      <c r="B6">
        <v>53</v>
      </c>
      <c r="C6" s="25">
        <v>0.39622641509433965</v>
      </c>
      <c r="G6" s="23" t="s">
        <v>92</v>
      </c>
      <c r="H6" s="7">
        <v>0.5</v>
      </c>
      <c r="J6" s="37" t="s">
        <v>97</v>
      </c>
      <c r="K6" s="38">
        <v>0.33</v>
      </c>
    </row>
    <row r="7" spans="1:11" x14ac:dyDescent="0.2">
      <c r="A7" s="23" t="s">
        <v>97</v>
      </c>
      <c r="B7">
        <v>45</v>
      </c>
      <c r="C7" s="25">
        <v>0.33333333333333331</v>
      </c>
      <c r="G7" s="23" t="s">
        <v>93</v>
      </c>
      <c r="H7" s="7">
        <v>0.5</v>
      </c>
    </row>
    <row r="8" spans="1:11" x14ac:dyDescent="0.2">
      <c r="A8" s="23" t="s">
        <v>83</v>
      </c>
      <c r="B8">
        <v>250</v>
      </c>
      <c r="C8">
        <v>0.47199999999999998</v>
      </c>
      <c r="K8" t="s">
        <v>104</v>
      </c>
    </row>
    <row r="9" spans="1:11" x14ac:dyDescent="0.2">
      <c r="J9" s="39" t="s">
        <v>115</v>
      </c>
      <c r="K9" s="40">
        <v>1.33</v>
      </c>
    </row>
    <row r="10" spans="1:11" x14ac:dyDescent="0.2">
      <c r="J10" s="39" t="s">
        <v>116</v>
      </c>
      <c r="K10" s="40">
        <v>0.67</v>
      </c>
    </row>
    <row r="11" spans="1:11" x14ac:dyDescent="0.2">
      <c r="J11" s="39" t="s">
        <v>117</v>
      </c>
      <c r="K11" s="40">
        <v>0.84</v>
      </c>
    </row>
    <row r="12" spans="1:11" x14ac:dyDescent="0.2">
      <c r="J12" s="39" t="s">
        <v>118</v>
      </c>
      <c r="K12" s="40">
        <v>0.71</v>
      </c>
    </row>
    <row r="20" spans="1:13" x14ac:dyDescent="0.2">
      <c r="C20" s="29"/>
    </row>
    <row r="21" spans="1:13" x14ac:dyDescent="0.2">
      <c r="C21" s="30"/>
    </row>
    <row r="22" spans="1:13" x14ac:dyDescent="0.2">
      <c r="C22" s="30"/>
    </row>
    <row r="23" spans="1:13" x14ac:dyDescent="0.2">
      <c r="A23" s="31" t="s">
        <v>106</v>
      </c>
      <c r="B23" s="31" t="s">
        <v>111</v>
      </c>
      <c r="C23" s="31" t="s">
        <v>69</v>
      </c>
      <c r="D23" s="31" t="s">
        <v>105</v>
      </c>
      <c r="E23" s="31" t="s">
        <v>113</v>
      </c>
      <c r="F23" s="31" t="s">
        <v>104</v>
      </c>
      <c r="H23" s="32" t="s">
        <v>114</v>
      </c>
      <c r="I23" s="32" t="s">
        <v>111</v>
      </c>
      <c r="J23" s="32" t="s">
        <v>69</v>
      </c>
      <c r="K23" s="32" t="s">
        <v>105</v>
      </c>
      <c r="L23" s="32" t="s">
        <v>113</v>
      </c>
      <c r="M23" s="32" t="s">
        <v>104</v>
      </c>
    </row>
    <row r="24" spans="1:13" x14ac:dyDescent="0.2">
      <c r="A24" s="18" t="s">
        <v>107</v>
      </c>
      <c r="B24" s="15">
        <v>10</v>
      </c>
      <c r="C24" s="15">
        <v>6</v>
      </c>
      <c r="D24" s="26">
        <f>C24/B24</f>
        <v>0.6</v>
      </c>
      <c r="E24" s="26">
        <f>C24/$C$29</f>
        <v>5.0847457627118647E-2</v>
      </c>
      <c r="F24" s="21">
        <f>D24/$D$29</f>
        <v>1.271186440677966</v>
      </c>
      <c r="H24" s="33" t="s">
        <v>94</v>
      </c>
      <c r="I24" s="34">
        <v>108</v>
      </c>
      <c r="J24" s="34">
        <f>I24*K24</f>
        <v>68</v>
      </c>
      <c r="K24" s="35">
        <f>GETPIVOTDATA("Average of Churn",$A$3,"SatBand","1–4")</f>
        <v>0.62962962962962965</v>
      </c>
      <c r="L24" s="35">
        <f>J24/J28</f>
        <v>0.57627118644067798</v>
      </c>
      <c r="M24" s="36">
        <f>K24/$K$28</f>
        <v>1.3339610797237917</v>
      </c>
    </row>
    <row r="25" spans="1:13" x14ac:dyDescent="0.2">
      <c r="A25" s="18" t="s">
        <v>108</v>
      </c>
      <c r="B25" s="15">
        <v>8</v>
      </c>
      <c r="C25" s="15">
        <v>4</v>
      </c>
      <c r="D25" s="26">
        <f t="shared" ref="D25:D28" si="0">C25/B25</f>
        <v>0.5</v>
      </c>
      <c r="E25" s="26">
        <f>C25/$C$29</f>
        <v>3.3898305084745763E-2</v>
      </c>
      <c r="F25" s="21">
        <f>D25/$D$29</f>
        <v>1.0593220338983051</v>
      </c>
      <c r="H25" s="33" t="s">
        <v>95</v>
      </c>
      <c r="I25" s="34">
        <v>44</v>
      </c>
      <c r="J25" s="34">
        <f t="shared" ref="J25:J27" si="1">I25*K25</f>
        <v>14</v>
      </c>
      <c r="K25" s="35">
        <f>GETPIVOTDATA("Average of Churn",$A$3,"SatBand","5–6")</f>
        <v>0.31818181818181818</v>
      </c>
      <c r="L25" s="35">
        <f>J25/J28</f>
        <v>0.11864406779661017</v>
      </c>
      <c r="M25" s="36">
        <f t="shared" ref="M25:M27" si="2">K25/$K$28</f>
        <v>0.67411402157164868</v>
      </c>
    </row>
    <row r="26" spans="1:13" x14ac:dyDescent="0.2">
      <c r="A26" s="18" t="s">
        <v>110</v>
      </c>
      <c r="B26" s="15">
        <v>22</v>
      </c>
      <c r="C26" s="15">
        <v>11</v>
      </c>
      <c r="D26" s="26">
        <f t="shared" si="0"/>
        <v>0.5</v>
      </c>
      <c r="E26" s="26">
        <f>C26/$C$29</f>
        <v>9.3220338983050849E-2</v>
      </c>
      <c r="F26" s="21">
        <f>D26/$D$29</f>
        <v>1.0593220338983051</v>
      </c>
      <c r="H26" s="33" t="s">
        <v>96</v>
      </c>
      <c r="I26" s="34">
        <v>53</v>
      </c>
      <c r="J26" s="34">
        <f t="shared" si="1"/>
        <v>21</v>
      </c>
      <c r="K26" s="35">
        <f>GETPIVOTDATA("Average of Churn",$A$3,"SatBand","7–8")</f>
        <v>0.39622641509433965</v>
      </c>
      <c r="L26" s="35">
        <f>J26/J28</f>
        <v>0.17796610169491525</v>
      </c>
      <c r="M26" s="36">
        <f t="shared" si="2"/>
        <v>0.83946274384393993</v>
      </c>
    </row>
    <row r="27" spans="1:13" x14ac:dyDescent="0.2">
      <c r="A27" s="18" t="s">
        <v>109</v>
      </c>
      <c r="B27" s="15">
        <v>51</v>
      </c>
      <c r="C27" s="15">
        <v>26</v>
      </c>
      <c r="D27" s="26">
        <f t="shared" si="0"/>
        <v>0.50980392156862742</v>
      </c>
      <c r="E27" s="26">
        <f>C27/$C$29</f>
        <v>0.22033898305084745</v>
      </c>
      <c r="F27" s="21">
        <f>D27/$D$29</f>
        <v>1.0800930541708209</v>
      </c>
      <c r="H27" s="33" t="s">
        <v>97</v>
      </c>
      <c r="I27" s="34">
        <v>45</v>
      </c>
      <c r="J27" s="34">
        <f t="shared" si="1"/>
        <v>15</v>
      </c>
      <c r="K27" s="35">
        <f>GETPIVOTDATA("Average of Churn",$A$3,"SatBand","9–10")</f>
        <v>0.33333333333333331</v>
      </c>
      <c r="L27" s="35">
        <f>J27/J28</f>
        <v>0.1271186440677966</v>
      </c>
      <c r="M27" s="36">
        <f t="shared" si="2"/>
        <v>0.70621468926553677</v>
      </c>
    </row>
    <row r="28" spans="1:13" x14ac:dyDescent="0.2">
      <c r="A28" s="18" t="s">
        <v>112</v>
      </c>
      <c r="B28" s="15">
        <v>159</v>
      </c>
      <c r="C28" s="15">
        <v>71</v>
      </c>
      <c r="D28" s="26">
        <f t="shared" si="0"/>
        <v>0.44654088050314467</v>
      </c>
      <c r="E28" s="26">
        <f>C28/$C$29</f>
        <v>0.60169491525423724</v>
      </c>
      <c r="F28" s="21">
        <f>D28/$D$29</f>
        <v>0.94606118750666246</v>
      </c>
      <c r="H28" s="33" t="s">
        <v>47</v>
      </c>
      <c r="I28" s="34">
        <f>SUM(I24:I27)</f>
        <v>250</v>
      </c>
      <c r="J28" s="34">
        <f>SUM(J24:J27)</f>
        <v>118</v>
      </c>
      <c r="K28" s="35">
        <f>E4</f>
        <v>0.47199999999999998</v>
      </c>
      <c r="L28" s="35">
        <f>J28/J28</f>
        <v>1</v>
      </c>
      <c r="M28" s="36">
        <f>K28/K28</f>
        <v>1</v>
      </c>
    </row>
    <row r="29" spans="1:13" x14ac:dyDescent="0.2">
      <c r="A29" s="18" t="s">
        <v>47</v>
      </c>
      <c r="B29" s="15">
        <f>SUM(B24:B28)</f>
        <v>250</v>
      </c>
      <c r="C29" s="15">
        <f>SUM(C24:C28)</f>
        <v>118</v>
      </c>
      <c r="D29" s="26">
        <f>E4</f>
        <v>0.47199999999999998</v>
      </c>
      <c r="E29" s="27">
        <f>SUM(E24:E28)</f>
        <v>1</v>
      </c>
      <c r="F29" s="21">
        <f>D29/D29</f>
        <v>1</v>
      </c>
    </row>
    <row r="32" spans="1:13" x14ac:dyDescent="0.2">
      <c r="A32" s="23"/>
      <c r="D32" s="28"/>
    </row>
    <row r="33" spans="1:1" x14ac:dyDescent="0.2">
      <c r="A33" s="23"/>
    </row>
    <row r="34" spans="1:1" x14ac:dyDescent="0.2">
      <c r="A34" s="23"/>
    </row>
    <row r="35" spans="1:1" x14ac:dyDescent="0.2">
      <c r="A35" s="23"/>
    </row>
    <row r="36" spans="1:1" x14ac:dyDescent="0.2">
      <c r="A36" s="23"/>
    </row>
  </sheetData>
  <conditionalFormatting sqref="A3:B3 A5:A11 A19:A32 A34:A44 A62:A159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:B3 A30:B32 A5:A11 A19:A29 A37:B44 B33:B36 A34:A36 A62:B15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3:B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:G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5:H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7920-F9F2-2C47-9527-1E2AF510C6E6}">
  <dimension ref="A1:AG251"/>
  <sheetViews>
    <sheetView topLeftCell="AA1" zoomScale="135" workbookViewId="0">
      <selection sqref="A1:B133"/>
    </sheetView>
  </sheetViews>
  <sheetFormatPr baseColWidth="10" defaultRowHeight="15" x14ac:dyDescent="0.2"/>
  <cols>
    <col min="17" max="18" width="12.1640625" bestFit="1" customWidth="1"/>
    <col min="19" max="19" width="17.33203125" bestFit="1" customWidth="1"/>
    <col min="20" max="20" width="14.33203125" bestFit="1" customWidth="1"/>
    <col min="33" max="33" width="20.1640625" bestFit="1" customWidth="1"/>
  </cols>
  <sheetData>
    <row r="1" spans="1:33" x14ac:dyDescent="0.2">
      <c r="A1" s="3" t="s">
        <v>5</v>
      </c>
      <c r="B1" s="3" t="s">
        <v>6</v>
      </c>
      <c r="C1" s="3" t="s">
        <v>14</v>
      </c>
      <c r="D1" s="3" t="s">
        <v>7</v>
      </c>
      <c r="E1" s="3" t="s">
        <v>8</v>
      </c>
      <c r="F1" s="3" t="s">
        <v>17</v>
      </c>
      <c r="G1" s="3" t="s">
        <v>21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86</v>
      </c>
      <c r="N1" s="3" t="s">
        <v>87</v>
      </c>
      <c r="O1" s="3" t="s">
        <v>88</v>
      </c>
      <c r="P1" s="3" t="s">
        <v>120</v>
      </c>
      <c r="Q1" s="3"/>
      <c r="R1" s="22" t="s">
        <v>82</v>
      </c>
      <c r="S1" t="s">
        <v>102</v>
      </c>
      <c r="T1" t="s">
        <v>101</v>
      </c>
      <c r="U1" s="3"/>
      <c r="X1" t="s">
        <v>105</v>
      </c>
      <c r="Z1" t="s">
        <v>104</v>
      </c>
      <c r="AC1" t="s">
        <v>105</v>
      </c>
      <c r="AE1" t="s">
        <v>104</v>
      </c>
    </row>
    <row r="2" spans="1:33" x14ac:dyDescent="0.2">
      <c r="A2" s="3">
        <v>1</v>
      </c>
      <c r="B2" s="3">
        <v>56</v>
      </c>
      <c r="C2" s="3" t="s">
        <v>15</v>
      </c>
      <c r="D2" s="3">
        <v>58</v>
      </c>
      <c r="E2" s="3">
        <v>28.27</v>
      </c>
      <c r="F2" s="3" t="s">
        <v>18</v>
      </c>
      <c r="G2" s="3" t="s">
        <v>23</v>
      </c>
      <c r="H2" s="3">
        <v>2</v>
      </c>
      <c r="I2" s="3">
        <v>52.7</v>
      </c>
      <c r="J2" s="3">
        <v>6</v>
      </c>
      <c r="K2" s="3">
        <v>1614.09</v>
      </c>
      <c r="L2" s="3">
        <v>1</v>
      </c>
      <c r="M2" s="3" t="s">
        <v>89</v>
      </c>
      <c r="N2" s="3" t="s">
        <v>95</v>
      </c>
      <c r="O2" s="3" t="str" cm="1">
        <f t="array" ref="O2">_xlfn.IFS(
  I2 &lt;= $Q$2, "Low",
  I2 &lt;= $Q$3, "Mid-Low",
  I2 &lt;= $Q$4, "Mid-High",
  TRUE,                 "High"
)</f>
        <v>Mid-High</v>
      </c>
      <c r="P2" s="3" t="s">
        <v>73</v>
      </c>
      <c r="Q2" s="3">
        <f>_xlfn.PERCENTILE.INC(I2:I251,0.25)</f>
        <v>26.4</v>
      </c>
      <c r="R2" s="23" t="s">
        <v>98</v>
      </c>
      <c r="S2">
        <v>79</v>
      </c>
      <c r="T2">
        <v>0.51898734177215189</v>
      </c>
      <c r="U2" s="3"/>
      <c r="W2" t="s">
        <v>73</v>
      </c>
      <c r="X2" s="25">
        <v>0.48</v>
      </c>
      <c r="Y2" t="s">
        <v>73</v>
      </c>
      <c r="Z2">
        <v>1.01</v>
      </c>
      <c r="AB2" t="s">
        <v>98</v>
      </c>
      <c r="AC2" s="25">
        <v>0.52</v>
      </c>
      <c r="AD2" t="s">
        <v>98</v>
      </c>
      <c r="AE2">
        <v>1.1000000000000001</v>
      </c>
    </row>
    <row r="3" spans="1:33" x14ac:dyDescent="0.2">
      <c r="A3" s="3">
        <v>2</v>
      </c>
      <c r="B3" s="3">
        <v>69</v>
      </c>
      <c r="C3" s="3" t="s">
        <v>15</v>
      </c>
      <c r="D3" s="3">
        <v>63</v>
      </c>
      <c r="E3" s="3">
        <v>107.67</v>
      </c>
      <c r="F3" s="3" t="s">
        <v>18</v>
      </c>
      <c r="G3" s="3" t="s">
        <v>23</v>
      </c>
      <c r="H3" s="3">
        <v>1</v>
      </c>
      <c r="I3" s="3">
        <v>16.8</v>
      </c>
      <c r="J3" s="3">
        <v>1</v>
      </c>
      <c r="K3" s="3">
        <v>6505.15</v>
      </c>
      <c r="L3" s="3">
        <v>1</v>
      </c>
      <c r="M3" s="3" t="s">
        <v>89</v>
      </c>
      <c r="N3" s="3" t="s">
        <v>94</v>
      </c>
      <c r="O3" s="3" t="str" cm="1">
        <f t="array" ref="O3">_xlfn.IFS(
  I3 &lt;= $Q$2, "Low",
  I3 &lt;= $Q$3, "Mid-Low",
  I3 &lt;= $Q$4, "Mid-High",
  TRUE,                 "High"
)</f>
        <v>Low</v>
      </c>
      <c r="P3" s="3" t="s">
        <v>121</v>
      </c>
      <c r="Q3" s="3">
        <f>_xlfn.PERCENTILE.INC(I2:I251,0.5)</f>
        <v>50.900000000000006</v>
      </c>
      <c r="R3" s="23" t="s">
        <v>99</v>
      </c>
      <c r="S3">
        <v>9</v>
      </c>
      <c r="T3">
        <v>0.55555555555555558</v>
      </c>
      <c r="U3" s="3"/>
      <c r="W3" t="s">
        <v>122</v>
      </c>
      <c r="X3" s="25">
        <v>0.47</v>
      </c>
      <c r="Y3" t="s">
        <v>122</v>
      </c>
      <c r="Z3">
        <v>0.99</v>
      </c>
      <c r="AB3" t="s">
        <v>100</v>
      </c>
      <c r="AC3" s="25">
        <v>0.44</v>
      </c>
      <c r="AD3" t="s">
        <v>100</v>
      </c>
      <c r="AE3">
        <v>0.95</v>
      </c>
    </row>
    <row r="4" spans="1:33" x14ac:dyDescent="0.2">
      <c r="A4" s="3">
        <v>3</v>
      </c>
      <c r="B4" s="3">
        <v>46</v>
      </c>
      <c r="C4" s="3" t="s">
        <v>15</v>
      </c>
      <c r="D4" s="3">
        <v>62</v>
      </c>
      <c r="E4" s="3">
        <v>75.16</v>
      </c>
      <c r="F4" s="3" t="s">
        <v>20</v>
      </c>
      <c r="G4" s="3" t="s">
        <v>22</v>
      </c>
      <c r="H4" s="3">
        <v>1</v>
      </c>
      <c r="I4" s="3">
        <v>41.6</v>
      </c>
      <c r="J4" s="3">
        <v>5</v>
      </c>
      <c r="K4" s="3">
        <v>4646.87</v>
      </c>
      <c r="L4" s="3">
        <v>0</v>
      </c>
      <c r="M4" s="3" t="s">
        <v>89</v>
      </c>
      <c r="N4" s="3" t="s">
        <v>95</v>
      </c>
      <c r="O4" s="3" t="str" cm="1">
        <f t="array" ref="O4">_xlfn.IFS(
  I4 &lt;= $Q$2, "Low",
  I4 &lt;= $Q$3, "Mid-Low",
  I4 &lt;= $Q$4, "Mid-High",
  TRUE,                 "High"
)</f>
        <v>Mid-Low</v>
      </c>
      <c r="P4" s="3" t="s">
        <v>75</v>
      </c>
      <c r="Q4" s="3">
        <f>_xlfn.PERCENTILE.INC(I2:I251,0.75)</f>
        <v>75.75</v>
      </c>
      <c r="R4" s="23" t="s">
        <v>100</v>
      </c>
      <c r="S4">
        <v>162</v>
      </c>
      <c r="T4">
        <v>0.44444444444444442</v>
      </c>
      <c r="U4" s="3"/>
      <c r="W4" t="s">
        <v>75</v>
      </c>
      <c r="X4" s="25">
        <v>0.43</v>
      </c>
      <c r="Y4" t="s">
        <v>75</v>
      </c>
      <c r="Z4">
        <v>0.91</v>
      </c>
      <c r="AB4" t="s">
        <v>99</v>
      </c>
      <c r="AC4" s="25">
        <v>0.56000000000000005</v>
      </c>
      <c r="AD4" t="s">
        <v>99</v>
      </c>
      <c r="AE4">
        <v>1.18</v>
      </c>
    </row>
    <row r="5" spans="1:33" x14ac:dyDescent="0.2">
      <c r="A5" s="3">
        <v>4</v>
      </c>
      <c r="B5" s="3">
        <v>32</v>
      </c>
      <c r="C5" s="3" t="s">
        <v>16</v>
      </c>
      <c r="D5" s="3">
        <v>22</v>
      </c>
      <c r="E5" s="3">
        <v>36.479999999999997</v>
      </c>
      <c r="F5" s="3" t="s">
        <v>20</v>
      </c>
      <c r="G5" s="3" t="s">
        <v>24</v>
      </c>
      <c r="H5" s="3">
        <v>1</v>
      </c>
      <c r="I5" s="3">
        <v>66.099999999999994</v>
      </c>
      <c r="J5" s="3">
        <v>3</v>
      </c>
      <c r="K5" s="3">
        <v>814.95</v>
      </c>
      <c r="L5" s="3">
        <v>1</v>
      </c>
      <c r="M5" s="3" t="s">
        <v>91</v>
      </c>
      <c r="N5" s="3" t="s">
        <v>94</v>
      </c>
      <c r="O5" s="3" t="str" cm="1">
        <f t="array" ref="O5">_xlfn.IFS(
  I5 &lt;= $Q$2, "Low",
  I5 &lt;= $Q$3, "Mid-Low",
  I5 &lt;= $Q$4, "Mid-High",
  TRUE,                 "High"
)</f>
        <v>Mid-High</v>
      </c>
      <c r="P5" s="3" t="s">
        <v>73</v>
      </c>
      <c r="Q5" s="3"/>
      <c r="R5" s="23" t="s">
        <v>83</v>
      </c>
      <c r="S5">
        <v>250</v>
      </c>
      <c r="T5">
        <v>0.47199999999999998</v>
      </c>
      <c r="U5" s="3"/>
      <c r="W5" t="s">
        <v>121</v>
      </c>
      <c r="X5" s="25">
        <v>0.52</v>
      </c>
      <c r="Y5" t="s">
        <v>121</v>
      </c>
      <c r="Z5">
        <v>1.0900000000000001</v>
      </c>
    </row>
    <row r="6" spans="1:33" x14ac:dyDescent="0.2">
      <c r="A6" s="3">
        <v>5</v>
      </c>
      <c r="B6" s="3">
        <v>60</v>
      </c>
      <c r="C6" s="3" t="s">
        <v>16</v>
      </c>
      <c r="D6" s="3">
        <v>58</v>
      </c>
      <c r="E6" s="3">
        <v>61.13</v>
      </c>
      <c r="F6" s="3" t="s">
        <v>18</v>
      </c>
      <c r="G6" s="3" t="s">
        <v>22</v>
      </c>
      <c r="H6" s="3">
        <v>3</v>
      </c>
      <c r="I6" s="3">
        <v>79.099999999999994</v>
      </c>
      <c r="J6" s="3">
        <v>1</v>
      </c>
      <c r="K6" s="3">
        <v>3222</v>
      </c>
      <c r="L6" s="3">
        <v>1</v>
      </c>
      <c r="M6" s="3" t="s">
        <v>89</v>
      </c>
      <c r="N6" s="3" t="s">
        <v>94</v>
      </c>
      <c r="O6" s="3" t="str" cm="1">
        <f t="array" ref="O6">_xlfn.IFS(
  I6 &lt;= $Q$2, "Low",
  I6 &lt;= $Q$3, "Mid-Low",
  I6 &lt;= $Q$4, "Mid-High",
  TRUE,                 "High"
)</f>
        <v>High</v>
      </c>
      <c r="P6" s="3" t="s">
        <v>122</v>
      </c>
      <c r="Q6" s="3"/>
      <c r="U6" s="3"/>
    </row>
    <row r="7" spans="1:33" x14ac:dyDescent="0.2">
      <c r="A7" s="3">
        <v>6</v>
      </c>
      <c r="B7" s="3">
        <v>25</v>
      </c>
      <c r="C7" s="3" t="s">
        <v>15</v>
      </c>
      <c r="D7" s="3">
        <v>58</v>
      </c>
      <c r="E7" s="3">
        <v>97.76</v>
      </c>
      <c r="F7" s="3" t="s">
        <v>20</v>
      </c>
      <c r="G7" s="3" t="s">
        <v>24</v>
      </c>
      <c r="H7" s="3">
        <v>2</v>
      </c>
      <c r="I7" s="3">
        <v>25.6</v>
      </c>
      <c r="J7" s="3">
        <v>4</v>
      </c>
      <c r="K7" s="3">
        <v>5242.5600000000004</v>
      </c>
      <c r="L7" s="3">
        <v>1</v>
      </c>
      <c r="M7" s="3" t="s">
        <v>89</v>
      </c>
      <c r="N7" s="3" t="s">
        <v>94</v>
      </c>
      <c r="O7" s="3" t="str" cm="1">
        <f t="array" ref="O7">_xlfn.IFS(
  I7 &lt;= $Q$2, "Low",
  I7 &lt;= $Q$3, "Mid-Low",
  I7 &lt;= $Q$4, "Mid-High",
  TRUE,                 "High"
)</f>
        <v>Low</v>
      </c>
      <c r="P7" s="3" t="s">
        <v>121</v>
      </c>
      <c r="Q7" s="3"/>
      <c r="U7" s="3"/>
    </row>
    <row r="8" spans="1:33" x14ac:dyDescent="0.2">
      <c r="A8" s="3">
        <v>7</v>
      </c>
      <c r="B8" s="3">
        <v>38</v>
      </c>
      <c r="C8" s="3" t="s">
        <v>15</v>
      </c>
      <c r="D8" s="3">
        <v>49</v>
      </c>
      <c r="E8" s="3">
        <v>68.040000000000006</v>
      </c>
      <c r="F8" s="3" t="s">
        <v>18</v>
      </c>
      <c r="G8" s="3" t="s">
        <v>23</v>
      </c>
      <c r="H8" s="3">
        <v>2</v>
      </c>
      <c r="I8" s="3">
        <v>18.100000000000001</v>
      </c>
      <c r="J8" s="3">
        <v>2</v>
      </c>
      <c r="K8" s="3">
        <v>3373.06</v>
      </c>
      <c r="L8" s="3">
        <v>1</v>
      </c>
      <c r="M8" s="3" t="s">
        <v>89</v>
      </c>
      <c r="N8" s="3" t="s">
        <v>94</v>
      </c>
      <c r="O8" s="3" t="str" cm="1">
        <f t="array" ref="O8">_xlfn.IFS(
  I8 &lt;= $Q$2, "Low",
  I8 &lt;= $Q$3, "Mid-Low",
  I8 &lt;= $Q$4, "Mid-High",
  TRUE,                 "High"
)</f>
        <v>Low</v>
      </c>
      <c r="P8" s="3" t="s">
        <v>122</v>
      </c>
      <c r="Q8" s="3"/>
      <c r="U8" s="3"/>
    </row>
    <row r="9" spans="1:33" x14ac:dyDescent="0.2">
      <c r="A9" s="3">
        <v>8</v>
      </c>
      <c r="B9" s="3">
        <v>56</v>
      </c>
      <c r="C9" s="3" t="s">
        <v>16</v>
      </c>
      <c r="D9" s="3">
        <v>52</v>
      </c>
      <c r="E9" s="3">
        <v>118.53</v>
      </c>
      <c r="F9" s="3" t="s">
        <v>20</v>
      </c>
      <c r="G9" s="3" t="s">
        <v>24</v>
      </c>
      <c r="H9" s="3">
        <v>3</v>
      </c>
      <c r="I9" s="3">
        <v>68</v>
      </c>
      <c r="J9" s="3">
        <v>2</v>
      </c>
      <c r="K9" s="3">
        <v>5970.23</v>
      </c>
      <c r="L9" s="3">
        <v>0</v>
      </c>
      <c r="M9" s="3" t="s">
        <v>89</v>
      </c>
      <c r="N9" s="3" t="s">
        <v>94</v>
      </c>
      <c r="O9" s="3" t="str" cm="1">
        <f t="array" ref="O9">_xlfn.IFS(
  I9 &lt;= $Q$2, "Low",
  I9 &lt;= $Q$3, "Mid-Low",
  I9 &lt;= $Q$4, "Mid-High",
  TRUE,                 "High"
)</f>
        <v>Mid-High</v>
      </c>
      <c r="P9" s="3" t="s">
        <v>121</v>
      </c>
      <c r="Q9" s="3"/>
      <c r="U9" s="41" t="s">
        <v>119</v>
      </c>
      <c r="V9" s="42" t="s">
        <v>111</v>
      </c>
      <c r="W9" s="42" t="s">
        <v>69</v>
      </c>
      <c r="X9" s="42" t="s">
        <v>105</v>
      </c>
      <c r="Y9" s="42" t="s">
        <v>113</v>
      </c>
      <c r="Z9" s="42" t="s">
        <v>104</v>
      </c>
      <c r="AB9" s="47" t="s">
        <v>123</v>
      </c>
      <c r="AC9" s="47" t="s">
        <v>111</v>
      </c>
      <c r="AD9" s="47" t="s">
        <v>69</v>
      </c>
      <c r="AE9" s="47" t="s">
        <v>105</v>
      </c>
      <c r="AF9" s="47" t="s">
        <v>113</v>
      </c>
      <c r="AG9" s="47" t="s">
        <v>104</v>
      </c>
    </row>
    <row r="10" spans="1:33" x14ac:dyDescent="0.2">
      <c r="A10" s="3">
        <v>9</v>
      </c>
      <c r="B10" s="3">
        <v>36</v>
      </c>
      <c r="C10" s="3" t="s">
        <v>16</v>
      </c>
      <c r="D10" s="3">
        <v>42</v>
      </c>
      <c r="E10" s="3">
        <v>57.67</v>
      </c>
      <c r="F10" s="3" t="s">
        <v>20</v>
      </c>
      <c r="G10" s="3" t="s">
        <v>22</v>
      </c>
      <c r="H10" s="3">
        <v>0</v>
      </c>
      <c r="I10" s="3">
        <v>5.2</v>
      </c>
      <c r="J10" s="3">
        <v>3</v>
      </c>
      <c r="K10" s="3">
        <v>2533.16</v>
      </c>
      <c r="L10" s="3">
        <v>1</v>
      </c>
      <c r="M10" s="3" t="s">
        <v>89</v>
      </c>
      <c r="N10" s="3" t="s">
        <v>94</v>
      </c>
      <c r="O10" s="3" t="str" cm="1">
        <f t="array" ref="O10">_xlfn.IFS(
  I10 &lt;= $Q$2, "Low",
  I10 &lt;= $Q$3, "Mid-Low",
  I10 &lt;= $Q$4, "Mid-High",
  TRUE,                 "High"
)</f>
        <v>Low</v>
      </c>
      <c r="P10" s="3" t="s">
        <v>122</v>
      </c>
      <c r="Q10" s="3"/>
      <c r="U10" s="43" t="s">
        <v>73</v>
      </c>
      <c r="V10" s="44">
        <v>63</v>
      </c>
      <c r="W10" s="44" t="e">
        <f>V10*X10</f>
        <v>#REF!</v>
      </c>
      <c r="X10" s="45" t="e">
        <f>GETPIVOTDATA("Average of Churn",$R$1,"MonthQ","Q1")</f>
        <v>#REF!</v>
      </c>
      <c r="Y10" s="45" t="e">
        <f>W10/$W$14</f>
        <v>#REF!</v>
      </c>
      <c r="Z10" s="46" t="e">
        <f>X10/$X$14</f>
        <v>#REF!</v>
      </c>
      <c r="AB10" s="34" t="s">
        <v>98</v>
      </c>
      <c r="AC10" s="34">
        <v>79</v>
      </c>
      <c r="AD10" s="34">
        <f>AC10*AE10</f>
        <v>41</v>
      </c>
      <c r="AE10" s="48">
        <f>GETPIVOTDATA("Average of Churn",$R$1,"UsageBand","High")</f>
        <v>0.51898734177215189</v>
      </c>
      <c r="AF10" s="35">
        <f>AD10/$AD$13</f>
        <v>0.34745762711864409</v>
      </c>
      <c r="AG10" s="49">
        <f>AE10/$AE$13</f>
        <v>1.1042283867492595</v>
      </c>
    </row>
    <row r="11" spans="1:33" x14ac:dyDescent="0.2">
      <c r="A11" s="3">
        <v>10</v>
      </c>
      <c r="B11" s="3">
        <v>40</v>
      </c>
      <c r="C11" s="3" t="s">
        <v>15</v>
      </c>
      <c r="D11" s="3">
        <v>70</v>
      </c>
      <c r="E11" s="3">
        <v>94.96</v>
      </c>
      <c r="F11" s="3" t="s">
        <v>20</v>
      </c>
      <c r="G11" s="3" t="s">
        <v>23</v>
      </c>
      <c r="H11" s="3">
        <v>5</v>
      </c>
      <c r="I11" s="3">
        <v>21.9</v>
      </c>
      <c r="J11" s="3">
        <v>8</v>
      </c>
      <c r="K11" s="3">
        <v>6849.66</v>
      </c>
      <c r="L11" s="3">
        <v>0</v>
      </c>
      <c r="M11" s="3" t="s">
        <v>89</v>
      </c>
      <c r="N11" s="3" t="s">
        <v>96</v>
      </c>
      <c r="O11" s="3" t="str" cm="1">
        <f t="array" ref="O11">_xlfn.IFS(
  I11 &lt;= $Q$2, "Low",
  I11 &lt;= $Q$3, "Mid-Low",
  I11 &lt;= $Q$4, "Mid-High",
  TRUE,                 "High"
)</f>
        <v>Low</v>
      </c>
      <c r="P11" s="3" t="s">
        <v>75</v>
      </c>
      <c r="Q11" s="3"/>
      <c r="U11" s="43" t="s">
        <v>122</v>
      </c>
      <c r="V11" s="44">
        <v>62</v>
      </c>
      <c r="W11" s="44" t="e">
        <f t="shared" ref="W11:W13" si="0">V11*X11</f>
        <v>#REF!</v>
      </c>
      <c r="X11" s="45" t="e">
        <f>GETPIVOTDATA("Average of Churn",$R$1,"MonthQ","Q2")</f>
        <v>#REF!</v>
      </c>
      <c r="Y11" s="45" t="e">
        <f t="shared" ref="Y11:Y13" si="1">W11/$W$14</f>
        <v>#REF!</v>
      </c>
      <c r="Z11" s="46" t="e">
        <f t="shared" ref="Z11:Z13" si="2">X11/$X$14</f>
        <v>#REF!</v>
      </c>
      <c r="AB11" s="34" t="s">
        <v>100</v>
      </c>
      <c r="AC11" s="34">
        <v>162</v>
      </c>
      <c r="AD11" s="34">
        <f>AC11*AE11</f>
        <v>72</v>
      </c>
      <c r="AE11" s="48">
        <f>GETPIVOTDATA("Average of Churn",$R$1,"UsageBand","Mid-High")</f>
        <v>0.44444444444444442</v>
      </c>
      <c r="AF11" s="35">
        <f t="shared" ref="AF11:AF12" si="3">AD11/$AD$13</f>
        <v>0.61016949152542377</v>
      </c>
      <c r="AG11" s="49">
        <f t="shared" ref="AG11:AG12" si="4">AE11/$AE$13</f>
        <v>0.94562647754137119</v>
      </c>
    </row>
    <row r="12" spans="1:33" x14ac:dyDescent="0.2">
      <c r="A12" s="3">
        <v>11</v>
      </c>
      <c r="B12" s="3">
        <v>28</v>
      </c>
      <c r="C12" s="3" t="s">
        <v>16</v>
      </c>
      <c r="D12" s="3">
        <v>15</v>
      </c>
      <c r="E12" s="3">
        <v>59.3</v>
      </c>
      <c r="F12" s="3" t="s">
        <v>20</v>
      </c>
      <c r="G12" s="3" t="s">
        <v>22</v>
      </c>
      <c r="H12" s="3">
        <v>1</v>
      </c>
      <c r="I12" s="3">
        <v>7.8</v>
      </c>
      <c r="J12" s="3">
        <v>8</v>
      </c>
      <c r="K12" s="3">
        <v>950.98</v>
      </c>
      <c r="L12" s="3">
        <v>0</v>
      </c>
      <c r="M12" s="3" t="s">
        <v>91</v>
      </c>
      <c r="N12" s="3" t="s">
        <v>96</v>
      </c>
      <c r="O12" s="3" t="str" cm="1">
        <f t="array" ref="O12">_xlfn.IFS(
  I12 &lt;= $Q$2, "Low",
  I12 &lt;= $Q$3, "Mid-Low",
  I12 &lt;= $Q$4, "Mid-High",
  TRUE,                 "High"
)</f>
        <v>Low</v>
      </c>
      <c r="P12" s="3" t="s">
        <v>122</v>
      </c>
      <c r="Q12" s="3"/>
      <c r="U12" s="43" t="s">
        <v>75</v>
      </c>
      <c r="V12" s="44">
        <v>65</v>
      </c>
      <c r="W12" s="44" t="e">
        <f t="shared" si="0"/>
        <v>#REF!</v>
      </c>
      <c r="X12" s="45" t="e">
        <f>GETPIVOTDATA("Average of Churn",$R$1,"MonthQ","Q3")</f>
        <v>#REF!</v>
      </c>
      <c r="Y12" s="45" t="e">
        <f t="shared" si="1"/>
        <v>#REF!</v>
      </c>
      <c r="Z12" s="46" t="e">
        <f t="shared" si="2"/>
        <v>#REF!</v>
      </c>
      <c r="AB12" s="34" t="s">
        <v>99</v>
      </c>
      <c r="AC12" s="34">
        <v>9</v>
      </c>
      <c r="AD12" s="34">
        <f>AC12*AE12</f>
        <v>5</v>
      </c>
      <c r="AE12" s="48">
        <f>GETPIVOTDATA("Average of Churn",$R$1,"UsageBand","Low")</f>
        <v>0.55555555555555558</v>
      </c>
      <c r="AF12" s="35">
        <f t="shared" si="3"/>
        <v>4.2372881355932202E-2</v>
      </c>
      <c r="AG12" s="49">
        <f t="shared" si="4"/>
        <v>1.1820330969267141</v>
      </c>
    </row>
    <row r="13" spans="1:33" x14ac:dyDescent="0.2">
      <c r="A13" s="3">
        <v>12</v>
      </c>
      <c r="B13" s="3">
        <v>28</v>
      </c>
      <c r="C13" s="3" t="s">
        <v>15</v>
      </c>
      <c r="D13" s="3">
        <v>54</v>
      </c>
      <c r="E13" s="3">
        <v>102.92</v>
      </c>
      <c r="F13" s="3" t="s">
        <v>18</v>
      </c>
      <c r="G13" s="3" t="s">
        <v>22</v>
      </c>
      <c r="H13" s="3">
        <v>3</v>
      </c>
      <c r="I13" s="3">
        <v>20.9</v>
      </c>
      <c r="J13" s="3">
        <v>7</v>
      </c>
      <c r="K13" s="3">
        <v>5771.64</v>
      </c>
      <c r="L13" s="3">
        <v>0</v>
      </c>
      <c r="M13" s="3" t="s">
        <v>89</v>
      </c>
      <c r="N13" s="3" t="s">
        <v>96</v>
      </c>
      <c r="O13" s="3" t="str" cm="1">
        <f t="array" ref="O13">_xlfn.IFS(
  I13 &lt;= $Q$2, "Low",
  I13 &lt;= $Q$3, "Mid-Low",
  I13 &lt;= $Q$4, "Mid-High",
  TRUE,                 "High"
)</f>
        <v>Low</v>
      </c>
      <c r="P13" s="3" t="s">
        <v>121</v>
      </c>
      <c r="Q13" s="3"/>
      <c r="U13" s="43" t="s">
        <v>121</v>
      </c>
      <c r="V13" s="44">
        <v>60</v>
      </c>
      <c r="W13" s="44" t="e">
        <f t="shared" si="0"/>
        <v>#REF!</v>
      </c>
      <c r="X13" s="45" t="e">
        <f>GETPIVOTDATA("Average of Churn",$R$1,"MonthQ","Q4")</f>
        <v>#REF!</v>
      </c>
      <c r="Y13" s="45" t="e">
        <f t="shared" si="1"/>
        <v>#REF!</v>
      </c>
      <c r="Z13" s="46" t="e">
        <f t="shared" si="2"/>
        <v>#REF!</v>
      </c>
      <c r="AB13" s="34" t="s">
        <v>47</v>
      </c>
      <c r="AC13" s="34">
        <f>SUM(AC10:AC12)</f>
        <v>250</v>
      </c>
      <c r="AD13" s="34">
        <f>SUM(AD10:AD12)</f>
        <v>118</v>
      </c>
      <c r="AE13" s="48">
        <v>0.47</v>
      </c>
      <c r="AF13" s="35">
        <f>AD13/AD13</f>
        <v>1</v>
      </c>
      <c r="AG13" s="36">
        <f>AE13/AE13</f>
        <v>1</v>
      </c>
    </row>
    <row r="14" spans="1:33" x14ac:dyDescent="0.2">
      <c r="A14" s="3">
        <v>13</v>
      </c>
      <c r="B14" s="3">
        <v>41</v>
      </c>
      <c r="C14" s="3" t="s">
        <v>15</v>
      </c>
      <c r="D14" s="3">
        <v>60</v>
      </c>
      <c r="E14" s="3">
        <v>76.91</v>
      </c>
      <c r="F14" s="3" t="s">
        <v>20</v>
      </c>
      <c r="G14" s="3" t="s">
        <v>24</v>
      </c>
      <c r="H14" s="3">
        <v>0</v>
      </c>
      <c r="I14" s="3">
        <v>22.2</v>
      </c>
      <c r="J14" s="3">
        <v>6</v>
      </c>
      <c r="K14" s="3">
        <v>4549.93</v>
      </c>
      <c r="L14" s="3">
        <v>0</v>
      </c>
      <c r="M14" s="3" t="s">
        <v>89</v>
      </c>
      <c r="N14" s="3" t="s">
        <v>95</v>
      </c>
      <c r="O14" s="3" t="str" cm="1">
        <f t="array" ref="O14">_xlfn.IFS(
  I14 &lt;= $Q$2, "Low",
  I14 &lt;= $Q$3, "Mid-Low",
  I14 &lt;= $Q$4, "Mid-High",
  TRUE,                 "High"
)</f>
        <v>Low</v>
      </c>
      <c r="P14" s="3" t="s">
        <v>75</v>
      </c>
      <c r="Q14" s="3"/>
      <c r="U14" s="43" t="s">
        <v>47</v>
      </c>
      <c r="V14" s="44">
        <f>SUM(V10:V13)</f>
        <v>250</v>
      </c>
      <c r="W14" s="44" t="e">
        <f>SUM(W10:W13)</f>
        <v>#REF!</v>
      </c>
      <c r="X14" s="45">
        <f>GETPIVOTDATA("Average of Churn",$R$1)</f>
        <v>0.47199999999999998</v>
      </c>
      <c r="Y14" s="45" t="e">
        <f>W14/W14</f>
        <v>#REF!</v>
      </c>
      <c r="Z14" s="46">
        <f>X14/X14</f>
        <v>1</v>
      </c>
    </row>
    <row r="15" spans="1:33" x14ac:dyDescent="0.2">
      <c r="A15" s="3">
        <v>14</v>
      </c>
      <c r="B15" s="3">
        <v>53</v>
      </c>
      <c r="C15" s="3" t="s">
        <v>16</v>
      </c>
      <c r="D15" s="3">
        <v>8</v>
      </c>
      <c r="E15" s="3">
        <v>26.35</v>
      </c>
      <c r="F15" s="3" t="s">
        <v>20</v>
      </c>
      <c r="G15" s="3" t="s">
        <v>22</v>
      </c>
      <c r="H15" s="3">
        <v>1</v>
      </c>
      <c r="I15" s="3">
        <v>41.8</v>
      </c>
      <c r="J15" s="3">
        <v>9</v>
      </c>
      <c r="K15" s="3">
        <v>218.09</v>
      </c>
      <c r="L15" s="3">
        <v>1</v>
      </c>
      <c r="M15" s="3" t="s">
        <v>93</v>
      </c>
      <c r="N15" s="3" t="s">
        <v>97</v>
      </c>
      <c r="O15" s="3" t="str" cm="1">
        <f t="array" ref="O15">_xlfn.IFS(
  I15 &lt;= $Q$2, "Low",
  I15 &lt;= $Q$3, "Mid-Low",
  I15 &lt;= $Q$4, "Mid-High",
  TRUE,                 "High"
)</f>
        <v>Mid-Low</v>
      </c>
      <c r="P15" s="3" t="s">
        <v>73</v>
      </c>
      <c r="Q15" s="3"/>
      <c r="U15" s="43"/>
      <c r="V15" s="44"/>
      <c r="W15" s="44"/>
      <c r="X15" s="45"/>
      <c r="Y15" s="45"/>
      <c r="Z15" s="46"/>
    </row>
    <row r="16" spans="1:33" x14ac:dyDescent="0.2">
      <c r="A16" s="3">
        <v>15</v>
      </c>
      <c r="B16" s="3">
        <v>57</v>
      </c>
      <c r="C16" s="3" t="s">
        <v>16</v>
      </c>
      <c r="D16" s="3">
        <v>53</v>
      </c>
      <c r="E16" s="3">
        <v>23.68</v>
      </c>
      <c r="F16" s="3" t="s">
        <v>20</v>
      </c>
      <c r="G16" s="3" t="s">
        <v>24</v>
      </c>
      <c r="H16" s="3">
        <v>1</v>
      </c>
      <c r="I16" s="3">
        <v>43.2</v>
      </c>
      <c r="J16" s="3">
        <v>4</v>
      </c>
      <c r="K16" s="3">
        <v>1198.6600000000001</v>
      </c>
      <c r="L16" s="3">
        <v>0</v>
      </c>
      <c r="M16" s="3" t="s">
        <v>89</v>
      </c>
      <c r="N16" s="3" t="s">
        <v>94</v>
      </c>
      <c r="O16" s="3" t="str" cm="1">
        <f t="array" ref="O16">_xlfn.IFS(
  I16 &lt;= $Q$2, "Low",
  I16 &lt;= $Q$3, "Mid-Low",
  I16 &lt;= $Q$4, "Mid-High",
  TRUE,                 "High"
)</f>
        <v>Mid-Low</v>
      </c>
      <c r="P16" s="3" t="s">
        <v>73</v>
      </c>
      <c r="Q16" s="3"/>
      <c r="U16" s="3"/>
    </row>
    <row r="17" spans="1:21" x14ac:dyDescent="0.2">
      <c r="A17" s="3">
        <v>16</v>
      </c>
      <c r="B17" s="3">
        <v>41</v>
      </c>
      <c r="C17" s="3" t="s">
        <v>15</v>
      </c>
      <c r="D17" s="3">
        <v>60</v>
      </c>
      <c r="E17" s="3">
        <v>33.39</v>
      </c>
      <c r="F17" s="3" t="s">
        <v>20</v>
      </c>
      <c r="G17" s="3" t="s">
        <v>23</v>
      </c>
      <c r="H17" s="3">
        <v>3</v>
      </c>
      <c r="I17" s="3">
        <v>88.1</v>
      </c>
      <c r="J17" s="3">
        <v>1</v>
      </c>
      <c r="K17" s="3">
        <v>1925.79</v>
      </c>
      <c r="L17" s="3">
        <v>1</v>
      </c>
      <c r="M17" s="3" t="s">
        <v>89</v>
      </c>
      <c r="N17" s="3" t="s">
        <v>94</v>
      </c>
      <c r="O17" s="3" t="str" cm="1">
        <f t="array" ref="O17">_xlfn.IFS(
  I17 &lt;= $Q$2, "Low",
  I17 &lt;= $Q$3, "Mid-Low",
  I17 &lt;= $Q$4, "Mid-High",
  TRUE,                 "High"
)</f>
        <v>High</v>
      </c>
      <c r="P17" s="3" t="s">
        <v>73</v>
      </c>
      <c r="Q17" s="3"/>
      <c r="U17" s="3"/>
    </row>
    <row r="18" spans="1:21" x14ac:dyDescent="0.2">
      <c r="A18" s="3">
        <v>17</v>
      </c>
      <c r="B18" s="3">
        <v>20</v>
      </c>
      <c r="C18" s="3" t="s">
        <v>15</v>
      </c>
      <c r="D18" s="3">
        <v>5</v>
      </c>
      <c r="E18" s="3">
        <v>21.37</v>
      </c>
      <c r="F18" s="3" t="s">
        <v>18</v>
      </c>
      <c r="G18" s="3" t="s">
        <v>24</v>
      </c>
      <c r="H18" s="3">
        <v>3</v>
      </c>
      <c r="I18" s="3">
        <v>53.5</v>
      </c>
      <c r="J18" s="3">
        <v>8</v>
      </c>
      <c r="K18" s="3">
        <v>113.03</v>
      </c>
      <c r="L18" s="3">
        <v>0</v>
      </c>
      <c r="M18" s="3" t="s">
        <v>92</v>
      </c>
      <c r="N18" s="3" t="s">
        <v>96</v>
      </c>
      <c r="O18" s="3" t="str" cm="1">
        <f t="array" ref="O18">_xlfn.IFS(
  I18 &lt;= $Q$2, "Low",
  I18 &lt;= $Q$3, "Mid-Low",
  I18 &lt;= $Q$4, "Mid-High",
  TRUE,                 "High"
)</f>
        <v>Mid-High</v>
      </c>
      <c r="P18" s="3" t="s">
        <v>73</v>
      </c>
      <c r="Q18" s="3"/>
      <c r="U18" s="3"/>
    </row>
    <row r="19" spans="1:21" x14ac:dyDescent="0.2">
      <c r="A19" s="3">
        <v>18</v>
      </c>
      <c r="B19" s="3">
        <v>39</v>
      </c>
      <c r="C19" s="3" t="s">
        <v>16</v>
      </c>
      <c r="D19" s="3">
        <v>68</v>
      </c>
      <c r="E19" s="3">
        <v>27.54</v>
      </c>
      <c r="F19" s="3" t="s">
        <v>20</v>
      </c>
      <c r="G19" s="3" t="s">
        <v>23</v>
      </c>
      <c r="H19" s="3">
        <v>2</v>
      </c>
      <c r="I19" s="3">
        <v>73.7</v>
      </c>
      <c r="J19" s="3">
        <v>7</v>
      </c>
      <c r="K19" s="3">
        <v>1852.65</v>
      </c>
      <c r="L19" s="3">
        <v>0</v>
      </c>
      <c r="M19" s="3" t="s">
        <v>89</v>
      </c>
      <c r="N19" s="3" t="s">
        <v>96</v>
      </c>
      <c r="O19" s="3" t="str" cm="1">
        <f t="array" ref="O19">_xlfn.IFS(
  I19 &lt;= $Q$2, "Low",
  I19 &lt;= $Q$3, "Mid-Low",
  I19 &lt;= $Q$4, "Mid-High",
  TRUE,                 "High"
)</f>
        <v>Mid-High</v>
      </c>
      <c r="P19" s="3" t="s">
        <v>73</v>
      </c>
      <c r="Q19" s="3"/>
      <c r="R19" s="3"/>
      <c r="S19" s="3"/>
      <c r="T19" s="3"/>
      <c r="U19" s="3"/>
    </row>
    <row r="20" spans="1:21" x14ac:dyDescent="0.2">
      <c r="A20" s="3">
        <v>19</v>
      </c>
      <c r="B20" s="3">
        <v>19</v>
      </c>
      <c r="C20" s="3" t="s">
        <v>15</v>
      </c>
      <c r="D20" s="3">
        <v>6</v>
      </c>
      <c r="E20" s="3">
        <v>89.17</v>
      </c>
      <c r="F20" s="3" t="s">
        <v>20</v>
      </c>
      <c r="G20" s="3" t="s">
        <v>24</v>
      </c>
      <c r="H20" s="3">
        <v>6</v>
      </c>
      <c r="I20" s="3">
        <v>14.9</v>
      </c>
      <c r="J20" s="3">
        <v>7</v>
      </c>
      <c r="K20" s="3">
        <v>566.95000000000005</v>
      </c>
      <c r="L20" s="3">
        <v>1</v>
      </c>
      <c r="M20" s="3" t="s">
        <v>92</v>
      </c>
      <c r="N20" s="3" t="s">
        <v>96</v>
      </c>
      <c r="O20" s="3" t="str" cm="1">
        <f t="array" ref="O20">_xlfn.IFS(
  I20 &lt;= $Q$2, "Low",
  I20 &lt;= $Q$3, "Mid-Low",
  I20 &lt;= $Q$4, "Mid-High",
  TRUE,                 "High"
)</f>
        <v>Low</v>
      </c>
      <c r="P20" s="3" t="s">
        <v>75</v>
      </c>
      <c r="Q20" s="3"/>
      <c r="R20" s="3"/>
      <c r="S20" s="3"/>
      <c r="T20" s="3"/>
      <c r="U20" s="3"/>
    </row>
    <row r="21" spans="1:21" x14ac:dyDescent="0.2">
      <c r="A21" s="3">
        <v>20</v>
      </c>
      <c r="B21" s="3">
        <v>41</v>
      </c>
      <c r="C21" s="3" t="s">
        <v>16</v>
      </c>
      <c r="D21" s="3">
        <v>47</v>
      </c>
      <c r="E21" s="3">
        <v>73.430000000000007</v>
      </c>
      <c r="F21" s="3" t="s">
        <v>20</v>
      </c>
      <c r="G21" s="3" t="s">
        <v>22</v>
      </c>
      <c r="H21" s="3">
        <v>3</v>
      </c>
      <c r="I21" s="3">
        <v>26.4</v>
      </c>
      <c r="J21" s="3">
        <v>3</v>
      </c>
      <c r="K21" s="3">
        <v>3673.76</v>
      </c>
      <c r="L21" s="3">
        <v>1</v>
      </c>
      <c r="M21" s="3" t="s">
        <v>89</v>
      </c>
      <c r="N21" s="3" t="s">
        <v>94</v>
      </c>
      <c r="O21" s="3" t="str" cm="1">
        <f t="array" ref="O21">_xlfn.IFS(
  I21 &lt;= $Q$2, "Low",
  I21 &lt;= $Q$3, "Mid-Low",
  I21 &lt;= $Q$4, "Mid-High",
  TRUE,                 "High"
)</f>
        <v>Low</v>
      </c>
      <c r="P21" s="3" t="s">
        <v>122</v>
      </c>
      <c r="Q21" s="3"/>
      <c r="R21" s="3"/>
      <c r="S21" s="3"/>
      <c r="T21" s="3"/>
      <c r="U21" s="3"/>
    </row>
    <row r="22" spans="1:21" x14ac:dyDescent="0.2">
      <c r="A22" s="3">
        <v>21</v>
      </c>
      <c r="B22" s="3">
        <v>61</v>
      </c>
      <c r="C22" s="3" t="s">
        <v>15</v>
      </c>
      <c r="D22" s="3">
        <v>55</v>
      </c>
      <c r="E22" s="3">
        <v>94.99</v>
      </c>
      <c r="F22" s="3" t="s">
        <v>18</v>
      </c>
      <c r="G22" s="3" t="s">
        <v>24</v>
      </c>
      <c r="H22" s="3">
        <v>4</v>
      </c>
      <c r="I22" s="3">
        <v>71.8</v>
      </c>
      <c r="J22" s="3">
        <v>4</v>
      </c>
      <c r="K22" s="3">
        <v>5598.06</v>
      </c>
      <c r="L22" s="3">
        <v>0</v>
      </c>
      <c r="M22" s="3" t="s">
        <v>89</v>
      </c>
      <c r="N22" s="3" t="s">
        <v>94</v>
      </c>
      <c r="O22" s="3" t="str" cm="1">
        <f t="array" ref="O22">_xlfn.IFS(
  I22 &lt;= $Q$2, "Low",
  I22 &lt;= $Q$3, "Mid-Low",
  I22 &lt;= $Q$4, "Mid-High",
  TRUE,                 "High"
)</f>
        <v>Mid-High</v>
      </c>
      <c r="P22" s="3" t="s">
        <v>75</v>
      </c>
      <c r="Q22" s="3"/>
      <c r="R22" s="3"/>
      <c r="S22" s="3"/>
      <c r="T22" s="3"/>
      <c r="U22" s="3"/>
    </row>
    <row r="23" spans="1:21" x14ac:dyDescent="0.2">
      <c r="A23" s="3">
        <v>22</v>
      </c>
      <c r="B23" s="3">
        <v>47</v>
      </c>
      <c r="C23" s="3" t="s">
        <v>16</v>
      </c>
      <c r="D23" s="3">
        <v>40</v>
      </c>
      <c r="E23" s="3">
        <v>111.32</v>
      </c>
      <c r="F23" s="3" t="s">
        <v>20</v>
      </c>
      <c r="G23" s="3" t="s">
        <v>24</v>
      </c>
      <c r="H23" s="3">
        <v>1</v>
      </c>
      <c r="I23" s="3">
        <v>10</v>
      </c>
      <c r="J23" s="3">
        <v>10</v>
      </c>
      <c r="K23" s="3">
        <v>4823.84</v>
      </c>
      <c r="L23" s="3">
        <v>1</v>
      </c>
      <c r="M23" s="3" t="s">
        <v>89</v>
      </c>
      <c r="N23" s="3" t="s">
        <v>97</v>
      </c>
      <c r="O23" s="3" t="str" cm="1">
        <f t="array" ref="O23">_xlfn.IFS(
  I23 &lt;= $Q$2, "Low",
  I23 &lt;= $Q$3, "Mid-Low",
  I23 &lt;= $Q$4, "Mid-High",
  TRUE,                 "High"
)</f>
        <v>Low</v>
      </c>
      <c r="P23" s="3" t="s">
        <v>121</v>
      </c>
      <c r="Q23" s="3"/>
      <c r="R23" s="3"/>
      <c r="S23" s="3"/>
      <c r="T23" s="3"/>
      <c r="U23" s="3"/>
    </row>
    <row r="24" spans="1:21" x14ac:dyDescent="0.2">
      <c r="A24" s="3">
        <v>23</v>
      </c>
      <c r="B24" s="3">
        <v>55</v>
      </c>
      <c r="C24" s="3" t="s">
        <v>16</v>
      </c>
      <c r="D24" s="3">
        <v>52</v>
      </c>
      <c r="E24" s="3">
        <v>78.510000000000005</v>
      </c>
      <c r="F24" s="3" t="s">
        <v>18</v>
      </c>
      <c r="G24" s="3" t="s">
        <v>23</v>
      </c>
      <c r="H24" s="3">
        <v>0</v>
      </c>
      <c r="I24" s="3">
        <v>51.2</v>
      </c>
      <c r="J24" s="3">
        <v>9</v>
      </c>
      <c r="K24" s="3">
        <v>4026.17</v>
      </c>
      <c r="L24" s="3">
        <v>1</v>
      </c>
      <c r="M24" s="3" t="s">
        <v>89</v>
      </c>
      <c r="N24" s="3" t="s">
        <v>97</v>
      </c>
      <c r="O24" s="3" t="str" cm="1">
        <f t="array" ref="O24">_xlfn.IFS(
  I24 &lt;= $Q$2, "Low",
  I24 &lt;= $Q$3, "Mid-Low",
  I24 &lt;= $Q$4, "Mid-High",
  TRUE,                 "High"
)</f>
        <v>Mid-High</v>
      </c>
      <c r="P24" s="3" t="s">
        <v>75</v>
      </c>
      <c r="Q24" s="3"/>
      <c r="R24" s="3"/>
      <c r="S24" s="3"/>
      <c r="T24" s="3"/>
      <c r="U24" s="3"/>
    </row>
    <row r="25" spans="1:21" x14ac:dyDescent="0.2">
      <c r="A25" s="3">
        <v>24</v>
      </c>
      <c r="B25" s="3">
        <v>19</v>
      </c>
      <c r="C25" s="3" t="s">
        <v>16</v>
      </c>
      <c r="D25" s="3">
        <v>16</v>
      </c>
      <c r="E25" s="3">
        <v>92.61</v>
      </c>
      <c r="F25" s="3" t="s">
        <v>19</v>
      </c>
      <c r="G25" s="3" t="s">
        <v>22</v>
      </c>
      <c r="H25" s="3">
        <v>1</v>
      </c>
      <c r="I25" s="3">
        <v>61.9</v>
      </c>
      <c r="J25" s="3">
        <v>6</v>
      </c>
      <c r="K25" s="3">
        <v>1428.08</v>
      </c>
      <c r="L25" s="3">
        <v>0</v>
      </c>
      <c r="M25" s="3" t="s">
        <v>91</v>
      </c>
      <c r="N25" s="3" t="s">
        <v>95</v>
      </c>
      <c r="O25" s="3" t="str" cm="1">
        <f t="array" ref="O25">_xlfn.IFS(
  I25 &lt;= $Q$2, "Low",
  I25 &lt;= $Q$3, "Mid-Low",
  I25 &lt;= $Q$4, "Mid-High",
  TRUE,                 "High"
)</f>
        <v>Mid-High</v>
      </c>
      <c r="P25" s="3" t="s">
        <v>75</v>
      </c>
      <c r="Q25" s="3"/>
      <c r="R25" s="3"/>
      <c r="S25" s="3"/>
      <c r="T25" s="3"/>
      <c r="U25" s="3"/>
    </row>
    <row r="26" spans="1:21" x14ac:dyDescent="0.2">
      <c r="A26" s="3">
        <v>25</v>
      </c>
      <c r="B26" s="3">
        <v>38</v>
      </c>
      <c r="C26" s="3" t="s">
        <v>15</v>
      </c>
      <c r="D26" s="3">
        <v>13</v>
      </c>
      <c r="E26" s="3">
        <v>95.71</v>
      </c>
      <c r="F26" s="3" t="s">
        <v>20</v>
      </c>
      <c r="G26" s="3" t="s">
        <v>24</v>
      </c>
      <c r="H26" s="3">
        <v>1</v>
      </c>
      <c r="I26" s="3">
        <v>62.2</v>
      </c>
      <c r="J26" s="3">
        <v>5</v>
      </c>
      <c r="K26" s="3">
        <v>1264.68</v>
      </c>
      <c r="L26" s="3">
        <v>0</v>
      </c>
      <c r="M26" s="3" t="s">
        <v>91</v>
      </c>
      <c r="N26" s="3" t="s">
        <v>95</v>
      </c>
      <c r="O26" s="3" t="str" cm="1">
        <f t="array" ref="O26">_xlfn.IFS(
  I26 &lt;= $Q$2, "Low",
  I26 &lt;= $Q$3, "Mid-Low",
  I26 &lt;= $Q$4, "Mid-High",
  TRUE,                 "High"
)</f>
        <v>Mid-High</v>
      </c>
      <c r="P26" s="3" t="s">
        <v>121</v>
      </c>
      <c r="Q26" s="3"/>
      <c r="R26" s="3"/>
      <c r="S26" s="3"/>
      <c r="T26" s="3"/>
      <c r="U26" s="3"/>
    </row>
    <row r="27" spans="1:21" x14ac:dyDescent="0.2">
      <c r="A27" s="3">
        <v>26</v>
      </c>
      <c r="B27" s="3">
        <v>50</v>
      </c>
      <c r="C27" s="3" t="s">
        <v>15</v>
      </c>
      <c r="D27" s="3">
        <v>30</v>
      </c>
      <c r="E27" s="3">
        <v>57.79</v>
      </c>
      <c r="F27" s="3" t="s">
        <v>20</v>
      </c>
      <c r="G27" s="3" t="s">
        <v>22</v>
      </c>
      <c r="H27" s="3">
        <v>4</v>
      </c>
      <c r="I27" s="3">
        <v>7.2</v>
      </c>
      <c r="J27" s="3">
        <v>3</v>
      </c>
      <c r="K27" s="3">
        <v>1689.03</v>
      </c>
      <c r="L27" s="3">
        <v>0</v>
      </c>
      <c r="M27" s="3" t="s">
        <v>89</v>
      </c>
      <c r="N27" s="3" t="s">
        <v>94</v>
      </c>
      <c r="O27" s="3" t="str" cm="1">
        <f t="array" ref="O27">_xlfn.IFS(
  I27 &lt;= $Q$2, "Low",
  I27 &lt;= $Q$3, "Mid-Low",
  I27 &lt;= $Q$4, "Mid-High",
  TRUE,                 "High"
)</f>
        <v>Low</v>
      </c>
      <c r="P27" s="3" t="s">
        <v>122</v>
      </c>
      <c r="Q27" s="3"/>
      <c r="R27" s="3"/>
      <c r="S27" s="3"/>
      <c r="T27" s="3"/>
      <c r="U27" s="3"/>
    </row>
    <row r="28" spans="1:21" x14ac:dyDescent="0.2">
      <c r="A28" s="3">
        <v>27</v>
      </c>
      <c r="B28" s="3">
        <v>29</v>
      </c>
      <c r="C28" s="3" t="s">
        <v>16</v>
      </c>
      <c r="D28" s="3">
        <v>19</v>
      </c>
      <c r="E28" s="3">
        <v>44.11</v>
      </c>
      <c r="F28" s="3" t="s">
        <v>20</v>
      </c>
      <c r="G28" s="3" t="s">
        <v>24</v>
      </c>
      <c r="H28" s="3">
        <v>1</v>
      </c>
      <c r="I28" s="3">
        <v>35.6</v>
      </c>
      <c r="J28" s="3">
        <v>9</v>
      </c>
      <c r="K28" s="3">
        <v>855.03</v>
      </c>
      <c r="L28" s="3">
        <v>0</v>
      </c>
      <c r="M28" s="3" t="s">
        <v>91</v>
      </c>
      <c r="N28" s="3" t="s">
        <v>97</v>
      </c>
      <c r="O28" s="3" t="str" cm="1">
        <f t="array" ref="O28">_xlfn.IFS(
  I28 &lt;= $Q$2, "Low",
  I28 &lt;= $Q$3, "Mid-Low",
  I28 &lt;= $Q$4, "Mid-High",
  TRUE,                 "High"
)</f>
        <v>Mid-Low</v>
      </c>
      <c r="P28" s="3" t="s">
        <v>73</v>
      </c>
      <c r="Q28" s="3"/>
      <c r="R28" s="3"/>
      <c r="S28" s="3"/>
      <c r="T28" s="3"/>
      <c r="U28" s="3"/>
    </row>
    <row r="29" spans="1:21" x14ac:dyDescent="0.2">
      <c r="A29" s="3">
        <v>28</v>
      </c>
      <c r="B29" s="3">
        <v>39</v>
      </c>
      <c r="C29" s="3" t="s">
        <v>15</v>
      </c>
      <c r="D29" s="3">
        <v>17</v>
      </c>
      <c r="E29" s="3">
        <v>40.5</v>
      </c>
      <c r="F29" s="3" t="s">
        <v>20</v>
      </c>
      <c r="G29" s="3" t="s">
        <v>24</v>
      </c>
      <c r="H29" s="3">
        <v>2</v>
      </c>
      <c r="I29" s="3">
        <v>65.5</v>
      </c>
      <c r="J29" s="3">
        <v>5</v>
      </c>
      <c r="K29" s="3">
        <v>716.81</v>
      </c>
      <c r="L29" s="3">
        <v>0</v>
      </c>
      <c r="M29" s="3" t="s">
        <v>91</v>
      </c>
      <c r="N29" s="3" t="s">
        <v>95</v>
      </c>
      <c r="O29" s="3" t="str" cm="1">
        <f t="array" ref="O29">_xlfn.IFS(
  I29 &lt;= $Q$2, "Low",
  I29 &lt;= $Q$3, "Mid-Low",
  I29 &lt;= $Q$4, "Mid-High",
  TRUE,                 "High"
)</f>
        <v>Mid-High</v>
      </c>
      <c r="P29" s="3" t="s">
        <v>73</v>
      </c>
      <c r="Q29" s="3"/>
      <c r="R29" s="3"/>
      <c r="S29" s="3"/>
      <c r="T29" s="3"/>
      <c r="U29" s="3"/>
    </row>
    <row r="30" spans="1:21" x14ac:dyDescent="0.2">
      <c r="A30" s="3">
        <v>29</v>
      </c>
      <c r="B30" s="3">
        <v>61</v>
      </c>
      <c r="C30" s="3" t="s">
        <v>16</v>
      </c>
      <c r="D30" s="3">
        <v>63</v>
      </c>
      <c r="E30" s="3">
        <v>45.14</v>
      </c>
      <c r="F30" s="3" t="s">
        <v>18</v>
      </c>
      <c r="G30" s="3" t="s">
        <v>22</v>
      </c>
      <c r="H30" s="3">
        <v>1</v>
      </c>
      <c r="I30" s="3">
        <v>19.2</v>
      </c>
      <c r="J30" s="3">
        <v>5</v>
      </c>
      <c r="K30" s="3">
        <v>2950.98</v>
      </c>
      <c r="L30" s="3">
        <v>0</v>
      </c>
      <c r="M30" s="3" t="s">
        <v>89</v>
      </c>
      <c r="N30" s="3" t="s">
        <v>95</v>
      </c>
      <c r="O30" s="3" t="str" cm="1">
        <f t="array" ref="O30">_xlfn.IFS(
  I30 &lt;= $Q$2, "Low",
  I30 &lt;= $Q$3, "Mid-Low",
  I30 &lt;= $Q$4, "Mid-High",
  TRUE,                 "High"
)</f>
        <v>Low</v>
      </c>
      <c r="P30" s="3" t="s">
        <v>73</v>
      </c>
      <c r="Q30" s="3"/>
      <c r="R30" s="3"/>
      <c r="S30" s="3"/>
      <c r="T30" s="3"/>
      <c r="U30" s="3"/>
    </row>
    <row r="31" spans="1:21" x14ac:dyDescent="0.2">
      <c r="A31" s="3">
        <v>30</v>
      </c>
      <c r="B31" s="3">
        <v>42</v>
      </c>
      <c r="C31" s="3" t="s">
        <v>16</v>
      </c>
      <c r="D31" s="3">
        <v>19</v>
      </c>
      <c r="E31" s="3">
        <v>47.47</v>
      </c>
      <c r="F31" s="3" t="s">
        <v>19</v>
      </c>
      <c r="G31" s="3" t="s">
        <v>24</v>
      </c>
      <c r="H31" s="3">
        <v>1</v>
      </c>
      <c r="I31" s="3">
        <v>71.099999999999994</v>
      </c>
      <c r="J31" s="3">
        <v>4</v>
      </c>
      <c r="K31" s="3">
        <v>879.3</v>
      </c>
      <c r="L31" s="3">
        <v>1</v>
      </c>
      <c r="M31" s="3" t="s">
        <v>91</v>
      </c>
      <c r="N31" s="3" t="s">
        <v>94</v>
      </c>
      <c r="O31" s="3" t="str" cm="1">
        <f t="array" ref="O31">_xlfn.IFS(
  I31 &lt;= $Q$2, "Low",
  I31 &lt;= $Q$3, "Mid-Low",
  I31 &lt;= $Q$4, "Mid-High",
  TRUE,                 "High"
)</f>
        <v>Mid-High</v>
      </c>
      <c r="P31" s="3" t="s">
        <v>73</v>
      </c>
      <c r="Q31" s="3"/>
      <c r="R31" s="3"/>
      <c r="S31" s="3"/>
      <c r="T31" s="3"/>
      <c r="U31" s="3"/>
    </row>
    <row r="32" spans="1:21" x14ac:dyDescent="0.2">
      <c r="A32" s="3">
        <v>31</v>
      </c>
      <c r="B32" s="3">
        <v>66</v>
      </c>
      <c r="C32" s="3" t="s">
        <v>15</v>
      </c>
      <c r="D32" s="3">
        <v>58</v>
      </c>
      <c r="E32" s="3">
        <v>40.72</v>
      </c>
      <c r="F32" s="3" t="s">
        <v>20</v>
      </c>
      <c r="G32" s="3" t="s">
        <v>22</v>
      </c>
      <c r="H32" s="3">
        <v>2</v>
      </c>
      <c r="I32" s="3">
        <v>75.900000000000006</v>
      </c>
      <c r="J32" s="3">
        <v>4</v>
      </c>
      <c r="K32" s="3">
        <v>2204.4</v>
      </c>
      <c r="L32" s="3">
        <v>1</v>
      </c>
      <c r="M32" s="3" t="s">
        <v>89</v>
      </c>
      <c r="N32" s="3" t="s">
        <v>94</v>
      </c>
      <c r="O32" s="3" t="str" cm="1">
        <f t="array" ref="O32">_xlfn.IFS(
  I32 &lt;= $Q$2, "Low",
  I32 &lt;= $Q$3, "Mid-Low",
  I32 &lt;= $Q$4, "Mid-High",
  TRUE,                 "High"
)</f>
        <v>High</v>
      </c>
      <c r="P32" s="3" t="s">
        <v>73</v>
      </c>
      <c r="Q32" s="3"/>
      <c r="R32" s="3"/>
      <c r="S32" s="3"/>
      <c r="T32" s="3"/>
      <c r="U32" s="3"/>
    </row>
    <row r="33" spans="1:21" x14ac:dyDescent="0.2">
      <c r="A33" s="3">
        <v>32</v>
      </c>
      <c r="B33" s="3">
        <v>44</v>
      </c>
      <c r="C33" s="3" t="s">
        <v>15</v>
      </c>
      <c r="D33" s="3">
        <v>55</v>
      </c>
      <c r="E33" s="3">
        <v>107.82</v>
      </c>
      <c r="F33" s="3" t="s">
        <v>20</v>
      </c>
      <c r="G33" s="3" t="s">
        <v>24</v>
      </c>
      <c r="H33" s="3">
        <v>2</v>
      </c>
      <c r="I33" s="3">
        <v>98.3</v>
      </c>
      <c r="J33" s="3">
        <v>1</v>
      </c>
      <c r="K33" s="3">
        <v>5847.71</v>
      </c>
      <c r="L33" s="3">
        <v>0</v>
      </c>
      <c r="M33" s="3" t="s">
        <v>89</v>
      </c>
      <c r="N33" s="3" t="s">
        <v>94</v>
      </c>
      <c r="O33" s="3" t="str" cm="1">
        <f t="array" ref="O33">_xlfn.IFS(
  I33 &lt;= $Q$2, "Low",
  I33 &lt;= $Q$3, "Mid-Low",
  I33 &lt;= $Q$4, "Mid-High",
  TRUE,                 "High"
)</f>
        <v>High</v>
      </c>
      <c r="P33" s="3" t="s">
        <v>121</v>
      </c>
      <c r="Q33" s="3"/>
      <c r="R33" s="3"/>
      <c r="S33" s="3"/>
      <c r="T33" s="3"/>
      <c r="U33" s="3"/>
    </row>
    <row r="34" spans="1:21" x14ac:dyDescent="0.2">
      <c r="A34" s="3">
        <v>33</v>
      </c>
      <c r="B34" s="3">
        <v>59</v>
      </c>
      <c r="C34" s="3" t="s">
        <v>16</v>
      </c>
      <c r="D34" s="3">
        <v>62</v>
      </c>
      <c r="E34" s="3">
        <v>95.7</v>
      </c>
      <c r="F34" s="3" t="s">
        <v>20</v>
      </c>
      <c r="G34" s="3" t="s">
        <v>23</v>
      </c>
      <c r="H34" s="3">
        <v>4</v>
      </c>
      <c r="I34" s="3">
        <v>24.9</v>
      </c>
      <c r="J34" s="3">
        <v>7</v>
      </c>
      <c r="K34" s="3">
        <v>5509.27</v>
      </c>
      <c r="L34" s="3">
        <v>0</v>
      </c>
      <c r="M34" s="3" t="s">
        <v>89</v>
      </c>
      <c r="N34" s="3" t="s">
        <v>96</v>
      </c>
      <c r="O34" s="3" t="str" cm="1">
        <f t="array" ref="O34">_xlfn.IFS(
  I34 &lt;= $Q$2, "Low",
  I34 &lt;= $Q$3, "Mid-Low",
  I34 &lt;= $Q$4, "Mid-High",
  TRUE,                 "High"
)</f>
        <v>Low</v>
      </c>
      <c r="P34" s="3" t="s">
        <v>121</v>
      </c>
      <c r="Q34" s="3"/>
      <c r="R34" s="3"/>
      <c r="S34" s="3"/>
      <c r="T34" s="3"/>
      <c r="U34" s="3"/>
    </row>
    <row r="35" spans="1:21" x14ac:dyDescent="0.2">
      <c r="A35" s="3">
        <v>34</v>
      </c>
      <c r="B35" s="3">
        <v>45</v>
      </c>
      <c r="C35" s="3" t="s">
        <v>15</v>
      </c>
      <c r="D35" s="3">
        <v>23</v>
      </c>
      <c r="E35" s="3">
        <v>24.69</v>
      </c>
      <c r="F35" s="3" t="s">
        <v>18</v>
      </c>
      <c r="G35" s="3" t="s">
        <v>22</v>
      </c>
      <c r="H35" s="3">
        <v>5</v>
      </c>
      <c r="I35" s="3">
        <v>83.4</v>
      </c>
      <c r="J35" s="3">
        <v>9</v>
      </c>
      <c r="K35" s="3">
        <v>612.16999999999996</v>
      </c>
      <c r="L35" s="3">
        <v>1</v>
      </c>
      <c r="M35" s="3" t="s">
        <v>91</v>
      </c>
      <c r="N35" s="3" t="s">
        <v>97</v>
      </c>
      <c r="O35" s="3" t="str" cm="1">
        <f t="array" ref="O35">_xlfn.IFS(
  I35 &lt;= $Q$2, "Low",
  I35 &lt;= $Q$3, "Mid-Low",
  I35 &lt;= $Q$4, "Mid-High",
  TRUE,                 "High"
)</f>
        <v>High</v>
      </c>
      <c r="P35" s="3" t="s">
        <v>73</v>
      </c>
      <c r="Q35" s="3"/>
      <c r="R35" s="3"/>
      <c r="S35" s="3"/>
      <c r="T35" s="3"/>
      <c r="U35" s="3"/>
    </row>
    <row r="36" spans="1:21" x14ac:dyDescent="0.2">
      <c r="A36" s="3">
        <v>35</v>
      </c>
      <c r="B36" s="3">
        <v>33</v>
      </c>
      <c r="C36" s="3" t="s">
        <v>15</v>
      </c>
      <c r="D36" s="3">
        <v>9</v>
      </c>
      <c r="E36" s="3">
        <v>46.87</v>
      </c>
      <c r="F36" s="3" t="s">
        <v>20</v>
      </c>
      <c r="G36" s="3" t="s">
        <v>24</v>
      </c>
      <c r="H36" s="3">
        <v>0</v>
      </c>
      <c r="I36" s="3">
        <v>54.4</v>
      </c>
      <c r="J36" s="3">
        <v>3</v>
      </c>
      <c r="K36" s="3">
        <v>408.83</v>
      </c>
      <c r="L36" s="3">
        <v>1</v>
      </c>
      <c r="M36" s="3" t="s">
        <v>93</v>
      </c>
      <c r="N36" s="3" t="s">
        <v>94</v>
      </c>
      <c r="O36" s="3" t="str" cm="1">
        <f t="array" ref="O36">_xlfn.IFS(
  I36 &lt;= $Q$2, "Low",
  I36 &lt;= $Q$3, "Mid-Low",
  I36 &lt;= $Q$4, "Mid-High",
  TRUE,                 "High"
)</f>
        <v>Mid-High</v>
      </c>
      <c r="P36" s="3" t="s">
        <v>73</v>
      </c>
      <c r="Q36" s="3"/>
      <c r="R36" s="3"/>
      <c r="S36" s="3"/>
      <c r="T36" s="3"/>
      <c r="U36" s="3"/>
    </row>
    <row r="37" spans="1:21" x14ac:dyDescent="0.2">
      <c r="A37" s="3">
        <v>36</v>
      </c>
      <c r="B37" s="3">
        <v>32</v>
      </c>
      <c r="C37" s="3" t="s">
        <v>16</v>
      </c>
      <c r="D37" s="3">
        <v>12</v>
      </c>
      <c r="E37" s="3">
        <v>22.22</v>
      </c>
      <c r="F37" s="3" t="s">
        <v>20</v>
      </c>
      <c r="G37" s="3" t="s">
        <v>24</v>
      </c>
      <c r="H37" s="3">
        <v>1</v>
      </c>
      <c r="I37" s="3">
        <v>40.5</v>
      </c>
      <c r="J37" s="3">
        <v>2</v>
      </c>
      <c r="K37" s="3">
        <v>248.21</v>
      </c>
      <c r="L37" s="3">
        <v>0</v>
      </c>
      <c r="M37" s="3" t="s">
        <v>93</v>
      </c>
      <c r="N37" s="3" t="s">
        <v>94</v>
      </c>
      <c r="O37" s="3" t="str" cm="1">
        <f t="array" ref="O37">_xlfn.IFS(
  I37 &lt;= $Q$2, "Low",
  I37 &lt;= $Q$3, "Mid-Low",
  I37 &lt;= $Q$4, "Mid-High",
  TRUE,                 "High"
)</f>
        <v>Mid-Low</v>
      </c>
      <c r="P37" s="3" t="s">
        <v>73</v>
      </c>
      <c r="Q37" s="3"/>
      <c r="R37" s="3"/>
      <c r="S37" s="3"/>
      <c r="T37" s="3"/>
      <c r="U37" s="3"/>
    </row>
    <row r="38" spans="1:21" x14ac:dyDescent="0.2">
      <c r="A38" s="3">
        <v>37</v>
      </c>
      <c r="B38" s="3">
        <v>64</v>
      </c>
      <c r="C38" s="3" t="s">
        <v>16</v>
      </c>
      <c r="D38" s="3">
        <v>1</v>
      </c>
      <c r="E38" s="3">
        <v>69.819999999999993</v>
      </c>
      <c r="F38" s="3" t="s">
        <v>19</v>
      </c>
      <c r="G38" s="3" t="s">
        <v>23</v>
      </c>
      <c r="H38" s="3">
        <v>1</v>
      </c>
      <c r="I38" s="3">
        <v>16.600000000000001</v>
      </c>
      <c r="J38" s="3">
        <v>3</v>
      </c>
      <c r="K38" s="3">
        <v>63.19</v>
      </c>
      <c r="L38" s="3">
        <v>0</v>
      </c>
      <c r="M38" s="3" t="s">
        <v>90</v>
      </c>
      <c r="N38" s="3" t="s">
        <v>94</v>
      </c>
      <c r="O38" s="3" t="str" cm="1">
        <f t="array" ref="O38">_xlfn.IFS(
  I38 &lt;= $Q$2, "Low",
  I38 &lt;= $Q$3, "Mid-Low",
  I38 &lt;= $Q$4, "Mid-High",
  TRUE,                 "High"
)</f>
        <v>Low</v>
      </c>
      <c r="P38" s="3" t="s">
        <v>122</v>
      </c>
      <c r="Q38" s="3"/>
      <c r="R38" s="3"/>
      <c r="S38" s="3"/>
      <c r="T38" s="3"/>
      <c r="U38" s="3"/>
    </row>
    <row r="39" spans="1:21" x14ac:dyDescent="0.2">
      <c r="A39" s="3">
        <v>38</v>
      </c>
      <c r="B39" s="3">
        <v>68</v>
      </c>
      <c r="C39" s="3" t="s">
        <v>15</v>
      </c>
      <c r="D39" s="3">
        <v>58</v>
      </c>
      <c r="E39" s="3">
        <v>67.62</v>
      </c>
      <c r="F39" s="3" t="s">
        <v>18</v>
      </c>
      <c r="G39" s="3" t="s">
        <v>22</v>
      </c>
      <c r="H39" s="3">
        <v>3</v>
      </c>
      <c r="I39" s="3">
        <v>74.900000000000006</v>
      </c>
      <c r="J39" s="3">
        <v>1</v>
      </c>
      <c r="K39" s="3">
        <v>4036.34</v>
      </c>
      <c r="L39" s="3">
        <v>0</v>
      </c>
      <c r="M39" s="3" t="s">
        <v>89</v>
      </c>
      <c r="N39" s="3" t="s">
        <v>94</v>
      </c>
      <c r="O39" s="3" t="str" cm="1">
        <f t="array" ref="O39">_xlfn.IFS(
  I39 &lt;= $Q$2, "Low",
  I39 &lt;= $Q$3, "Mid-Low",
  I39 &lt;= $Q$4, "Mid-High",
  TRUE,                 "High"
)</f>
        <v>Mid-High</v>
      </c>
      <c r="P39" s="3" t="s">
        <v>122</v>
      </c>
      <c r="Q39" s="3"/>
      <c r="R39" s="3"/>
      <c r="S39" s="3"/>
      <c r="T39" s="3"/>
      <c r="U39" s="3"/>
    </row>
    <row r="40" spans="1:21" x14ac:dyDescent="0.2">
      <c r="A40" s="3">
        <v>39</v>
      </c>
      <c r="B40" s="3">
        <v>61</v>
      </c>
      <c r="C40" s="3" t="s">
        <v>16</v>
      </c>
      <c r="D40" s="3">
        <v>1</v>
      </c>
      <c r="E40" s="3">
        <v>103.14</v>
      </c>
      <c r="F40" s="3" t="s">
        <v>20</v>
      </c>
      <c r="G40" s="3" t="s">
        <v>24</v>
      </c>
      <c r="H40" s="3">
        <v>2</v>
      </c>
      <c r="I40" s="3">
        <v>27.4</v>
      </c>
      <c r="J40" s="3">
        <v>6</v>
      </c>
      <c r="K40" s="3">
        <v>105.96</v>
      </c>
      <c r="L40" s="3">
        <v>1</v>
      </c>
      <c r="M40" s="3" t="s">
        <v>90</v>
      </c>
      <c r="N40" s="3" t="s">
        <v>95</v>
      </c>
      <c r="O40" s="3" t="str" cm="1">
        <f t="array" ref="O40">_xlfn.IFS(
  I40 &lt;= $Q$2, "Low",
  I40 &lt;= $Q$3, "Mid-Low",
  I40 &lt;= $Q$4, "Mid-High",
  TRUE,                 "High"
)</f>
        <v>Mid-Low</v>
      </c>
      <c r="P40" s="3" t="s">
        <v>121</v>
      </c>
      <c r="Q40" s="3"/>
      <c r="R40" s="3"/>
      <c r="S40" s="3"/>
      <c r="T40" s="3"/>
      <c r="U40" s="3"/>
    </row>
    <row r="41" spans="1:21" x14ac:dyDescent="0.2">
      <c r="A41" s="3">
        <v>40</v>
      </c>
      <c r="B41" s="3">
        <v>69</v>
      </c>
      <c r="C41" s="3" t="s">
        <v>16</v>
      </c>
      <c r="D41" s="3">
        <v>34</v>
      </c>
      <c r="E41" s="3">
        <v>50.78</v>
      </c>
      <c r="F41" s="3" t="s">
        <v>18</v>
      </c>
      <c r="G41" s="3" t="s">
        <v>23</v>
      </c>
      <c r="H41" s="3">
        <v>2</v>
      </c>
      <c r="I41" s="3">
        <v>40.299999999999997</v>
      </c>
      <c r="J41" s="3">
        <v>7</v>
      </c>
      <c r="K41" s="3">
        <v>1671.48</v>
      </c>
      <c r="L41" s="3">
        <v>0</v>
      </c>
      <c r="M41" s="3" t="s">
        <v>89</v>
      </c>
      <c r="N41" s="3" t="s">
        <v>96</v>
      </c>
      <c r="O41" s="3" t="str" cm="1">
        <f t="array" ref="O41">_xlfn.IFS(
  I41 &lt;= $Q$2, "Low",
  I41 &lt;= $Q$3, "Mid-Low",
  I41 &lt;= $Q$4, "Mid-High",
  TRUE,                 "High"
)</f>
        <v>Mid-Low</v>
      </c>
      <c r="P41" s="3" t="s">
        <v>73</v>
      </c>
      <c r="Q41" s="3"/>
      <c r="R41" s="3"/>
      <c r="S41" s="3"/>
      <c r="T41" s="3"/>
      <c r="U41" s="3"/>
    </row>
    <row r="42" spans="1:21" x14ac:dyDescent="0.2">
      <c r="A42" s="3">
        <v>41</v>
      </c>
      <c r="B42" s="3">
        <v>20</v>
      </c>
      <c r="C42" s="3" t="s">
        <v>15</v>
      </c>
      <c r="D42" s="3">
        <v>48</v>
      </c>
      <c r="E42" s="3">
        <v>101.64</v>
      </c>
      <c r="F42" s="3" t="s">
        <v>18</v>
      </c>
      <c r="G42" s="3" t="s">
        <v>24</v>
      </c>
      <c r="H42" s="3">
        <v>3</v>
      </c>
      <c r="I42" s="3">
        <v>10.9</v>
      </c>
      <c r="J42" s="3">
        <v>2</v>
      </c>
      <c r="K42" s="3">
        <v>4460.82</v>
      </c>
      <c r="L42" s="3">
        <v>1</v>
      </c>
      <c r="M42" s="3" t="s">
        <v>89</v>
      </c>
      <c r="N42" s="3" t="s">
        <v>94</v>
      </c>
      <c r="O42" s="3" t="str" cm="1">
        <f t="array" ref="O42">_xlfn.IFS(
  I42 &lt;= $Q$2, "Low",
  I42 &lt;= $Q$3, "Mid-Low",
  I42 &lt;= $Q$4, "Mid-High",
  TRUE,                 "High"
)</f>
        <v>Low</v>
      </c>
      <c r="P42" s="3" t="s">
        <v>121</v>
      </c>
      <c r="Q42" s="3"/>
      <c r="R42" s="3"/>
      <c r="S42" s="3"/>
      <c r="T42" s="3"/>
      <c r="U42" s="3"/>
    </row>
    <row r="43" spans="1:21" x14ac:dyDescent="0.2">
      <c r="A43" s="3">
        <v>42</v>
      </c>
      <c r="B43" s="3">
        <v>54</v>
      </c>
      <c r="C43" s="3" t="s">
        <v>16</v>
      </c>
      <c r="D43" s="3">
        <v>1</v>
      </c>
      <c r="E43" s="3">
        <v>116.8</v>
      </c>
      <c r="F43" s="3" t="s">
        <v>20</v>
      </c>
      <c r="G43" s="3" t="s">
        <v>22</v>
      </c>
      <c r="H43" s="3">
        <v>0</v>
      </c>
      <c r="I43" s="3">
        <v>81.099999999999994</v>
      </c>
      <c r="J43" s="3">
        <v>8</v>
      </c>
      <c r="K43" s="3">
        <v>114.69</v>
      </c>
      <c r="L43" s="3">
        <v>1</v>
      </c>
      <c r="M43" s="3" t="s">
        <v>90</v>
      </c>
      <c r="N43" s="3" t="s">
        <v>96</v>
      </c>
      <c r="O43" s="3" t="str" cm="1">
        <f t="array" ref="O43">_xlfn.IFS(
  I43 &lt;= $Q$2, "Low",
  I43 &lt;= $Q$3, "Mid-Low",
  I43 &lt;= $Q$4, "Mid-High",
  TRUE,                 "High"
)</f>
        <v>High</v>
      </c>
      <c r="P43" s="3" t="s">
        <v>121</v>
      </c>
      <c r="Q43" s="3"/>
      <c r="R43" s="3"/>
      <c r="S43" s="3"/>
      <c r="T43" s="3"/>
      <c r="U43" s="3"/>
    </row>
    <row r="44" spans="1:21" x14ac:dyDescent="0.2">
      <c r="A44" s="3">
        <v>43</v>
      </c>
      <c r="B44" s="3">
        <v>68</v>
      </c>
      <c r="C44" s="3" t="s">
        <v>16</v>
      </c>
      <c r="D44" s="3">
        <v>16</v>
      </c>
      <c r="E44" s="3">
        <v>28.84</v>
      </c>
      <c r="F44" s="3" t="s">
        <v>20</v>
      </c>
      <c r="G44" s="3" t="s">
        <v>24</v>
      </c>
      <c r="H44" s="3">
        <v>2</v>
      </c>
      <c r="I44" s="3">
        <v>77.8</v>
      </c>
      <c r="J44" s="3">
        <v>6</v>
      </c>
      <c r="K44" s="3">
        <v>444.02</v>
      </c>
      <c r="L44" s="3">
        <v>1</v>
      </c>
      <c r="M44" s="3" t="s">
        <v>91</v>
      </c>
      <c r="N44" s="3" t="s">
        <v>95</v>
      </c>
      <c r="O44" s="3" t="str" cm="1">
        <f t="array" ref="O44">_xlfn.IFS(
  I44 &lt;= $Q$2, "Low",
  I44 &lt;= $Q$3, "Mid-Low",
  I44 &lt;= $Q$4, "Mid-High",
  TRUE,                 "High"
)</f>
        <v>High</v>
      </c>
      <c r="P44" s="3" t="s">
        <v>73</v>
      </c>
      <c r="Q44" s="3"/>
      <c r="R44" s="3"/>
      <c r="S44" s="3"/>
      <c r="T44" s="3"/>
      <c r="U44" s="3"/>
    </row>
    <row r="45" spans="1:21" x14ac:dyDescent="0.2">
      <c r="A45" s="3">
        <v>44</v>
      </c>
      <c r="B45" s="3">
        <v>24</v>
      </c>
      <c r="C45" s="3" t="s">
        <v>15</v>
      </c>
      <c r="D45" s="3">
        <v>61</v>
      </c>
      <c r="E45" s="3">
        <v>99.18</v>
      </c>
      <c r="F45" s="3" t="s">
        <v>20</v>
      </c>
      <c r="G45" s="3" t="s">
        <v>24</v>
      </c>
      <c r="H45" s="3">
        <v>4</v>
      </c>
      <c r="I45" s="3">
        <v>74.7</v>
      </c>
      <c r="J45" s="3">
        <v>4</v>
      </c>
      <c r="K45" s="3">
        <v>6264.3</v>
      </c>
      <c r="L45" s="3">
        <v>0</v>
      </c>
      <c r="M45" s="3" t="s">
        <v>89</v>
      </c>
      <c r="N45" s="3" t="s">
        <v>94</v>
      </c>
      <c r="O45" s="3" t="str" cm="1">
        <f t="array" ref="O45">_xlfn.IFS(
  I45 &lt;= $Q$2, "Low",
  I45 &lt;= $Q$3, "Mid-Low",
  I45 &lt;= $Q$4, "Mid-High",
  TRUE,                 "High"
)</f>
        <v>Mid-High</v>
      </c>
      <c r="P45" s="3" t="s">
        <v>121</v>
      </c>
      <c r="Q45" s="3"/>
      <c r="R45" s="3"/>
      <c r="S45" s="3"/>
      <c r="T45" s="3"/>
      <c r="U45" s="3"/>
    </row>
    <row r="46" spans="1:21" x14ac:dyDescent="0.2">
      <c r="A46" s="3">
        <v>45</v>
      </c>
      <c r="B46" s="3">
        <v>38</v>
      </c>
      <c r="C46" s="3" t="s">
        <v>15</v>
      </c>
      <c r="D46" s="3">
        <v>64</v>
      </c>
      <c r="E46" s="3">
        <v>79</v>
      </c>
      <c r="F46" s="3" t="s">
        <v>20</v>
      </c>
      <c r="G46" s="3" t="s">
        <v>24</v>
      </c>
      <c r="H46" s="3">
        <v>5</v>
      </c>
      <c r="I46" s="3">
        <v>33.4</v>
      </c>
      <c r="J46" s="3">
        <v>5</v>
      </c>
      <c r="K46" s="3">
        <v>5162.96</v>
      </c>
      <c r="L46" s="3">
        <v>1</v>
      </c>
      <c r="M46" s="3" t="s">
        <v>89</v>
      </c>
      <c r="N46" s="3" t="s">
        <v>95</v>
      </c>
      <c r="O46" s="3" t="str" cm="1">
        <f t="array" ref="O46">_xlfn.IFS(
  I46 &lt;= $Q$2, "Low",
  I46 &lt;= $Q$3, "Mid-Low",
  I46 &lt;= $Q$4, "Mid-High",
  TRUE,                 "High"
)</f>
        <v>Mid-Low</v>
      </c>
      <c r="P46" s="3" t="s">
        <v>75</v>
      </c>
      <c r="Q46" s="3"/>
      <c r="R46" s="3"/>
      <c r="S46" s="3"/>
      <c r="T46" s="3"/>
      <c r="U46" s="3"/>
    </row>
    <row r="47" spans="1:21" x14ac:dyDescent="0.2">
      <c r="A47" s="3">
        <v>46</v>
      </c>
      <c r="B47" s="3">
        <v>26</v>
      </c>
      <c r="C47" s="3" t="s">
        <v>16</v>
      </c>
      <c r="D47" s="3">
        <v>63</v>
      </c>
      <c r="E47" s="3">
        <v>68</v>
      </c>
      <c r="F47" s="3" t="s">
        <v>18</v>
      </c>
      <c r="G47" s="3" t="s">
        <v>24</v>
      </c>
      <c r="H47" s="3">
        <v>4</v>
      </c>
      <c r="I47" s="3">
        <v>21.5</v>
      </c>
      <c r="J47" s="3">
        <v>8</v>
      </c>
      <c r="K47" s="3">
        <v>4167.9799999999996</v>
      </c>
      <c r="L47" s="3">
        <v>0</v>
      </c>
      <c r="M47" s="3" t="s">
        <v>89</v>
      </c>
      <c r="N47" s="3" t="s">
        <v>96</v>
      </c>
      <c r="O47" s="3" t="str" cm="1">
        <f t="array" ref="O47">_xlfn.IFS(
  I47 &lt;= $Q$2, "Low",
  I47 &lt;= $Q$3, "Mid-Low",
  I47 &lt;= $Q$4, "Mid-High",
  TRUE,                 "High"
)</f>
        <v>Low</v>
      </c>
      <c r="P47" s="3" t="s">
        <v>122</v>
      </c>
      <c r="Q47" s="3"/>
      <c r="R47" s="3"/>
      <c r="S47" s="3"/>
      <c r="T47" s="3"/>
      <c r="U47" s="3"/>
    </row>
    <row r="48" spans="1:21" x14ac:dyDescent="0.2">
      <c r="A48" s="3">
        <v>47</v>
      </c>
      <c r="B48" s="3">
        <v>56</v>
      </c>
      <c r="C48" s="3" t="s">
        <v>16</v>
      </c>
      <c r="D48" s="3">
        <v>69</v>
      </c>
      <c r="E48" s="3">
        <v>62.05</v>
      </c>
      <c r="F48" s="3" t="s">
        <v>19</v>
      </c>
      <c r="G48" s="3" t="s">
        <v>23</v>
      </c>
      <c r="H48" s="3">
        <v>0</v>
      </c>
      <c r="I48" s="3">
        <v>65.599999999999994</v>
      </c>
      <c r="J48" s="3">
        <v>3</v>
      </c>
      <c r="K48" s="3">
        <v>4039.88</v>
      </c>
      <c r="L48" s="3">
        <v>0</v>
      </c>
      <c r="M48" s="3" t="s">
        <v>89</v>
      </c>
      <c r="N48" s="3" t="s">
        <v>94</v>
      </c>
      <c r="O48" s="3" t="str" cm="1">
        <f t="array" ref="O48">_xlfn.IFS(
  I48 &lt;= $Q$2, "Low",
  I48 &lt;= $Q$3, "Mid-Low",
  I48 &lt;= $Q$4, "Mid-High",
  TRUE,                 "High"
)</f>
        <v>Mid-High</v>
      </c>
      <c r="P48" s="3" t="s">
        <v>122</v>
      </c>
      <c r="Q48" s="3"/>
      <c r="R48" s="3"/>
      <c r="S48" s="3"/>
      <c r="T48" s="3"/>
      <c r="U48" s="3"/>
    </row>
    <row r="49" spans="1:21" x14ac:dyDescent="0.2">
      <c r="A49" s="3">
        <v>48</v>
      </c>
      <c r="B49" s="3">
        <v>35</v>
      </c>
      <c r="C49" s="3" t="s">
        <v>15</v>
      </c>
      <c r="D49" s="3">
        <v>22</v>
      </c>
      <c r="E49" s="3">
        <v>98.47</v>
      </c>
      <c r="F49" s="3" t="s">
        <v>20</v>
      </c>
      <c r="G49" s="3" t="s">
        <v>23</v>
      </c>
      <c r="H49" s="3">
        <v>1</v>
      </c>
      <c r="I49" s="3">
        <v>52.1</v>
      </c>
      <c r="J49" s="3">
        <v>3</v>
      </c>
      <c r="K49" s="3">
        <v>2377.79</v>
      </c>
      <c r="L49" s="3">
        <v>1</v>
      </c>
      <c r="M49" s="3" t="s">
        <v>91</v>
      </c>
      <c r="N49" s="3" t="s">
        <v>94</v>
      </c>
      <c r="O49" s="3" t="str" cm="1">
        <f t="array" ref="O49">_xlfn.IFS(
  I49 &lt;= $Q$2, "Low",
  I49 &lt;= $Q$3, "Mid-Low",
  I49 &lt;= $Q$4, "Mid-High",
  TRUE,                 "High"
)</f>
        <v>Mid-High</v>
      </c>
      <c r="P49" s="3" t="s">
        <v>121</v>
      </c>
      <c r="Q49" s="3"/>
      <c r="R49" s="3"/>
      <c r="S49" s="3"/>
      <c r="T49" s="3"/>
      <c r="U49" s="3"/>
    </row>
    <row r="50" spans="1:21" x14ac:dyDescent="0.2">
      <c r="A50" s="3">
        <v>49</v>
      </c>
      <c r="B50" s="3">
        <v>21</v>
      </c>
      <c r="C50" s="3" t="s">
        <v>15</v>
      </c>
      <c r="D50" s="3">
        <v>67</v>
      </c>
      <c r="E50" s="3">
        <v>83.94</v>
      </c>
      <c r="F50" s="3" t="s">
        <v>20</v>
      </c>
      <c r="G50" s="3" t="s">
        <v>22</v>
      </c>
      <c r="H50" s="3">
        <v>3</v>
      </c>
      <c r="I50" s="3">
        <v>21.9</v>
      </c>
      <c r="J50" s="3">
        <v>4</v>
      </c>
      <c r="K50" s="3">
        <v>5572.24</v>
      </c>
      <c r="L50" s="3">
        <v>0</v>
      </c>
      <c r="M50" s="3" t="s">
        <v>89</v>
      </c>
      <c r="N50" s="3" t="s">
        <v>94</v>
      </c>
      <c r="O50" s="3" t="str" cm="1">
        <f t="array" ref="O50">_xlfn.IFS(
  I50 &lt;= $Q$2, "Low",
  I50 &lt;= $Q$3, "Mid-Low",
  I50 &lt;= $Q$4, "Mid-High",
  TRUE,                 "High"
)</f>
        <v>Low</v>
      </c>
      <c r="P50" s="3" t="s">
        <v>75</v>
      </c>
      <c r="Q50" s="3"/>
      <c r="R50" s="3"/>
      <c r="S50" s="3"/>
      <c r="T50" s="3"/>
      <c r="U50" s="3"/>
    </row>
    <row r="51" spans="1:21" x14ac:dyDescent="0.2">
      <c r="A51" s="3">
        <v>50</v>
      </c>
      <c r="B51" s="3">
        <v>42</v>
      </c>
      <c r="C51" s="3" t="s">
        <v>15</v>
      </c>
      <c r="D51" s="3">
        <v>26</v>
      </c>
      <c r="E51" s="3">
        <v>100.5</v>
      </c>
      <c r="F51" s="3" t="s">
        <v>20</v>
      </c>
      <c r="G51" s="3" t="s">
        <v>23</v>
      </c>
      <c r="H51" s="3">
        <v>2</v>
      </c>
      <c r="I51" s="3">
        <v>70.2</v>
      </c>
      <c r="J51" s="3">
        <v>1</v>
      </c>
      <c r="K51" s="3">
        <v>2711.39</v>
      </c>
      <c r="L51" s="3">
        <v>1</v>
      </c>
      <c r="M51" s="3" t="s">
        <v>89</v>
      </c>
      <c r="N51" s="3" t="s">
        <v>94</v>
      </c>
      <c r="O51" s="3" t="str" cm="1">
        <f t="array" ref="O51">_xlfn.IFS(
  I51 &lt;= $Q$2, "Low",
  I51 &lt;= $Q$3, "Mid-Low",
  I51 &lt;= $Q$4, "Mid-High",
  TRUE,                 "High"
)</f>
        <v>Mid-High</v>
      </c>
      <c r="P51" s="3" t="s">
        <v>121</v>
      </c>
      <c r="Q51" s="3"/>
      <c r="R51" s="3"/>
      <c r="S51" s="3"/>
      <c r="T51" s="3"/>
      <c r="U51" s="3"/>
    </row>
    <row r="52" spans="1:21" x14ac:dyDescent="0.2">
      <c r="A52" s="3">
        <v>51</v>
      </c>
      <c r="B52" s="3">
        <v>31</v>
      </c>
      <c r="C52" s="3" t="s">
        <v>15</v>
      </c>
      <c r="D52" s="3">
        <v>16</v>
      </c>
      <c r="E52" s="3">
        <v>110.32</v>
      </c>
      <c r="F52" s="3" t="s">
        <v>20</v>
      </c>
      <c r="G52" s="3" t="s">
        <v>23</v>
      </c>
      <c r="H52" s="3">
        <v>3</v>
      </c>
      <c r="I52" s="3">
        <v>99.2</v>
      </c>
      <c r="J52" s="3">
        <v>9</v>
      </c>
      <c r="K52" s="3">
        <v>1638.23</v>
      </c>
      <c r="L52" s="3">
        <v>0</v>
      </c>
      <c r="M52" s="3" t="s">
        <v>91</v>
      </c>
      <c r="N52" s="3" t="s">
        <v>97</v>
      </c>
      <c r="O52" s="3" t="str" cm="1">
        <f t="array" ref="O52">_xlfn.IFS(
  I52 &lt;= $Q$2, "Low",
  I52 &lt;= $Q$3, "Mid-Low",
  I52 &lt;= $Q$4, "Mid-High",
  TRUE,                 "High"
)</f>
        <v>High</v>
      </c>
      <c r="P52" s="3" t="s">
        <v>121</v>
      </c>
      <c r="Q52" s="3"/>
      <c r="R52" s="3"/>
      <c r="S52" s="3"/>
      <c r="T52" s="3"/>
      <c r="U52" s="3"/>
    </row>
    <row r="53" spans="1:21" x14ac:dyDescent="0.2">
      <c r="A53" s="3">
        <v>52</v>
      </c>
      <c r="B53" s="3">
        <v>67</v>
      </c>
      <c r="C53" s="3" t="s">
        <v>16</v>
      </c>
      <c r="D53" s="3">
        <v>51</v>
      </c>
      <c r="E53" s="3">
        <v>81.73</v>
      </c>
      <c r="F53" s="3" t="s">
        <v>18</v>
      </c>
      <c r="G53" s="3" t="s">
        <v>22</v>
      </c>
      <c r="H53" s="3">
        <v>1</v>
      </c>
      <c r="I53" s="3">
        <v>76</v>
      </c>
      <c r="J53" s="3">
        <v>8</v>
      </c>
      <c r="K53" s="3">
        <v>4156.22</v>
      </c>
      <c r="L53" s="3">
        <v>0</v>
      </c>
      <c r="M53" s="3" t="s">
        <v>89</v>
      </c>
      <c r="N53" s="3" t="s">
        <v>96</v>
      </c>
      <c r="O53" s="3" t="str" cm="1">
        <f t="array" ref="O53">_xlfn.IFS(
  I53 &lt;= $Q$2, "Low",
  I53 &lt;= $Q$3, "Mid-Low",
  I53 &lt;= $Q$4, "Mid-High",
  TRUE,                 "High"
)</f>
        <v>High</v>
      </c>
      <c r="P53" s="3" t="s">
        <v>75</v>
      </c>
      <c r="Q53" s="3"/>
      <c r="R53" s="3"/>
      <c r="S53" s="3"/>
      <c r="T53" s="3"/>
      <c r="U53" s="3"/>
    </row>
    <row r="54" spans="1:21" x14ac:dyDescent="0.2">
      <c r="A54" s="3">
        <v>53</v>
      </c>
      <c r="B54" s="3">
        <v>26</v>
      </c>
      <c r="C54" s="3" t="s">
        <v>15</v>
      </c>
      <c r="D54" s="3">
        <v>57</v>
      </c>
      <c r="E54" s="3">
        <v>118.05</v>
      </c>
      <c r="F54" s="3" t="s">
        <v>20</v>
      </c>
      <c r="G54" s="3" t="s">
        <v>23</v>
      </c>
      <c r="H54" s="3">
        <v>2</v>
      </c>
      <c r="I54" s="3">
        <v>75.3</v>
      </c>
      <c r="J54" s="3">
        <v>8</v>
      </c>
      <c r="K54" s="3">
        <v>6093.02</v>
      </c>
      <c r="L54" s="3">
        <v>0</v>
      </c>
      <c r="M54" s="3" t="s">
        <v>89</v>
      </c>
      <c r="N54" s="3" t="s">
        <v>96</v>
      </c>
      <c r="O54" s="3" t="str" cm="1">
        <f t="array" ref="O54">_xlfn.IFS(
  I54 &lt;= $Q$2, "Low",
  I54 &lt;= $Q$3, "Mid-Low",
  I54 &lt;= $Q$4, "Mid-High",
  TRUE,                 "High"
)</f>
        <v>Mid-High</v>
      </c>
      <c r="P54" s="3" t="s">
        <v>121</v>
      </c>
      <c r="Q54" s="3"/>
      <c r="R54" s="3"/>
      <c r="S54" s="3"/>
      <c r="T54" s="3"/>
      <c r="U54" s="3"/>
    </row>
    <row r="55" spans="1:21" x14ac:dyDescent="0.2">
      <c r="A55" s="3">
        <v>54</v>
      </c>
      <c r="B55" s="3">
        <v>43</v>
      </c>
      <c r="C55" s="3" t="s">
        <v>15</v>
      </c>
      <c r="D55" s="3">
        <v>29</v>
      </c>
      <c r="E55" s="3">
        <v>80.81</v>
      </c>
      <c r="F55" s="3" t="s">
        <v>20</v>
      </c>
      <c r="G55" s="3" t="s">
        <v>23</v>
      </c>
      <c r="H55" s="3">
        <v>1</v>
      </c>
      <c r="I55" s="3">
        <v>95.3</v>
      </c>
      <c r="J55" s="3">
        <v>10</v>
      </c>
      <c r="K55" s="3">
        <v>2346.0500000000002</v>
      </c>
      <c r="L55" s="3">
        <v>0</v>
      </c>
      <c r="M55" s="3" t="s">
        <v>89</v>
      </c>
      <c r="N55" s="3" t="s">
        <v>97</v>
      </c>
      <c r="O55" s="3" t="str" cm="1">
        <f t="array" ref="O55">_xlfn.IFS(
  I55 &lt;= $Q$2, "Low",
  I55 &lt;= $Q$3, "Mid-Low",
  I55 &lt;= $Q$4, "Mid-High",
  TRUE,                 "High"
)</f>
        <v>High</v>
      </c>
      <c r="P55" s="3" t="s">
        <v>75</v>
      </c>
      <c r="Q55" s="3"/>
      <c r="R55" s="3"/>
      <c r="S55" s="3"/>
      <c r="T55" s="3"/>
      <c r="U55" s="3"/>
    </row>
    <row r="56" spans="1:21" x14ac:dyDescent="0.2">
      <c r="A56" s="3">
        <v>55</v>
      </c>
      <c r="B56" s="3">
        <v>19</v>
      </c>
      <c r="C56" s="3" t="s">
        <v>16</v>
      </c>
      <c r="D56" s="3">
        <v>69</v>
      </c>
      <c r="E56" s="3">
        <v>83.66</v>
      </c>
      <c r="F56" s="3" t="s">
        <v>20</v>
      </c>
      <c r="G56" s="3" t="s">
        <v>22</v>
      </c>
      <c r="H56" s="3">
        <v>1</v>
      </c>
      <c r="I56" s="3">
        <v>24.3</v>
      </c>
      <c r="J56" s="3">
        <v>6</v>
      </c>
      <c r="K56" s="3">
        <v>6308.25</v>
      </c>
      <c r="L56" s="3">
        <v>1</v>
      </c>
      <c r="M56" s="3" t="s">
        <v>89</v>
      </c>
      <c r="N56" s="3" t="s">
        <v>95</v>
      </c>
      <c r="O56" s="3" t="str" cm="1">
        <f t="array" ref="O56">_xlfn.IFS(
  I56 &lt;= $Q$2, "Low",
  I56 &lt;= $Q$3, "Mid-Low",
  I56 &lt;= $Q$4, "Mid-High",
  TRUE,                 "High"
)</f>
        <v>Low</v>
      </c>
      <c r="P56" s="3" t="s">
        <v>75</v>
      </c>
      <c r="Q56" s="3"/>
      <c r="R56" s="3"/>
      <c r="S56" s="3"/>
      <c r="T56" s="3"/>
      <c r="U56" s="3"/>
    </row>
    <row r="57" spans="1:21" x14ac:dyDescent="0.2">
      <c r="A57" s="3">
        <v>56</v>
      </c>
      <c r="B57" s="3">
        <v>37</v>
      </c>
      <c r="C57" s="3" t="s">
        <v>15</v>
      </c>
      <c r="D57" s="3">
        <v>47</v>
      </c>
      <c r="E57" s="3">
        <v>75.48</v>
      </c>
      <c r="F57" s="3" t="s">
        <v>18</v>
      </c>
      <c r="G57" s="3" t="s">
        <v>22</v>
      </c>
      <c r="H57" s="3">
        <v>1</v>
      </c>
      <c r="I57" s="3">
        <v>58.7</v>
      </c>
      <c r="J57" s="3">
        <v>7</v>
      </c>
      <c r="K57" s="3">
        <v>3465.4</v>
      </c>
      <c r="L57" s="3">
        <v>1</v>
      </c>
      <c r="M57" s="3" t="s">
        <v>89</v>
      </c>
      <c r="N57" s="3" t="s">
        <v>96</v>
      </c>
      <c r="O57" s="3" t="str" cm="1">
        <f t="array" ref="O57">_xlfn.IFS(
  I57 &lt;= $Q$2, "Low",
  I57 &lt;= $Q$3, "Mid-Low",
  I57 &lt;= $Q$4, "Mid-High",
  TRUE,                 "High"
)</f>
        <v>Mid-High</v>
      </c>
      <c r="P57" s="3" t="s">
        <v>75</v>
      </c>
      <c r="Q57" s="3"/>
      <c r="R57" s="3"/>
      <c r="S57" s="3"/>
      <c r="T57" s="3"/>
      <c r="U57" s="3"/>
    </row>
    <row r="58" spans="1:21" x14ac:dyDescent="0.2">
      <c r="A58" s="3">
        <v>57</v>
      </c>
      <c r="B58" s="3">
        <v>45</v>
      </c>
      <c r="C58" s="3" t="s">
        <v>16</v>
      </c>
      <c r="D58" s="3">
        <v>62</v>
      </c>
      <c r="E58" s="3">
        <v>29.1</v>
      </c>
      <c r="F58" s="3" t="s">
        <v>20</v>
      </c>
      <c r="G58" s="3" t="s">
        <v>22</v>
      </c>
      <c r="H58" s="3">
        <v>3</v>
      </c>
      <c r="I58" s="3">
        <v>98.1</v>
      </c>
      <c r="J58" s="3">
        <v>6</v>
      </c>
      <c r="K58" s="3">
        <v>1637.85</v>
      </c>
      <c r="L58" s="3">
        <v>0</v>
      </c>
      <c r="M58" s="3" t="s">
        <v>89</v>
      </c>
      <c r="N58" s="3" t="s">
        <v>95</v>
      </c>
      <c r="O58" s="3" t="str" cm="1">
        <f t="array" ref="O58">_xlfn.IFS(
  I58 &lt;= $Q$2, "Low",
  I58 &lt;= $Q$3, "Mid-Low",
  I58 &lt;= $Q$4, "Mid-High",
  TRUE,                 "High"
)</f>
        <v>High</v>
      </c>
      <c r="P58" s="3" t="s">
        <v>73</v>
      </c>
      <c r="Q58" s="3"/>
      <c r="R58" s="3"/>
      <c r="S58" s="3"/>
      <c r="T58" s="3"/>
      <c r="U58" s="3"/>
    </row>
    <row r="59" spans="1:21" x14ac:dyDescent="0.2">
      <c r="A59" s="3">
        <v>58</v>
      </c>
      <c r="B59" s="3">
        <v>64</v>
      </c>
      <c r="C59" s="3" t="s">
        <v>15</v>
      </c>
      <c r="D59" s="3">
        <v>69</v>
      </c>
      <c r="E59" s="3">
        <v>92.64</v>
      </c>
      <c r="F59" s="3" t="s">
        <v>18</v>
      </c>
      <c r="G59" s="3" t="s">
        <v>24</v>
      </c>
      <c r="H59" s="3">
        <v>5</v>
      </c>
      <c r="I59" s="3">
        <v>20.7</v>
      </c>
      <c r="J59" s="3">
        <v>9</v>
      </c>
      <c r="K59" s="3">
        <v>5792.52</v>
      </c>
      <c r="L59" s="3">
        <v>0</v>
      </c>
      <c r="M59" s="3" t="s">
        <v>89</v>
      </c>
      <c r="N59" s="3" t="s">
        <v>97</v>
      </c>
      <c r="O59" s="3" t="str" cm="1">
        <f t="array" ref="O59">_xlfn.IFS(
  I59 &lt;= $Q$2, "Low",
  I59 &lt;= $Q$3, "Mid-Low",
  I59 &lt;= $Q$4, "Mid-High",
  TRUE,                 "High"
)</f>
        <v>Low</v>
      </c>
      <c r="P59" s="3" t="s">
        <v>75</v>
      </c>
      <c r="Q59" s="3"/>
      <c r="R59" s="3"/>
      <c r="S59" s="3"/>
      <c r="T59" s="3"/>
      <c r="U59" s="3"/>
    </row>
    <row r="60" spans="1:21" x14ac:dyDescent="0.2">
      <c r="A60" s="3">
        <v>59</v>
      </c>
      <c r="B60" s="3">
        <v>24</v>
      </c>
      <c r="C60" s="3" t="s">
        <v>15</v>
      </c>
      <c r="D60" s="3">
        <v>16</v>
      </c>
      <c r="E60" s="3">
        <v>74.739999999999995</v>
      </c>
      <c r="F60" s="3" t="s">
        <v>20</v>
      </c>
      <c r="G60" s="3" t="s">
        <v>24</v>
      </c>
      <c r="H60" s="3">
        <v>2</v>
      </c>
      <c r="I60" s="3">
        <v>71.5</v>
      </c>
      <c r="J60" s="3">
        <v>3</v>
      </c>
      <c r="K60" s="3">
        <v>1169.05</v>
      </c>
      <c r="L60" s="3">
        <v>1</v>
      </c>
      <c r="M60" s="3" t="s">
        <v>91</v>
      </c>
      <c r="N60" s="3" t="s">
        <v>94</v>
      </c>
      <c r="O60" s="3" t="str" cm="1">
        <f t="array" ref="O60">_xlfn.IFS(
  I60 &lt;= $Q$2, "Low",
  I60 &lt;= $Q$3, "Mid-Low",
  I60 &lt;= $Q$4, "Mid-High",
  TRUE,                 "High"
)</f>
        <v>Mid-High</v>
      </c>
      <c r="P60" s="3" t="s">
        <v>75</v>
      </c>
      <c r="Q60" s="3"/>
      <c r="R60" s="3"/>
      <c r="S60" s="3"/>
      <c r="T60" s="3"/>
      <c r="U60" s="3"/>
    </row>
    <row r="61" spans="1:21" x14ac:dyDescent="0.2">
      <c r="A61" s="3">
        <v>60</v>
      </c>
      <c r="B61" s="3">
        <v>61</v>
      </c>
      <c r="C61" s="3" t="s">
        <v>15</v>
      </c>
      <c r="D61" s="3">
        <v>48</v>
      </c>
      <c r="E61" s="3">
        <v>65.09</v>
      </c>
      <c r="F61" s="3" t="s">
        <v>18</v>
      </c>
      <c r="G61" s="3" t="s">
        <v>22</v>
      </c>
      <c r="H61" s="3">
        <v>3</v>
      </c>
      <c r="I61" s="3">
        <v>60.7</v>
      </c>
      <c r="J61" s="3">
        <v>3</v>
      </c>
      <c r="K61" s="3">
        <v>2911.88</v>
      </c>
      <c r="L61" s="3">
        <v>0</v>
      </c>
      <c r="M61" s="3" t="s">
        <v>89</v>
      </c>
      <c r="N61" s="3" t="s">
        <v>94</v>
      </c>
      <c r="O61" s="3" t="str" cm="1">
        <f t="array" ref="O61">_xlfn.IFS(
  I61 &lt;= $Q$2, "Low",
  I61 &lt;= $Q$3, "Mid-Low",
  I61 &lt;= $Q$4, "Mid-High",
  TRUE,                 "High"
)</f>
        <v>Mid-High</v>
      </c>
      <c r="P61" s="3" t="s">
        <v>122</v>
      </c>
      <c r="Q61" s="3"/>
      <c r="R61" s="3"/>
      <c r="S61" s="3"/>
      <c r="T61" s="3"/>
      <c r="U61" s="3"/>
    </row>
    <row r="62" spans="1:21" x14ac:dyDescent="0.2">
      <c r="A62" s="3">
        <v>61</v>
      </c>
      <c r="B62" s="3">
        <v>25</v>
      </c>
      <c r="C62" s="3" t="s">
        <v>16</v>
      </c>
      <c r="D62" s="3">
        <v>39</v>
      </c>
      <c r="E62" s="3">
        <v>111.05</v>
      </c>
      <c r="F62" s="3" t="s">
        <v>18</v>
      </c>
      <c r="G62" s="3" t="s">
        <v>22</v>
      </c>
      <c r="H62" s="3">
        <v>3</v>
      </c>
      <c r="I62" s="3">
        <v>60.7</v>
      </c>
      <c r="J62" s="3">
        <v>3</v>
      </c>
      <c r="K62" s="3">
        <v>3918.08</v>
      </c>
      <c r="L62" s="3">
        <v>1</v>
      </c>
      <c r="M62" s="3" t="s">
        <v>89</v>
      </c>
      <c r="N62" s="3" t="s">
        <v>94</v>
      </c>
      <c r="O62" s="3" t="str" cm="1">
        <f t="array" ref="O62">_xlfn.IFS(
  I62 &lt;= $Q$2, "Low",
  I62 &lt;= $Q$3, "Mid-Low",
  I62 &lt;= $Q$4, "Mid-High",
  TRUE,                 "High"
)</f>
        <v>Mid-High</v>
      </c>
      <c r="P62" s="3" t="s">
        <v>121</v>
      </c>
      <c r="Q62" s="3"/>
      <c r="R62" s="3"/>
      <c r="S62" s="3"/>
      <c r="T62" s="3"/>
      <c r="U62" s="3"/>
    </row>
    <row r="63" spans="1:21" x14ac:dyDescent="0.2">
      <c r="A63" s="3">
        <v>62</v>
      </c>
      <c r="B63" s="3">
        <v>64</v>
      </c>
      <c r="C63" s="3" t="s">
        <v>16</v>
      </c>
      <c r="D63" s="3">
        <v>33</v>
      </c>
      <c r="E63" s="3">
        <v>49.8</v>
      </c>
      <c r="F63" s="3" t="s">
        <v>20</v>
      </c>
      <c r="G63" s="3" t="s">
        <v>22</v>
      </c>
      <c r="H63" s="3">
        <v>3</v>
      </c>
      <c r="I63" s="3">
        <v>71.3</v>
      </c>
      <c r="J63" s="3">
        <v>10</v>
      </c>
      <c r="K63" s="3">
        <v>1727.61</v>
      </c>
      <c r="L63" s="3">
        <v>0</v>
      </c>
      <c r="M63" s="3" t="s">
        <v>89</v>
      </c>
      <c r="N63" s="3" t="s">
        <v>97</v>
      </c>
      <c r="O63" s="3" t="str" cm="1">
        <f t="array" ref="O63">_xlfn.IFS(
  I63 &lt;= $Q$2, "Low",
  I63 &lt;= $Q$3, "Mid-Low",
  I63 &lt;= $Q$4, "Mid-High",
  TRUE,                 "High"
)</f>
        <v>Mid-High</v>
      </c>
      <c r="P63" s="3" t="s">
        <v>73</v>
      </c>
      <c r="Q63" s="3"/>
      <c r="R63" s="3"/>
      <c r="S63" s="3"/>
      <c r="T63" s="3"/>
      <c r="U63" s="3"/>
    </row>
    <row r="64" spans="1:21" x14ac:dyDescent="0.2">
      <c r="A64" s="3">
        <v>63</v>
      </c>
      <c r="B64" s="3">
        <v>52</v>
      </c>
      <c r="C64" s="3" t="s">
        <v>15</v>
      </c>
      <c r="D64" s="3">
        <v>23</v>
      </c>
      <c r="E64" s="3">
        <v>72.36</v>
      </c>
      <c r="F64" s="3" t="s">
        <v>20</v>
      </c>
      <c r="G64" s="3" t="s">
        <v>24</v>
      </c>
      <c r="H64" s="3">
        <v>3</v>
      </c>
      <c r="I64" s="3">
        <v>93.3</v>
      </c>
      <c r="J64" s="3">
        <v>3</v>
      </c>
      <c r="K64" s="3">
        <v>1650.47</v>
      </c>
      <c r="L64" s="3">
        <v>1</v>
      </c>
      <c r="M64" s="3" t="s">
        <v>91</v>
      </c>
      <c r="N64" s="3" t="s">
        <v>94</v>
      </c>
      <c r="O64" s="3" t="str" cm="1">
        <f t="array" ref="O64">_xlfn.IFS(
  I64 &lt;= $Q$2, "Low",
  I64 &lt;= $Q$3, "Mid-Low",
  I64 &lt;= $Q$4, "Mid-High",
  TRUE,                 "High"
)</f>
        <v>High</v>
      </c>
      <c r="P64" s="3" t="s">
        <v>122</v>
      </c>
      <c r="Q64" s="3"/>
      <c r="R64" s="3"/>
      <c r="S64" s="3"/>
      <c r="T64" s="3"/>
      <c r="U64" s="3"/>
    </row>
    <row r="65" spans="1:21" x14ac:dyDescent="0.2">
      <c r="A65" s="3">
        <v>64</v>
      </c>
      <c r="B65" s="3">
        <v>31</v>
      </c>
      <c r="C65" s="3" t="s">
        <v>16</v>
      </c>
      <c r="D65" s="3">
        <v>10</v>
      </c>
      <c r="E65" s="3">
        <v>89.76</v>
      </c>
      <c r="F65" s="3" t="s">
        <v>19</v>
      </c>
      <c r="G65" s="3" t="s">
        <v>24</v>
      </c>
      <c r="H65" s="3">
        <v>2</v>
      </c>
      <c r="I65" s="3">
        <v>79.3</v>
      </c>
      <c r="J65" s="3">
        <v>9</v>
      </c>
      <c r="K65" s="3">
        <v>859.77</v>
      </c>
      <c r="L65" s="3">
        <v>0</v>
      </c>
      <c r="M65" s="3" t="s">
        <v>93</v>
      </c>
      <c r="N65" s="3" t="s">
        <v>97</v>
      </c>
      <c r="O65" s="3" t="str" cm="1">
        <f t="array" ref="O65">_xlfn.IFS(
  I65 &lt;= $Q$2, "Low",
  I65 &lt;= $Q$3, "Mid-Low",
  I65 &lt;= $Q$4, "Mid-High",
  TRUE,                 "High"
)</f>
        <v>High</v>
      </c>
      <c r="P65" s="3" t="s">
        <v>75</v>
      </c>
      <c r="Q65" s="3"/>
      <c r="R65" s="3"/>
      <c r="S65" s="3"/>
      <c r="T65" s="3"/>
      <c r="U65" s="3"/>
    </row>
    <row r="66" spans="1:21" x14ac:dyDescent="0.2">
      <c r="A66" s="3">
        <v>65</v>
      </c>
      <c r="B66" s="3">
        <v>34</v>
      </c>
      <c r="C66" s="3" t="s">
        <v>16</v>
      </c>
      <c r="D66" s="3">
        <v>69</v>
      </c>
      <c r="E66" s="3">
        <v>99.65</v>
      </c>
      <c r="F66" s="3" t="s">
        <v>19</v>
      </c>
      <c r="G66" s="3" t="s">
        <v>23</v>
      </c>
      <c r="H66" s="3">
        <v>0</v>
      </c>
      <c r="I66" s="3">
        <v>10.3</v>
      </c>
      <c r="J66" s="3">
        <v>4</v>
      </c>
      <c r="K66" s="3">
        <v>7426.03</v>
      </c>
      <c r="L66" s="3">
        <v>1</v>
      </c>
      <c r="M66" s="3" t="s">
        <v>89</v>
      </c>
      <c r="N66" s="3" t="s">
        <v>94</v>
      </c>
      <c r="O66" s="3" t="str" cm="1">
        <f t="array" ref="O66">_xlfn.IFS(
  I66 &lt;= $Q$2, "Low",
  I66 &lt;= $Q$3, "Mid-Low",
  I66 &lt;= $Q$4, "Mid-High",
  TRUE,                 "High"
)</f>
        <v>Low</v>
      </c>
      <c r="P66" s="3" t="s">
        <v>121</v>
      </c>
      <c r="Q66" s="3"/>
      <c r="R66" s="3"/>
      <c r="S66" s="3"/>
      <c r="T66" s="3"/>
      <c r="U66" s="3"/>
    </row>
    <row r="67" spans="1:21" x14ac:dyDescent="0.2">
      <c r="A67" s="3">
        <v>66</v>
      </c>
      <c r="B67" s="3">
        <v>53</v>
      </c>
      <c r="C67" s="3" t="s">
        <v>16</v>
      </c>
      <c r="D67" s="3">
        <v>34</v>
      </c>
      <c r="E67" s="3">
        <v>65.930000000000007</v>
      </c>
      <c r="F67" s="3" t="s">
        <v>20</v>
      </c>
      <c r="G67" s="3" t="s">
        <v>23</v>
      </c>
      <c r="H67" s="3">
        <v>1</v>
      </c>
      <c r="I67" s="3">
        <v>86</v>
      </c>
      <c r="J67" s="3">
        <v>7</v>
      </c>
      <c r="K67" s="3">
        <v>2069.5300000000002</v>
      </c>
      <c r="L67" s="3">
        <v>1</v>
      </c>
      <c r="M67" s="3" t="s">
        <v>89</v>
      </c>
      <c r="N67" s="3" t="s">
        <v>96</v>
      </c>
      <c r="O67" s="3" t="str" cm="1">
        <f t="array" ref="O67">_xlfn.IFS(
  I67 &lt;= $Q$2, "Low",
  I67 &lt;= $Q$3, "Mid-Low",
  I67 &lt;= $Q$4, "Mid-High",
  TRUE,                 "High"
)</f>
        <v>High</v>
      </c>
      <c r="P67" s="3" t="s">
        <v>122</v>
      </c>
      <c r="Q67" s="3"/>
      <c r="R67" s="3"/>
      <c r="S67" s="3"/>
      <c r="T67" s="3"/>
      <c r="U67" s="3"/>
    </row>
    <row r="68" spans="1:21" x14ac:dyDescent="0.2">
      <c r="A68" s="3">
        <v>67</v>
      </c>
      <c r="B68" s="3">
        <v>67</v>
      </c>
      <c r="C68" s="3" t="s">
        <v>16</v>
      </c>
      <c r="D68" s="3">
        <v>52</v>
      </c>
      <c r="E68" s="3">
        <v>104.21</v>
      </c>
      <c r="F68" s="3" t="s">
        <v>20</v>
      </c>
      <c r="G68" s="3" t="s">
        <v>22</v>
      </c>
      <c r="H68" s="3">
        <v>3</v>
      </c>
      <c r="I68" s="3">
        <v>26.4</v>
      </c>
      <c r="J68" s="3">
        <v>9</v>
      </c>
      <c r="K68" s="3">
        <v>5913.04</v>
      </c>
      <c r="L68" s="3">
        <v>1</v>
      </c>
      <c r="M68" s="3" t="s">
        <v>89</v>
      </c>
      <c r="N68" s="3" t="s">
        <v>97</v>
      </c>
      <c r="O68" s="3" t="str" cm="1">
        <f t="array" ref="O68">_xlfn.IFS(
  I68 &lt;= $Q$2, "Low",
  I68 &lt;= $Q$3, "Mid-Low",
  I68 &lt;= $Q$4, "Mid-High",
  TRUE,                 "High"
)</f>
        <v>Low</v>
      </c>
      <c r="P68" s="3" t="s">
        <v>121</v>
      </c>
      <c r="Q68" s="3"/>
      <c r="R68" s="3"/>
      <c r="S68" s="3"/>
      <c r="T68" s="3"/>
      <c r="U68" s="3"/>
    </row>
    <row r="69" spans="1:21" x14ac:dyDescent="0.2">
      <c r="A69" s="3">
        <v>68</v>
      </c>
      <c r="B69" s="3">
        <v>57</v>
      </c>
      <c r="C69" s="3" t="s">
        <v>16</v>
      </c>
      <c r="D69" s="3">
        <v>10</v>
      </c>
      <c r="E69" s="3">
        <v>96.89</v>
      </c>
      <c r="F69" s="3" t="s">
        <v>19</v>
      </c>
      <c r="G69" s="3" t="s">
        <v>24</v>
      </c>
      <c r="H69" s="3">
        <v>0</v>
      </c>
      <c r="I69" s="3">
        <v>40.799999999999997</v>
      </c>
      <c r="J69" s="3">
        <v>7</v>
      </c>
      <c r="K69" s="3">
        <v>932.85</v>
      </c>
      <c r="L69" s="3">
        <v>1</v>
      </c>
      <c r="M69" s="3" t="s">
        <v>93</v>
      </c>
      <c r="N69" s="3" t="s">
        <v>96</v>
      </c>
      <c r="O69" s="3" t="str" cm="1">
        <f t="array" ref="O69">_xlfn.IFS(
  I69 &lt;= $Q$2, "Low",
  I69 &lt;= $Q$3, "Mid-Low",
  I69 &lt;= $Q$4, "Mid-High",
  TRUE,                 "High"
)</f>
        <v>Mid-Low</v>
      </c>
      <c r="P69" s="3" t="s">
        <v>121</v>
      </c>
      <c r="Q69" s="3"/>
      <c r="R69" s="3"/>
      <c r="S69" s="3"/>
      <c r="T69" s="3"/>
      <c r="U69" s="3"/>
    </row>
    <row r="70" spans="1:21" x14ac:dyDescent="0.2">
      <c r="A70" s="3">
        <v>69</v>
      </c>
      <c r="B70" s="3">
        <v>21</v>
      </c>
      <c r="C70" s="3" t="s">
        <v>16</v>
      </c>
      <c r="D70" s="3">
        <v>19</v>
      </c>
      <c r="E70" s="3">
        <v>26.62</v>
      </c>
      <c r="F70" s="3" t="s">
        <v>20</v>
      </c>
      <c r="G70" s="3" t="s">
        <v>24</v>
      </c>
      <c r="H70" s="3">
        <v>2</v>
      </c>
      <c r="I70" s="3">
        <v>48.9</v>
      </c>
      <c r="J70" s="3">
        <v>9</v>
      </c>
      <c r="K70" s="3">
        <v>545.07000000000005</v>
      </c>
      <c r="L70" s="3">
        <v>0</v>
      </c>
      <c r="M70" s="3" t="s">
        <v>91</v>
      </c>
      <c r="N70" s="3" t="s">
        <v>97</v>
      </c>
      <c r="O70" s="3" t="str" cm="1">
        <f t="array" ref="O70">_xlfn.IFS(
  I70 &lt;= $Q$2, "Low",
  I70 &lt;= $Q$3, "Mid-Low",
  I70 &lt;= $Q$4, "Mid-High",
  TRUE,                 "High"
)</f>
        <v>Mid-Low</v>
      </c>
      <c r="P70" s="3" t="s">
        <v>73</v>
      </c>
      <c r="Q70" s="3"/>
      <c r="R70" s="3"/>
      <c r="S70" s="3"/>
      <c r="T70" s="3"/>
      <c r="U70" s="3"/>
    </row>
    <row r="71" spans="1:21" x14ac:dyDescent="0.2">
      <c r="A71" s="3">
        <v>70</v>
      </c>
      <c r="B71" s="3">
        <v>19</v>
      </c>
      <c r="C71" s="3" t="s">
        <v>15</v>
      </c>
      <c r="D71" s="3">
        <v>58</v>
      </c>
      <c r="E71" s="3">
        <v>24.59</v>
      </c>
      <c r="F71" s="3" t="s">
        <v>20</v>
      </c>
      <c r="G71" s="3" t="s">
        <v>24</v>
      </c>
      <c r="H71" s="3">
        <v>1</v>
      </c>
      <c r="I71" s="3">
        <v>50.7</v>
      </c>
      <c r="J71" s="3">
        <v>3</v>
      </c>
      <c r="K71" s="3">
        <v>1455.58</v>
      </c>
      <c r="L71" s="3">
        <v>1</v>
      </c>
      <c r="M71" s="3" t="s">
        <v>89</v>
      </c>
      <c r="N71" s="3" t="s">
        <v>94</v>
      </c>
      <c r="O71" s="3" t="str" cm="1">
        <f t="array" ref="O71">_xlfn.IFS(
  I71 &lt;= $Q$2, "Low",
  I71 &lt;= $Q$3, "Mid-Low",
  I71 &lt;= $Q$4, "Mid-High",
  TRUE,                 "High"
)</f>
        <v>Mid-Low</v>
      </c>
      <c r="P71" s="3" t="s">
        <v>73</v>
      </c>
      <c r="Q71" s="3"/>
      <c r="R71" s="3"/>
      <c r="S71" s="3"/>
      <c r="T71" s="3"/>
      <c r="U71" s="3"/>
    </row>
    <row r="72" spans="1:21" x14ac:dyDescent="0.2">
      <c r="A72" s="3">
        <v>71</v>
      </c>
      <c r="B72" s="3">
        <v>23</v>
      </c>
      <c r="C72" s="3" t="s">
        <v>15</v>
      </c>
      <c r="D72" s="3">
        <v>1</v>
      </c>
      <c r="E72" s="3">
        <v>82.08</v>
      </c>
      <c r="F72" s="3" t="s">
        <v>19</v>
      </c>
      <c r="G72" s="3" t="s">
        <v>22</v>
      </c>
      <c r="H72" s="3">
        <v>3</v>
      </c>
      <c r="I72" s="3">
        <v>46.3</v>
      </c>
      <c r="J72" s="3">
        <v>4</v>
      </c>
      <c r="K72" s="3">
        <v>87.44</v>
      </c>
      <c r="L72" s="3">
        <v>0</v>
      </c>
      <c r="M72" s="3" t="s">
        <v>90</v>
      </c>
      <c r="N72" s="3" t="s">
        <v>94</v>
      </c>
      <c r="O72" s="3" t="str" cm="1">
        <f t="array" ref="O72">_xlfn.IFS(
  I72 &lt;= $Q$2, "Low",
  I72 &lt;= $Q$3, "Mid-Low",
  I72 &lt;= $Q$4, "Mid-High",
  TRUE,                 "High"
)</f>
        <v>Mid-Low</v>
      </c>
      <c r="P72" s="3" t="s">
        <v>75</v>
      </c>
      <c r="Q72" s="3"/>
      <c r="R72" s="3"/>
      <c r="S72" s="3"/>
      <c r="T72" s="3"/>
      <c r="U72" s="3"/>
    </row>
    <row r="73" spans="1:21" x14ac:dyDescent="0.2">
      <c r="A73" s="3">
        <v>72</v>
      </c>
      <c r="B73" s="3">
        <v>59</v>
      </c>
      <c r="C73" s="3" t="s">
        <v>16</v>
      </c>
      <c r="D73" s="3">
        <v>69</v>
      </c>
      <c r="E73" s="3">
        <v>54.74</v>
      </c>
      <c r="F73" s="3" t="s">
        <v>20</v>
      </c>
      <c r="G73" s="3" t="s">
        <v>23</v>
      </c>
      <c r="H73" s="3">
        <v>2</v>
      </c>
      <c r="I73" s="3">
        <v>94</v>
      </c>
      <c r="J73" s="3">
        <v>8</v>
      </c>
      <c r="K73" s="3">
        <v>4142.6899999999996</v>
      </c>
      <c r="L73" s="3">
        <v>1</v>
      </c>
      <c r="M73" s="3" t="s">
        <v>89</v>
      </c>
      <c r="N73" s="3" t="s">
        <v>96</v>
      </c>
      <c r="O73" s="3" t="str" cm="1">
        <f t="array" ref="O73">_xlfn.IFS(
  I73 &lt;= $Q$2, "Low",
  I73 &lt;= $Q$3, "Mid-Low",
  I73 &lt;= $Q$4, "Mid-High",
  TRUE,                 "High"
)</f>
        <v>High</v>
      </c>
      <c r="P73" s="3" t="s">
        <v>122</v>
      </c>
      <c r="Q73" s="3"/>
      <c r="R73" s="3"/>
      <c r="S73" s="3"/>
      <c r="T73" s="3"/>
      <c r="U73" s="3"/>
    </row>
    <row r="74" spans="1:21" x14ac:dyDescent="0.2">
      <c r="A74" s="3">
        <v>73</v>
      </c>
      <c r="B74" s="3">
        <v>21</v>
      </c>
      <c r="C74" s="3" t="s">
        <v>15</v>
      </c>
      <c r="D74" s="3">
        <v>4</v>
      </c>
      <c r="E74" s="3">
        <v>40.909999999999997</v>
      </c>
      <c r="F74" s="3" t="s">
        <v>20</v>
      </c>
      <c r="G74" s="3" t="s">
        <v>22</v>
      </c>
      <c r="H74" s="3">
        <v>2</v>
      </c>
      <c r="I74" s="3">
        <v>72.099999999999994</v>
      </c>
      <c r="J74" s="3">
        <v>6</v>
      </c>
      <c r="K74" s="3">
        <v>156.71</v>
      </c>
      <c r="L74" s="3">
        <v>1</v>
      </c>
      <c r="M74" s="3" t="s">
        <v>92</v>
      </c>
      <c r="N74" s="3" t="s">
        <v>95</v>
      </c>
      <c r="O74" s="3" t="str" cm="1">
        <f t="array" ref="O74">_xlfn.IFS(
  I74 &lt;= $Q$2, "Low",
  I74 &lt;= $Q$3, "Mid-Low",
  I74 &lt;= $Q$4, "Mid-High",
  TRUE,                 "High"
)</f>
        <v>Mid-High</v>
      </c>
      <c r="P74" s="3" t="s">
        <v>73</v>
      </c>
      <c r="Q74" s="3"/>
      <c r="R74" s="3"/>
      <c r="S74" s="3"/>
      <c r="T74" s="3"/>
      <c r="U74" s="3"/>
    </row>
    <row r="75" spans="1:21" x14ac:dyDescent="0.2">
      <c r="A75" s="3">
        <v>74</v>
      </c>
      <c r="B75" s="3">
        <v>46</v>
      </c>
      <c r="C75" s="3" t="s">
        <v>15</v>
      </c>
      <c r="D75" s="3">
        <v>16</v>
      </c>
      <c r="E75" s="3">
        <v>77.959999999999994</v>
      </c>
      <c r="F75" s="3" t="s">
        <v>20</v>
      </c>
      <c r="G75" s="3" t="s">
        <v>23</v>
      </c>
      <c r="H75" s="3">
        <v>1</v>
      </c>
      <c r="I75" s="3">
        <v>65</v>
      </c>
      <c r="J75" s="3">
        <v>5</v>
      </c>
      <c r="K75" s="3">
        <v>1362.4</v>
      </c>
      <c r="L75" s="3">
        <v>1</v>
      </c>
      <c r="M75" s="3" t="s">
        <v>91</v>
      </c>
      <c r="N75" s="3" t="s">
        <v>95</v>
      </c>
      <c r="O75" s="3" t="str" cm="1">
        <f t="array" ref="O75">_xlfn.IFS(
  I75 &lt;= $Q$2, "Low",
  I75 &lt;= $Q$3, "Mid-Low",
  I75 &lt;= $Q$4, "Mid-High",
  TRUE,                 "High"
)</f>
        <v>Mid-High</v>
      </c>
      <c r="P75" s="3" t="s">
        <v>75</v>
      </c>
      <c r="Q75" s="3"/>
      <c r="R75" s="3"/>
      <c r="S75" s="3"/>
      <c r="T75" s="3"/>
      <c r="U75" s="3"/>
    </row>
    <row r="76" spans="1:21" x14ac:dyDescent="0.2">
      <c r="A76" s="3">
        <v>75</v>
      </c>
      <c r="B76" s="3">
        <v>35</v>
      </c>
      <c r="C76" s="3" t="s">
        <v>15</v>
      </c>
      <c r="D76" s="3">
        <v>24</v>
      </c>
      <c r="E76" s="3">
        <v>54.16</v>
      </c>
      <c r="F76" s="3" t="s">
        <v>20</v>
      </c>
      <c r="G76" s="3" t="s">
        <v>23</v>
      </c>
      <c r="H76" s="3">
        <v>3</v>
      </c>
      <c r="I76" s="3">
        <v>9.6999999999999993</v>
      </c>
      <c r="J76" s="3">
        <v>4</v>
      </c>
      <c r="K76" s="3">
        <v>1271.1099999999999</v>
      </c>
      <c r="L76" s="3">
        <v>1</v>
      </c>
      <c r="M76" s="3" t="s">
        <v>91</v>
      </c>
      <c r="N76" s="3" t="s">
        <v>94</v>
      </c>
      <c r="O76" s="3" t="str" cm="1">
        <f t="array" ref="O76">_xlfn.IFS(
  I76 &lt;= $Q$2, "Low",
  I76 &lt;= $Q$3, "Mid-Low",
  I76 &lt;= $Q$4, "Mid-High",
  TRUE,                 "High"
)</f>
        <v>Low</v>
      </c>
      <c r="P76" s="3" t="s">
        <v>122</v>
      </c>
      <c r="Q76" s="3"/>
      <c r="R76" s="3"/>
      <c r="S76" s="3"/>
      <c r="T76" s="3"/>
      <c r="U76" s="3"/>
    </row>
    <row r="77" spans="1:21" x14ac:dyDescent="0.2">
      <c r="A77" s="3">
        <v>76</v>
      </c>
      <c r="B77" s="3">
        <v>43</v>
      </c>
      <c r="C77" s="3" t="s">
        <v>15</v>
      </c>
      <c r="D77" s="3">
        <v>2</v>
      </c>
      <c r="E77" s="3">
        <v>73.73</v>
      </c>
      <c r="F77" s="3" t="s">
        <v>20</v>
      </c>
      <c r="G77" s="3" t="s">
        <v>22</v>
      </c>
      <c r="H77" s="3">
        <v>2</v>
      </c>
      <c r="I77" s="3">
        <v>90.9</v>
      </c>
      <c r="J77" s="3">
        <v>8</v>
      </c>
      <c r="K77" s="3">
        <v>144.08000000000001</v>
      </c>
      <c r="L77" s="3">
        <v>1</v>
      </c>
      <c r="M77" s="3" t="s">
        <v>90</v>
      </c>
      <c r="N77" s="3" t="s">
        <v>96</v>
      </c>
      <c r="O77" s="3" t="str" cm="1">
        <f t="array" ref="O77">_xlfn.IFS(
  I77 &lt;= $Q$2, "Low",
  I77 &lt;= $Q$3, "Mid-Low",
  I77 &lt;= $Q$4, "Mid-High",
  TRUE,                 "High"
)</f>
        <v>High</v>
      </c>
      <c r="P77" s="3" t="s">
        <v>75</v>
      </c>
      <c r="Q77" s="3"/>
      <c r="R77" s="3"/>
      <c r="S77" s="3"/>
      <c r="T77" s="3"/>
      <c r="U77" s="3"/>
    </row>
    <row r="78" spans="1:21" x14ac:dyDescent="0.2">
      <c r="A78" s="3">
        <v>77</v>
      </c>
      <c r="B78" s="3">
        <v>61</v>
      </c>
      <c r="C78" s="3" t="s">
        <v>16</v>
      </c>
      <c r="D78" s="3">
        <v>32</v>
      </c>
      <c r="E78" s="3">
        <v>66.010000000000005</v>
      </c>
      <c r="F78" s="3" t="s">
        <v>18</v>
      </c>
      <c r="G78" s="3" t="s">
        <v>23</v>
      </c>
      <c r="H78" s="3">
        <v>3</v>
      </c>
      <c r="I78" s="3">
        <v>91.4</v>
      </c>
      <c r="J78" s="3">
        <v>1</v>
      </c>
      <c r="K78" s="3">
        <v>2044.89</v>
      </c>
      <c r="L78" s="3">
        <v>0</v>
      </c>
      <c r="M78" s="3" t="s">
        <v>89</v>
      </c>
      <c r="N78" s="3" t="s">
        <v>94</v>
      </c>
      <c r="O78" s="3" t="str" cm="1">
        <f t="array" ref="O78">_xlfn.IFS(
  I78 &lt;= $Q$2, "Low",
  I78 &lt;= $Q$3, "Mid-Low",
  I78 &lt;= $Q$4, "Mid-High",
  TRUE,                 "High"
)</f>
        <v>High</v>
      </c>
      <c r="P78" s="3" t="s">
        <v>122</v>
      </c>
      <c r="Q78" s="3"/>
      <c r="R78" s="3"/>
      <c r="S78" s="3"/>
      <c r="T78" s="3"/>
      <c r="U78" s="3"/>
    </row>
    <row r="79" spans="1:21" x14ac:dyDescent="0.2">
      <c r="A79" s="3">
        <v>78</v>
      </c>
      <c r="B79" s="3">
        <v>51</v>
      </c>
      <c r="C79" s="3" t="s">
        <v>15</v>
      </c>
      <c r="D79" s="3">
        <v>24</v>
      </c>
      <c r="E79" s="3">
        <v>78.48</v>
      </c>
      <c r="F79" s="3" t="s">
        <v>20</v>
      </c>
      <c r="G79" s="3" t="s">
        <v>23</v>
      </c>
      <c r="H79" s="3">
        <v>3</v>
      </c>
      <c r="I79" s="3">
        <v>79.099999999999994</v>
      </c>
      <c r="J79" s="3">
        <v>9</v>
      </c>
      <c r="K79" s="3">
        <v>1899.12</v>
      </c>
      <c r="L79" s="3">
        <v>0</v>
      </c>
      <c r="M79" s="3" t="s">
        <v>91</v>
      </c>
      <c r="N79" s="3" t="s">
        <v>97</v>
      </c>
      <c r="O79" s="3" t="str" cm="1">
        <f t="array" ref="O79">_xlfn.IFS(
  I79 &lt;= $Q$2, "Low",
  I79 &lt;= $Q$3, "Mid-Low",
  I79 &lt;= $Q$4, "Mid-High",
  TRUE,                 "High"
)</f>
        <v>High</v>
      </c>
      <c r="P79" s="3" t="s">
        <v>75</v>
      </c>
      <c r="Q79" s="3"/>
      <c r="R79" s="3"/>
      <c r="S79" s="3"/>
      <c r="T79" s="3"/>
      <c r="U79" s="3"/>
    </row>
    <row r="80" spans="1:21" x14ac:dyDescent="0.2">
      <c r="A80" s="3">
        <v>79</v>
      </c>
      <c r="B80" s="3">
        <v>27</v>
      </c>
      <c r="C80" s="3" t="s">
        <v>15</v>
      </c>
      <c r="D80" s="3">
        <v>12</v>
      </c>
      <c r="E80" s="3">
        <v>60.03</v>
      </c>
      <c r="F80" s="3" t="s">
        <v>20</v>
      </c>
      <c r="G80" s="3" t="s">
        <v>24</v>
      </c>
      <c r="H80" s="3">
        <v>1</v>
      </c>
      <c r="I80" s="3">
        <v>5.7</v>
      </c>
      <c r="J80" s="3">
        <v>1</v>
      </c>
      <c r="K80" s="3">
        <v>670.53</v>
      </c>
      <c r="L80" s="3">
        <v>1</v>
      </c>
      <c r="M80" s="3" t="s">
        <v>93</v>
      </c>
      <c r="N80" s="3" t="s">
        <v>94</v>
      </c>
      <c r="O80" s="3" t="str" cm="1">
        <f t="array" ref="O80">_xlfn.IFS(
  I80 &lt;= $Q$2, "Low",
  I80 &lt;= $Q$3, "Mid-Low",
  I80 &lt;= $Q$4, "Mid-High",
  TRUE,                 "High"
)</f>
        <v>Low</v>
      </c>
      <c r="P80" s="3" t="s">
        <v>122</v>
      </c>
      <c r="Q80" s="3"/>
      <c r="R80" s="3"/>
      <c r="S80" s="3"/>
      <c r="T80" s="3"/>
      <c r="U80" s="3"/>
    </row>
    <row r="81" spans="1:21" x14ac:dyDescent="0.2">
      <c r="A81" s="3">
        <v>80</v>
      </c>
      <c r="B81" s="3">
        <v>53</v>
      </c>
      <c r="C81" s="3" t="s">
        <v>16</v>
      </c>
      <c r="D81" s="3">
        <v>50</v>
      </c>
      <c r="E81" s="3">
        <v>89.77</v>
      </c>
      <c r="F81" s="3" t="s">
        <v>20</v>
      </c>
      <c r="G81" s="3" t="s">
        <v>23</v>
      </c>
      <c r="H81" s="3">
        <v>1</v>
      </c>
      <c r="I81" s="3">
        <v>10.4</v>
      </c>
      <c r="J81" s="3">
        <v>8</v>
      </c>
      <c r="K81" s="3">
        <v>4536.72</v>
      </c>
      <c r="L81" s="3">
        <v>0</v>
      </c>
      <c r="M81" s="3" t="s">
        <v>89</v>
      </c>
      <c r="N81" s="3" t="s">
        <v>96</v>
      </c>
      <c r="O81" s="3" t="str" cm="1">
        <f t="array" ref="O81">_xlfn.IFS(
  I81 &lt;= $Q$2, "Low",
  I81 &lt;= $Q$3, "Mid-Low",
  I81 &lt;= $Q$4, "Mid-High",
  TRUE,                 "High"
)</f>
        <v>Low</v>
      </c>
      <c r="P81" s="3" t="s">
        <v>75</v>
      </c>
      <c r="Q81" s="3"/>
      <c r="R81" s="3"/>
      <c r="S81" s="3"/>
      <c r="T81" s="3"/>
      <c r="U81" s="3"/>
    </row>
    <row r="82" spans="1:21" x14ac:dyDescent="0.2">
      <c r="A82" s="3">
        <v>81</v>
      </c>
      <c r="B82" s="3">
        <v>31</v>
      </c>
      <c r="C82" s="3" t="s">
        <v>16</v>
      </c>
      <c r="D82" s="3">
        <v>35</v>
      </c>
      <c r="E82" s="3">
        <v>38.01</v>
      </c>
      <c r="F82" s="3" t="s">
        <v>20</v>
      </c>
      <c r="G82" s="3" t="s">
        <v>22</v>
      </c>
      <c r="H82" s="3">
        <v>2</v>
      </c>
      <c r="I82" s="3">
        <v>26.4</v>
      </c>
      <c r="J82" s="3">
        <v>4</v>
      </c>
      <c r="K82" s="3">
        <v>1341.45</v>
      </c>
      <c r="L82" s="3">
        <v>1</v>
      </c>
      <c r="M82" s="3" t="s">
        <v>89</v>
      </c>
      <c r="N82" s="3" t="s">
        <v>94</v>
      </c>
      <c r="O82" s="3" t="str" cm="1">
        <f t="array" ref="O82">_xlfn.IFS(
  I82 &lt;= $Q$2, "Low",
  I82 &lt;= $Q$3, "Mid-Low",
  I82 &lt;= $Q$4, "Mid-High",
  TRUE,                 "High"
)</f>
        <v>Low</v>
      </c>
      <c r="P82" s="3" t="s">
        <v>73</v>
      </c>
      <c r="Q82" s="3"/>
      <c r="R82" s="3"/>
      <c r="S82" s="3"/>
      <c r="T82" s="3"/>
      <c r="U82" s="3"/>
    </row>
    <row r="83" spans="1:21" x14ac:dyDescent="0.2">
      <c r="A83" s="3">
        <v>82</v>
      </c>
      <c r="B83" s="3">
        <v>48</v>
      </c>
      <c r="C83" s="3" t="s">
        <v>15</v>
      </c>
      <c r="D83" s="3">
        <v>33</v>
      </c>
      <c r="E83" s="3">
        <v>89.65</v>
      </c>
      <c r="F83" s="3" t="s">
        <v>19</v>
      </c>
      <c r="G83" s="3" t="s">
        <v>22</v>
      </c>
      <c r="H83" s="3">
        <v>0</v>
      </c>
      <c r="I83" s="3">
        <v>17.5</v>
      </c>
      <c r="J83" s="3">
        <v>9</v>
      </c>
      <c r="K83" s="3">
        <v>3113.41</v>
      </c>
      <c r="L83" s="3">
        <v>1</v>
      </c>
      <c r="M83" s="3" t="s">
        <v>89</v>
      </c>
      <c r="N83" s="3" t="s">
        <v>97</v>
      </c>
      <c r="O83" s="3" t="str" cm="1">
        <f t="array" ref="O83">_xlfn.IFS(
  I83 &lt;= $Q$2, "Low",
  I83 &lt;= $Q$3, "Mid-Low",
  I83 &lt;= $Q$4, "Mid-High",
  TRUE,                 "High"
)</f>
        <v>Low</v>
      </c>
      <c r="P83" s="3" t="s">
        <v>75</v>
      </c>
      <c r="Q83" s="3"/>
      <c r="R83" s="3"/>
      <c r="S83" s="3"/>
      <c r="T83" s="3"/>
      <c r="U83" s="3"/>
    </row>
    <row r="84" spans="1:21" x14ac:dyDescent="0.2">
      <c r="A84" s="3">
        <v>83</v>
      </c>
      <c r="B84" s="3">
        <v>65</v>
      </c>
      <c r="C84" s="3" t="s">
        <v>15</v>
      </c>
      <c r="D84" s="3">
        <v>33</v>
      </c>
      <c r="E84" s="3">
        <v>61.17</v>
      </c>
      <c r="F84" s="3" t="s">
        <v>20</v>
      </c>
      <c r="G84" s="3" t="s">
        <v>23</v>
      </c>
      <c r="H84" s="3">
        <v>0</v>
      </c>
      <c r="I84" s="3">
        <v>42.9</v>
      </c>
      <c r="J84" s="3">
        <v>5</v>
      </c>
      <c r="K84" s="3">
        <v>2153.31</v>
      </c>
      <c r="L84" s="3">
        <v>0</v>
      </c>
      <c r="M84" s="3" t="s">
        <v>89</v>
      </c>
      <c r="N84" s="3" t="s">
        <v>95</v>
      </c>
      <c r="O84" s="3" t="str" cm="1">
        <f t="array" ref="O84">_xlfn.IFS(
  I84 &lt;= $Q$2, "Low",
  I84 &lt;= $Q$3, "Mid-Low",
  I84 &lt;= $Q$4, "Mid-High",
  TRUE,                 "High"
)</f>
        <v>Mid-Low</v>
      </c>
      <c r="P84" s="3" t="s">
        <v>122</v>
      </c>
      <c r="Q84" s="3"/>
      <c r="R84" s="3"/>
      <c r="S84" s="3"/>
      <c r="T84" s="3"/>
      <c r="U84" s="3"/>
    </row>
    <row r="85" spans="1:21" x14ac:dyDescent="0.2">
      <c r="A85" s="3">
        <v>84</v>
      </c>
      <c r="B85" s="3">
        <v>32</v>
      </c>
      <c r="C85" s="3" t="s">
        <v>15</v>
      </c>
      <c r="D85" s="3">
        <v>61</v>
      </c>
      <c r="E85" s="3">
        <v>107.43</v>
      </c>
      <c r="F85" s="3" t="s">
        <v>20</v>
      </c>
      <c r="G85" s="3" t="s">
        <v>24</v>
      </c>
      <c r="H85" s="3">
        <v>3</v>
      </c>
      <c r="I85" s="3">
        <v>92.6</v>
      </c>
      <c r="J85" s="3">
        <v>3</v>
      </c>
      <c r="K85" s="3">
        <v>6475.17</v>
      </c>
      <c r="L85" s="3">
        <v>0</v>
      </c>
      <c r="M85" s="3" t="s">
        <v>89</v>
      </c>
      <c r="N85" s="3" t="s">
        <v>94</v>
      </c>
      <c r="O85" s="3" t="str" cm="1">
        <f t="array" ref="O85">_xlfn.IFS(
  I85 &lt;= $Q$2, "Low",
  I85 &lt;= $Q$3, "Mid-Low",
  I85 &lt;= $Q$4, "Mid-High",
  TRUE,                 "High"
)</f>
        <v>High</v>
      </c>
      <c r="P85" s="3" t="s">
        <v>121</v>
      </c>
      <c r="Q85" s="3"/>
      <c r="R85" s="3"/>
      <c r="S85" s="3"/>
      <c r="T85" s="3"/>
      <c r="U85" s="3"/>
    </row>
    <row r="86" spans="1:21" x14ac:dyDescent="0.2">
      <c r="A86" s="3">
        <v>85</v>
      </c>
      <c r="B86" s="3">
        <v>25</v>
      </c>
      <c r="C86" s="3" t="s">
        <v>15</v>
      </c>
      <c r="D86" s="3">
        <v>51</v>
      </c>
      <c r="E86" s="3">
        <v>71.52</v>
      </c>
      <c r="F86" s="3" t="s">
        <v>19</v>
      </c>
      <c r="G86" s="3" t="s">
        <v>24</v>
      </c>
      <c r="H86" s="3">
        <v>1</v>
      </c>
      <c r="I86" s="3">
        <v>49.8</v>
      </c>
      <c r="J86" s="3">
        <v>9</v>
      </c>
      <c r="K86" s="3">
        <v>3503.32</v>
      </c>
      <c r="L86" s="3">
        <v>0</v>
      </c>
      <c r="M86" s="3" t="s">
        <v>89</v>
      </c>
      <c r="N86" s="3" t="s">
        <v>97</v>
      </c>
      <c r="O86" s="3" t="str" cm="1">
        <f t="array" ref="O86">_xlfn.IFS(
  I86 &lt;= $Q$2, "Low",
  I86 &lt;= $Q$3, "Mid-Low",
  I86 &lt;= $Q$4, "Mid-High",
  TRUE,                 "High"
)</f>
        <v>Mid-Low</v>
      </c>
      <c r="P86" s="3" t="s">
        <v>122</v>
      </c>
      <c r="Q86" s="3"/>
      <c r="R86" s="3"/>
      <c r="S86" s="3"/>
      <c r="T86" s="3"/>
      <c r="U86" s="3"/>
    </row>
    <row r="87" spans="1:21" x14ac:dyDescent="0.2">
      <c r="A87" s="3">
        <v>86</v>
      </c>
      <c r="B87" s="3">
        <v>31</v>
      </c>
      <c r="C87" s="3" t="s">
        <v>15</v>
      </c>
      <c r="D87" s="3">
        <v>43</v>
      </c>
      <c r="E87" s="3">
        <v>117.31</v>
      </c>
      <c r="F87" s="3" t="s">
        <v>20</v>
      </c>
      <c r="G87" s="3" t="s">
        <v>23</v>
      </c>
      <c r="H87" s="3">
        <v>3</v>
      </c>
      <c r="I87" s="3">
        <v>6.3</v>
      </c>
      <c r="J87" s="3">
        <v>9</v>
      </c>
      <c r="K87" s="3">
        <v>4801.53</v>
      </c>
      <c r="L87" s="3">
        <v>0</v>
      </c>
      <c r="M87" s="3" t="s">
        <v>89</v>
      </c>
      <c r="N87" s="3" t="s">
        <v>97</v>
      </c>
      <c r="O87" s="3" t="str" cm="1">
        <f t="array" ref="O87">_xlfn.IFS(
  I87 &lt;= $Q$2, "Low",
  I87 &lt;= $Q$3, "Mid-Low",
  I87 &lt;= $Q$4, "Mid-High",
  TRUE,                 "High"
)</f>
        <v>Low</v>
      </c>
      <c r="P87" s="3" t="s">
        <v>121</v>
      </c>
      <c r="Q87" s="3"/>
      <c r="R87" s="3"/>
      <c r="S87" s="3"/>
      <c r="T87" s="3"/>
      <c r="U87" s="3"/>
    </row>
    <row r="88" spans="1:21" x14ac:dyDescent="0.2">
      <c r="A88" s="3">
        <v>87</v>
      </c>
      <c r="B88" s="3">
        <v>40</v>
      </c>
      <c r="C88" s="3" t="s">
        <v>15</v>
      </c>
      <c r="D88" s="3">
        <v>12</v>
      </c>
      <c r="E88" s="3">
        <v>80.19</v>
      </c>
      <c r="F88" s="3" t="s">
        <v>20</v>
      </c>
      <c r="G88" s="3" t="s">
        <v>23</v>
      </c>
      <c r="H88" s="3">
        <v>2</v>
      </c>
      <c r="I88" s="3">
        <v>31.9</v>
      </c>
      <c r="J88" s="3">
        <v>4</v>
      </c>
      <c r="K88" s="3">
        <v>903.51</v>
      </c>
      <c r="L88" s="3">
        <v>1</v>
      </c>
      <c r="M88" s="3" t="s">
        <v>93</v>
      </c>
      <c r="N88" s="3" t="s">
        <v>94</v>
      </c>
      <c r="O88" s="3" t="str" cm="1">
        <f t="array" ref="O88">_xlfn.IFS(
  I88 &lt;= $Q$2, "Low",
  I88 &lt;= $Q$3, "Mid-Low",
  I88 &lt;= $Q$4, "Mid-High",
  TRUE,                 "High"
)</f>
        <v>Mid-Low</v>
      </c>
      <c r="P88" s="3" t="s">
        <v>75</v>
      </c>
      <c r="Q88" s="3"/>
      <c r="R88" s="3"/>
      <c r="S88" s="3"/>
      <c r="T88" s="3"/>
      <c r="U88" s="3"/>
    </row>
    <row r="89" spans="1:21" x14ac:dyDescent="0.2">
      <c r="A89" s="3">
        <v>88</v>
      </c>
      <c r="B89" s="3">
        <v>57</v>
      </c>
      <c r="C89" s="3" t="s">
        <v>16</v>
      </c>
      <c r="D89" s="3">
        <v>67</v>
      </c>
      <c r="E89" s="3">
        <v>42.38</v>
      </c>
      <c r="F89" s="3" t="s">
        <v>20</v>
      </c>
      <c r="G89" s="3" t="s">
        <v>22</v>
      </c>
      <c r="H89" s="3">
        <v>0</v>
      </c>
      <c r="I89" s="3">
        <v>9.1999999999999993</v>
      </c>
      <c r="J89" s="3">
        <v>4</v>
      </c>
      <c r="K89" s="3">
        <v>2588.25</v>
      </c>
      <c r="L89" s="3">
        <v>0</v>
      </c>
      <c r="M89" s="3" t="s">
        <v>89</v>
      </c>
      <c r="N89" s="3" t="s">
        <v>94</v>
      </c>
      <c r="O89" s="3" t="str" cm="1">
        <f t="array" ref="O89">_xlfn.IFS(
  I89 &lt;= $Q$2, "Low",
  I89 &lt;= $Q$3, "Mid-Low",
  I89 &lt;= $Q$4, "Mid-High",
  TRUE,                 "High"
)</f>
        <v>Low</v>
      </c>
      <c r="P89" s="3" t="s">
        <v>73</v>
      </c>
      <c r="Q89" s="3"/>
      <c r="R89" s="3"/>
      <c r="S89" s="3"/>
      <c r="T89" s="3"/>
      <c r="U89" s="3"/>
    </row>
    <row r="90" spans="1:21" x14ac:dyDescent="0.2">
      <c r="A90" s="3">
        <v>89</v>
      </c>
      <c r="B90" s="3">
        <v>38</v>
      </c>
      <c r="C90" s="3" t="s">
        <v>15</v>
      </c>
      <c r="D90" s="3">
        <v>65</v>
      </c>
      <c r="E90" s="3">
        <v>102.18</v>
      </c>
      <c r="F90" s="3" t="s">
        <v>20</v>
      </c>
      <c r="G90" s="3" t="s">
        <v>23</v>
      </c>
      <c r="H90" s="3">
        <v>0</v>
      </c>
      <c r="I90" s="3">
        <v>8.4</v>
      </c>
      <c r="J90" s="3">
        <v>8</v>
      </c>
      <c r="K90" s="3">
        <v>6432.42</v>
      </c>
      <c r="L90" s="3">
        <v>0</v>
      </c>
      <c r="M90" s="3" t="s">
        <v>89</v>
      </c>
      <c r="N90" s="3" t="s">
        <v>96</v>
      </c>
      <c r="O90" s="3" t="str" cm="1">
        <f t="array" ref="O90">_xlfn.IFS(
  I90 &lt;= $Q$2, "Low",
  I90 &lt;= $Q$3, "Mid-Low",
  I90 &lt;= $Q$4, "Mid-High",
  TRUE,                 "High"
)</f>
        <v>Low</v>
      </c>
      <c r="P90" s="3" t="s">
        <v>121</v>
      </c>
      <c r="Q90" s="3"/>
      <c r="R90" s="3"/>
      <c r="S90" s="3"/>
      <c r="T90" s="3"/>
      <c r="U90" s="3"/>
    </row>
    <row r="91" spans="1:21" x14ac:dyDescent="0.2">
      <c r="A91" s="3">
        <v>90</v>
      </c>
      <c r="B91" s="3">
        <v>33</v>
      </c>
      <c r="C91" s="3" t="s">
        <v>15</v>
      </c>
      <c r="D91" s="3">
        <v>33</v>
      </c>
      <c r="E91" s="3">
        <v>54.51</v>
      </c>
      <c r="F91" s="3" t="s">
        <v>20</v>
      </c>
      <c r="G91" s="3" t="s">
        <v>24</v>
      </c>
      <c r="H91" s="3">
        <v>1</v>
      </c>
      <c r="I91" s="3">
        <v>31.2</v>
      </c>
      <c r="J91" s="3">
        <v>2</v>
      </c>
      <c r="K91" s="3">
        <v>1716.17</v>
      </c>
      <c r="L91" s="3">
        <v>1</v>
      </c>
      <c r="M91" s="3" t="s">
        <v>89</v>
      </c>
      <c r="N91" s="3" t="s">
        <v>94</v>
      </c>
      <c r="O91" s="3" t="str" cm="1">
        <f t="array" ref="O91">_xlfn.IFS(
  I91 &lt;= $Q$2, "Low",
  I91 &lt;= $Q$3, "Mid-Low",
  I91 &lt;= $Q$4, "Mid-High",
  TRUE,                 "High"
)</f>
        <v>Mid-Low</v>
      </c>
      <c r="P91" s="3" t="s">
        <v>122</v>
      </c>
      <c r="Q91" s="3"/>
      <c r="R91" s="3"/>
      <c r="S91" s="3"/>
      <c r="T91" s="3"/>
      <c r="U91" s="3"/>
    </row>
    <row r="92" spans="1:21" x14ac:dyDescent="0.2">
      <c r="A92" s="3">
        <v>91</v>
      </c>
      <c r="B92" s="3">
        <v>62</v>
      </c>
      <c r="C92" s="3" t="s">
        <v>16</v>
      </c>
      <c r="D92" s="3">
        <v>40</v>
      </c>
      <c r="E92" s="3">
        <v>54.76</v>
      </c>
      <c r="F92" s="3" t="s">
        <v>20</v>
      </c>
      <c r="G92" s="3" t="s">
        <v>23</v>
      </c>
      <c r="H92" s="3">
        <v>1</v>
      </c>
      <c r="I92" s="3">
        <v>31.2</v>
      </c>
      <c r="J92" s="3">
        <v>9</v>
      </c>
      <c r="K92" s="3">
        <v>2394.73</v>
      </c>
      <c r="L92" s="3">
        <v>0</v>
      </c>
      <c r="M92" s="3" t="s">
        <v>89</v>
      </c>
      <c r="N92" s="3" t="s">
        <v>97</v>
      </c>
      <c r="O92" s="3" t="str" cm="1">
        <f t="array" ref="O92">_xlfn.IFS(
  I92 &lt;= $Q$2, "Low",
  I92 &lt;= $Q$3, "Mid-Low",
  I92 &lt;= $Q$4, "Mid-High",
  TRUE,                 "High"
)</f>
        <v>Mid-Low</v>
      </c>
      <c r="P92" s="3" t="s">
        <v>122</v>
      </c>
      <c r="Q92" s="3"/>
      <c r="R92" s="3"/>
      <c r="S92" s="3"/>
      <c r="T92" s="3"/>
      <c r="U92" s="3"/>
    </row>
    <row r="93" spans="1:21" x14ac:dyDescent="0.2">
      <c r="A93" s="3">
        <v>92</v>
      </c>
      <c r="B93" s="3">
        <v>35</v>
      </c>
      <c r="C93" s="3" t="s">
        <v>16</v>
      </c>
      <c r="D93" s="3">
        <v>43</v>
      </c>
      <c r="E93" s="3">
        <v>23.18</v>
      </c>
      <c r="F93" s="3" t="s">
        <v>18</v>
      </c>
      <c r="G93" s="3" t="s">
        <v>22</v>
      </c>
      <c r="H93" s="3">
        <v>2</v>
      </c>
      <c r="I93" s="3">
        <v>79.8</v>
      </c>
      <c r="J93" s="3">
        <v>6</v>
      </c>
      <c r="K93" s="3">
        <v>1008.24</v>
      </c>
      <c r="L93" s="3">
        <v>1</v>
      </c>
      <c r="M93" s="3" t="s">
        <v>89</v>
      </c>
      <c r="N93" s="3" t="s">
        <v>95</v>
      </c>
      <c r="O93" s="3" t="str" cm="1">
        <f t="array" ref="O93">_xlfn.IFS(
  I93 &lt;= $Q$2, "Low",
  I93 &lt;= $Q$3, "Mid-Low",
  I93 &lt;= $Q$4, "Mid-High",
  TRUE,                 "High"
)</f>
        <v>High</v>
      </c>
      <c r="P93" s="3" t="s">
        <v>73</v>
      </c>
      <c r="Q93" s="3"/>
      <c r="R93" s="3"/>
      <c r="S93" s="3"/>
      <c r="T93" s="3"/>
      <c r="U93" s="3"/>
    </row>
    <row r="94" spans="1:21" x14ac:dyDescent="0.2">
      <c r="A94" s="3">
        <v>93</v>
      </c>
      <c r="B94" s="3">
        <v>64</v>
      </c>
      <c r="C94" s="3" t="s">
        <v>16</v>
      </c>
      <c r="D94" s="3">
        <v>44</v>
      </c>
      <c r="E94" s="3">
        <v>74.87</v>
      </c>
      <c r="F94" s="3" t="s">
        <v>20</v>
      </c>
      <c r="G94" s="3" t="s">
        <v>22</v>
      </c>
      <c r="H94" s="3">
        <v>2</v>
      </c>
      <c r="I94" s="3">
        <v>97.6</v>
      </c>
      <c r="J94" s="3">
        <v>9</v>
      </c>
      <c r="K94" s="3">
        <v>3193.66</v>
      </c>
      <c r="L94" s="3">
        <v>1</v>
      </c>
      <c r="M94" s="3" t="s">
        <v>89</v>
      </c>
      <c r="N94" s="3" t="s">
        <v>97</v>
      </c>
      <c r="O94" s="3" t="str" cm="1">
        <f t="array" ref="O94">_xlfn.IFS(
  I94 &lt;= $Q$2, "Low",
  I94 &lt;= $Q$3, "Mid-Low",
  I94 &lt;= $Q$4, "Mid-High",
  TRUE,                 "High"
)</f>
        <v>High</v>
      </c>
      <c r="P94" s="3" t="s">
        <v>75</v>
      </c>
      <c r="Q94" s="3"/>
      <c r="R94" s="3"/>
      <c r="S94" s="3"/>
      <c r="T94" s="3"/>
      <c r="U94" s="3"/>
    </row>
    <row r="95" spans="1:21" x14ac:dyDescent="0.2">
      <c r="A95" s="3">
        <v>94</v>
      </c>
      <c r="B95" s="3">
        <v>41</v>
      </c>
      <c r="C95" s="3" t="s">
        <v>16</v>
      </c>
      <c r="D95" s="3">
        <v>29</v>
      </c>
      <c r="E95" s="3">
        <v>73.44</v>
      </c>
      <c r="F95" s="3" t="s">
        <v>20</v>
      </c>
      <c r="G95" s="3" t="s">
        <v>22</v>
      </c>
      <c r="H95" s="3">
        <v>3</v>
      </c>
      <c r="I95" s="3">
        <v>40.299999999999997</v>
      </c>
      <c r="J95" s="3">
        <v>8</v>
      </c>
      <c r="K95" s="3">
        <v>2164.04</v>
      </c>
      <c r="L95" s="3">
        <v>0</v>
      </c>
      <c r="M95" s="3" t="s">
        <v>89</v>
      </c>
      <c r="N95" s="3" t="s">
        <v>96</v>
      </c>
      <c r="O95" s="3" t="str" cm="1">
        <f t="array" ref="O95">_xlfn.IFS(
  I95 &lt;= $Q$2, "Low",
  I95 &lt;= $Q$3, "Mid-Low",
  I95 &lt;= $Q$4, "Mid-High",
  TRUE,                 "High"
)</f>
        <v>Mid-Low</v>
      </c>
      <c r="P95" s="3" t="s">
        <v>122</v>
      </c>
      <c r="Q95" s="3"/>
      <c r="R95" s="3"/>
      <c r="S95" s="3"/>
      <c r="T95" s="3"/>
      <c r="U95" s="3"/>
    </row>
    <row r="96" spans="1:21" x14ac:dyDescent="0.2">
      <c r="A96" s="3">
        <v>95</v>
      </c>
      <c r="B96" s="3">
        <v>43</v>
      </c>
      <c r="C96" s="3" t="s">
        <v>15</v>
      </c>
      <c r="D96" s="3">
        <v>13</v>
      </c>
      <c r="E96" s="3">
        <v>55.6</v>
      </c>
      <c r="F96" s="3" t="s">
        <v>18</v>
      </c>
      <c r="G96" s="3" t="s">
        <v>22</v>
      </c>
      <c r="H96" s="3">
        <v>3</v>
      </c>
      <c r="I96" s="3">
        <v>45.7</v>
      </c>
      <c r="J96" s="3">
        <v>7</v>
      </c>
      <c r="K96" s="3">
        <v>670.64</v>
      </c>
      <c r="L96" s="3">
        <v>0</v>
      </c>
      <c r="M96" s="3" t="s">
        <v>91</v>
      </c>
      <c r="N96" s="3" t="s">
        <v>96</v>
      </c>
      <c r="O96" s="3" t="str" cm="1">
        <f t="array" ref="O96">_xlfn.IFS(
  I96 &lt;= $Q$2, "Low",
  I96 &lt;= $Q$3, "Mid-Low",
  I96 &lt;= $Q$4, "Mid-High",
  TRUE,                 "High"
)</f>
        <v>Mid-Low</v>
      </c>
      <c r="P96" s="3" t="s">
        <v>122</v>
      </c>
      <c r="Q96" s="3"/>
      <c r="R96" s="3"/>
      <c r="S96" s="3"/>
      <c r="T96" s="3"/>
      <c r="U96" s="3"/>
    </row>
    <row r="97" spans="1:21" x14ac:dyDescent="0.2">
      <c r="A97" s="3">
        <v>96</v>
      </c>
      <c r="B97" s="3">
        <v>42</v>
      </c>
      <c r="C97" s="3" t="s">
        <v>15</v>
      </c>
      <c r="D97" s="3">
        <v>12</v>
      </c>
      <c r="E97" s="3">
        <v>109.42</v>
      </c>
      <c r="F97" s="3" t="s">
        <v>20</v>
      </c>
      <c r="G97" s="3" t="s">
        <v>22</v>
      </c>
      <c r="H97" s="3">
        <v>0</v>
      </c>
      <c r="I97" s="3">
        <v>85.3</v>
      </c>
      <c r="J97" s="3">
        <v>1</v>
      </c>
      <c r="K97" s="3">
        <v>1298.3499999999999</v>
      </c>
      <c r="L97" s="3">
        <v>1</v>
      </c>
      <c r="M97" s="3" t="s">
        <v>93</v>
      </c>
      <c r="N97" s="3" t="s">
        <v>94</v>
      </c>
      <c r="O97" s="3" t="str" cm="1">
        <f t="array" ref="O97">_xlfn.IFS(
  I97 &lt;= $Q$2, "Low",
  I97 &lt;= $Q$3, "Mid-Low",
  I97 &lt;= $Q$4, "Mid-High",
  TRUE,                 "High"
)</f>
        <v>High</v>
      </c>
      <c r="P97" s="3" t="s">
        <v>121</v>
      </c>
      <c r="Q97" s="3"/>
      <c r="R97" s="3"/>
      <c r="S97" s="3"/>
      <c r="T97" s="3"/>
      <c r="U97" s="3"/>
    </row>
    <row r="98" spans="1:21" x14ac:dyDescent="0.2">
      <c r="A98" s="3">
        <v>97</v>
      </c>
      <c r="B98" s="3">
        <v>62</v>
      </c>
      <c r="C98" s="3" t="s">
        <v>15</v>
      </c>
      <c r="D98" s="3">
        <v>46</v>
      </c>
      <c r="E98" s="3">
        <v>32.869999999999997</v>
      </c>
      <c r="F98" s="3" t="s">
        <v>18</v>
      </c>
      <c r="G98" s="3" t="s">
        <v>23</v>
      </c>
      <c r="H98" s="3">
        <v>6</v>
      </c>
      <c r="I98" s="3">
        <v>30.5</v>
      </c>
      <c r="J98" s="3">
        <v>3</v>
      </c>
      <c r="K98" s="3">
        <v>1550.19</v>
      </c>
      <c r="L98" s="3">
        <v>1</v>
      </c>
      <c r="M98" s="3" t="s">
        <v>89</v>
      </c>
      <c r="N98" s="3" t="s">
        <v>94</v>
      </c>
      <c r="O98" s="3" t="str" cm="1">
        <f t="array" ref="O98">_xlfn.IFS(
  I98 &lt;= $Q$2, "Low",
  I98 &lt;= $Q$3, "Mid-Low",
  I98 &lt;= $Q$4, "Mid-High",
  TRUE,                 "High"
)</f>
        <v>Mid-Low</v>
      </c>
      <c r="P98" s="3" t="s">
        <v>73</v>
      </c>
      <c r="Q98" s="3"/>
      <c r="R98" s="3"/>
      <c r="S98" s="3"/>
      <c r="T98" s="3"/>
      <c r="U98" s="3"/>
    </row>
    <row r="99" spans="1:21" x14ac:dyDescent="0.2">
      <c r="A99" s="3">
        <v>98</v>
      </c>
      <c r="B99" s="3">
        <v>58</v>
      </c>
      <c r="C99" s="3" t="s">
        <v>15</v>
      </c>
      <c r="D99" s="3">
        <v>2</v>
      </c>
      <c r="E99" s="3">
        <v>53.01</v>
      </c>
      <c r="F99" s="3" t="s">
        <v>20</v>
      </c>
      <c r="G99" s="3" t="s">
        <v>23</v>
      </c>
      <c r="H99" s="3">
        <v>1</v>
      </c>
      <c r="I99" s="3">
        <v>19.899999999999999</v>
      </c>
      <c r="J99" s="3">
        <v>2</v>
      </c>
      <c r="K99" s="3">
        <v>105.78</v>
      </c>
      <c r="L99" s="3">
        <v>1</v>
      </c>
      <c r="M99" s="3" t="s">
        <v>90</v>
      </c>
      <c r="N99" s="3" t="s">
        <v>94</v>
      </c>
      <c r="O99" s="3" t="str" cm="1">
        <f t="array" ref="O99">_xlfn.IFS(
  I99 &lt;= $Q$2, "Low",
  I99 &lt;= $Q$3, "Mid-Low",
  I99 &lt;= $Q$4, "Mid-High",
  TRUE,                 "High"
)</f>
        <v>Low</v>
      </c>
      <c r="P99" s="3" t="s">
        <v>122</v>
      </c>
      <c r="Q99" s="3"/>
      <c r="R99" s="3"/>
      <c r="S99" s="3"/>
      <c r="T99" s="3"/>
      <c r="U99" s="3"/>
    </row>
    <row r="100" spans="1:21" x14ac:dyDescent="0.2">
      <c r="A100" s="3">
        <v>99</v>
      </c>
      <c r="B100" s="3">
        <v>46</v>
      </c>
      <c r="C100" s="3" t="s">
        <v>15</v>
      </c>
      <c r="D100" s="3">
        <v>35</v>
      </c>
      <c r="E100" s="3">
        <v>52.16</v>
      </c>
      <c r="F100" s="3" t="s">
        <v>20</v>
      </c>
      <c r="G100" s="3" t="s">
        <v>23</v>
      </c>
      <c r="H100" s="3">
        <v>4</v>
      </c>
      <c r="I100" s="3">
        <v>86</v>
      </c>
      <c r="J100" s="3">
        <v>5</v>
      </c>
      <c r="K100" s="3">
        <v>1789.74</v>
      </c>
      <c r="L100" s="3">
        <v>1</v>
      </c>
      <c r="M100" s="3" t="s">
        <v>89</v>
      </c>
      <c r="N100" s="3" t="s">
        <v>95</v>
      </c>
      <c r="O100" s="3" t="str" cm="1">
        <f t="array" ref="O100">_xlfn.IFS(
  I100 &lt;= $Q$2, "Low",
  I100 &lt;= $Q$3, "Mid-Low",
  I100 &lt;= $Q$4, "Mid-High",
  TRUE,                 "High"
)</f>
        <v>High</v>
      </c>
      <c r="P100" s="3" t="s">
        <v>122</v>
      </c>
      <c r="Q100" s="3"/>
      <c r="R100" s="3"/>
      <c r="S100" s="3"/>
      <c r="T100" s="3"/>
      <c r="U100" s="3"/>
    </row>
    <row r="101" spans="1:21" x14ac:dyDescent="0.2">
      <c r="A101" s="3">
        <v>100</v>
      </c>
      <c r="B101" s="3">
        <v>32</v>
      </c>
      <c r="C101" s="3" t="s">
        <v>15</v>
      </c>
      <c r="D101" s="3">
        <v>8</v>
      </c>
      <c r="E101" s="3">
        <v>29.23</v>
      </c>
      <c r="F101" s="3" t="s">
        <v>18</v>
      </c>
      <c r="G101" s="3" t="s">
        <v>23</v>
      </c>
      <c r="H101" s="3">
        <v>0</v>
      </c>
      <c r="I101" s="3">
        <v>9.4</v>
      </c>
      <c r="J101" s="3">
        <v>5</v>
      </c>
      <c r="K101" s="3">
        <v>256.94</v>
      </c>
      <c r="L101" s="3">
        <v>0</v>
      </c>
      <c r="M101" s="3" t="s">
        <v>93</v>
      </c>
      <c r="N101" s="3" t="s">
        <v>95</v>
      </c>
      <c r="O101" s="3" t="str" cm="1">
        <f t="array" ref="O101">_xlfn.IFS(
  I101 &lt;= $Q$2, "Low",
  I101 &lt;= $Q$3, "Mid-Low",
  I101 &lt;= $Q$4, "Mid-High",
  TRUE,                 "High"
)</f>
        <v>Low</v>
      </c>
      <c r="P101" s="3" t="s">
        <v>73</v>
      </c>
      <c r="Q101" s="3"/>
      <c r="R101" s="3"/>
      <c r="S101" s="3"/>
      <c r="T101" s="3"/>
      <c r="U101" s="3"/>
    </row>
    <row r="102" spans="1:21" x14ac:dyDescent="0.2">
      <c r="A102" s="3">
        <v>101</v>
      </c>
      <c r="B102" s="3">
        <v>62</v>
      </c>
      <c r="C102" s="3" t="s">
        <v>16</v>
      </c>
      <c r="D102" s="3">
        <v>26</v>
      </c>
      <c r="E102" s="3">
        <v>68.11</v>
      </c>
      <c r="F102" s="3" t="s">
        <v>20</v>
      </c>
      <c r="G102" s="3" t="s">
        <v>22</v>
      </c>
      <c r="H102" s="3">
        <v>1</v>
      </c>
      <c r="I102" s="3">
        <v>63.9</v>
      </c>
      <c r="J102" s="3">
        <v>5</v>
      </c>
      <c r="K102" s="3">
        <v>1905.56</v>
      </c>
      <c r="L102" s="3">
        <v>0</v>
      </c>
      <c r="M102" s="3" t="s">
        <v>89</v>
      </c>
      <c r="N102" s="3" t="s">
        <v>95</v>
      </c>
      <c r="O102" s="3" t="str" cm="1">
        <f t="array" ref="O102">_xlfn.IFS(
  I102 &lt;= $Q$2, "Low",
  I102 &lt;= $Q$3, "Mid-Low",
  I102 &lt;= $Q$4, "Mid-High",
  TRUE,                 "High"
)</f>
        <v>Mid-High</v>
      </c>
      <c r="P102" s="3" t="s">
        <v>122</v>
      </c>
      <c r="Q102" s="3"/>
      <c r="R102" s="3"/>
      <c r="S102" s="3"/>
      <c r="T102" s="3"/>
      <c r="U102" s="3"/>
    </row>
    <row r="103" spans="1:21" x14ac:dyDescent="0.2">
      <c r="A103" s="3">
        <v>102</v>
      </c>
      <c r="B103" s="3">
        <v>18</v>
      </c>
      <c r="C103" s="3" t="s">
        <v>15</v>
      </c>
      <c r="D103" s="3">
        <v>34</v>
      </c>
      <c r="E103" s="3">
        <v>88.78</v>
      </c>
      <c r="F103" s="3" t="s">
        <v>20</v>
      </c>
      <c r="G103" s="3" t="s">
        <v>24</v>
      </c>
      <c r="H103" s="3">
        <v>6</v>
      </c>
      <c r="I103" s="3">
        <v>58.4</v>
      </c>
      <c r="J103" s="3">
        <v>4</v>
      </c>
      <c r="K103" s="3">
        <v>3093.02</v>
      </c>
      <c r="L103" s="3">
        <v>1</v>
      </c>
      <c r="M103" s="3" t="s">
        <v>89</v>
      </c>
      <c r="N103" s="3" t="s">
        <v>94</v>
      </c>
      <c r="O103" s="3" t="str" cm="1">
        <f t="array" ref="O103">_xlfn.IFS(
  I103 &lt;= $Q$2, "Low",
  I103 &lt;= $Q$3, "Mid-Low",
  I103 &lt;= $Q$4, "Mid-High",
  TRUE,                 "High"
)</f>
        <v>Mid-High</v>
      </c>
      <c r="P103" s="3" t="s">
        <v>75</v>
      </c>
      <c r="Q103" s="3"/>
      <c r="R103" s="3"/>
      <c r="S103" s="3"/>
      <c r="T103" s="3"/>
      <c r="U103" s="3"/>
    </row>
    <row r="104" spans="1:21" x14ac:dyDescent="0.2">
      <c r="A104" s="3">
        <v>103</v>
      </c>
      <c r="B104" s="3">
        <v>42</v>
      </c>
      <c r="C104" s="3" t="s">
        <v>16</v>
      </c>
      <c r="D104" s="3">
        <v>7</v>
      </c>
      <c r="E104" s="3">
        <v>71.17</v>
      </c>
      <c r="F104" s="3" t="s">
        <v>20</v>
      </c>
      <c r="G104" s="3" t="s">
        <v>23</v>
      </c>
      <c r="H104" s="3">
        <v>2</v>
      </c>
      <c r="I104" s="3">
        <v>37.9</v>
      </c>
      <c r="J104" s="3">
        <v>5</v>
      </c>
      <c r="K104" s="3">
        <v>505.1</v>
      </c>
      <c r="L104" s="3">
        <v>1</v>
      </c>
      <c r="M104" s="3" t="s">
        <v>93</v>
      </c>
      <c r="N104" s="3" t="s">
        <v>95</v>
      </c>
      <c r="O104" s="3" t="str" cm="1">
        <f t="array" ref="O104">_xlfn.IFS(
  I104 &lt;= $Q$2, "Low",
  I104 &lt;= $Q$3, "Mid-Low",
  I104 &lt;= $Q$4, "Mid-High",
  TRUE,                 "High"
)</f>
        <v>Mid-Low</v>
      </c>
      <c r="P104" s="3" t="s">
        <v>122</v>
      </c>
      <c r="Q104" s="3"/>
      <c r="R104" s="3"/>
      <c r="S104" s="3"/>
      <c r="T104" s="3"/>
      <c r="U104" s="3"/>
    </row>
    <row r="105" spans="1:21" x14ac:dyDescent="0.2">
      <c r="A105" s="3">
        <v>104</v>
      </c>
      <c r="B105" s="3">
        <v>24</v>
      </c>
      <c r="C105" s="3" t="s">
        <v>16</v>
      </c>
      <c r="D105" s="3">
        <v>68</v>
      </c>
      <c r="E105" s="3">
        <v>35.700000000000003</v>
      </c>
      <c r="F105" s="3" t="s">
        <v>20</v>
      </c>
      <c r="G105" s="3" t="s">
        <v>24</v>
      </c>
      <c r="H105" s="3">
        <v>2</v>
      </c>
      <c r="I105" s="3">
        <v>34.9</v>
      </c>
      <c r="J105" s="3">
        <v>3</v>
      </c>
      <c r="K105" s="3">
        <v>2486.1799999999998</v>
      </c>
      <c r="L105" s="3">
        <v>1</v>
      </c>
      <c r="M105" s="3" t="s">
        <v>89</v>
      </c>
      <c r="N105" s="3" t="s">
        <v>94</v>
      </c>
      <c r="O105" s="3" t="str" cm="1">
        <f t="array" ref="O105">_xlfn.IFS(
  I105 &lt;= $Q$2, "Low",
  I105 &lt;= $Q$3, "Mid-Low",
  I105 &lt;= $Q$4, "Mid-High",
  TRUE,                 "High"
)</f>
        <v>Mid-Low</v>
      </c>
      <c r="P105" s="3" t="s">
        <v>73</v>
      </c>
      <c r="Q105" s="3"/>
      <c r="R105" s="3"/>
      <c r="S105" s="3"/>
      <c r="T105" s="3"/>
      <c r="U105" s="3"/>
    </row>
    <row r="106" spans="1:21" x14ac:dyDescent="0.2">
      <c r="A106" s="3">
        <v>105</v>
      </c>
      <c r="B106" s="3">
        <v>26</v>
      </c>
      <c r="C106" s="3" t="s">
        <v>15</v>
      </c>
      <c r="D106" s="3">
        <v>58</v>
      </c>
      <c r="E106" s="3">
        <v>57.73</v>
      </c>
      <c r="F106" s="3" t="s">
        <v>18</v>
      </c>
      <c r="G106" s="3" t="s">
        <v>23</v>
      </c>
      <c r="H106" s="3">
        <v>2</v>
      </c>
      <c r="I106" s="3">
        <v>78.3</v>
      </c>
      <c r="J106" s="3">
        <v>1</v>
      </c>
      <c r="K106" s="3">
        <v>3148.32</v>
      </c>
      <c r="L106" s="3">
        <v>1</v>
      </c>
      <c r="M106" s="3" t="s">
        <v>89</v>
      </c>
      <c r="N106" s="3" t="s">
        <v>94</v>
      </c>
      <c r="O106" s="3" t="str" cm="1">
        <f t="array" ref="O106">_xlfn.IFS(
  I106 &lt;= $Q$2, "Low",
  I106 &lt;= $Q$3, "Mid-Low",
  I106 &lt;= $Q$4, "Mid-High",
  TRUE,                 "High"
)</f>
        <v>High</v>
      </c>
      <c r="P106" s="3" t="s">
        <v>122</v>
      </c>
      <c r="Q106" s="3"/>
      <c r="R106" s="3"/>
      <c r="S106" s="3"/>
      <c r="T106" s="3"/>
      <c r="U106" s="3"/>
    </row>
    <row r="107" spans="1:21" x14ac:dyDescent="0.2">
      <c r="A107" s="3">
        <v>106</v>
      </c>
      <c r="B107" s="3">
        <v>41</v>
      </c>
      <c r="C107" s="3" t="s">
        <v>16</v>
      </c>
      <c r="D107" s="3">
        <v>29</v>
      </c>
      <c r="E107" s="3">
        <v>20.260000000000002</v>
      </c>
      <c r="F107" s="3" t="s">
        <v>20</v>
      </c>
      <c r="G107" s="3" t="s">
        <v>23</v>
      </c>
      <c r="H107" s="3">
        <v>3</v>
      </c>
      <c r="I107" s="3">
        <v>13.2</v>
      </c>
      <c r="J107" s="3">
        <v>5</v>
      </c>
      <c r="K107" s="3">
        <v>575.22</v>
      </c>
      <c r="L107" s="3">
        <v>0</v>
      </c>
      <c r="M107" s="3" t="s">
        <v>89</v>
      </c>
      <c r="N107" s="3" t="s">
        <v>95</v>
      </c>
      <c r="O107" s="3" t="str" cm="1">
        <f t="array" ref="O107">_xlfn.IFS(
  I107 &lt;= $Q$2, "Low",
  I107 &lt;= $Q$3, "Mid-Low",
  I107 &lt;= $Q$4, "Mid-High",
  TRUE,                 "High"
)</f>
        <v>Low</v>
      </c>
      <c r="P107" s="3" t="s">
        <v>73</v>
      </c>
      <c r="Q107" s="3"/>
      <c r="R107" s="3"/>
      <c r="S107" s="3"/>
      <c r="T107" s="3"/>
      <c r="U107" s="3"/>
    </row>
    <row r="108" spans="1:21" x14ac:dyDescent="0.2">
      <c r="A108" s="3">
        <v>107</v>
      </c>
      <c r="B108" s="3">
        <v>18</v>
      </c>
      <c r="C108" s="3" t="s">
        <v>15</v>
      </c>
      <c r="D108" s="3">
        <v>36</v>
      </c>
      <c r="E108" s="3">
        <v>106.83</v>
      </c>
      <c r="F108" s="3" t="s">
        <v>20</v>
      </c>
      <c r="G108" s="3" t="s">
        <v>24</v>
      </c>
      <c r="H108" s="3">
        <v>0</v>
      </c>
      <c r="I108" s="3">
        <v>27.5</v>
      </c>
      <c r="J108" s="3">
        <v>9</v>
      </c>
      <c r="K108" s="3">
        <v>3491.64</v>
      </c>
      <c r="L108" s="3">
        <v>0</v>
      </c>
      <c r="M108" s="3" t="s">
        <v>89</v>
      </c>
      <c r="N108" s="3" t="s">
        <v>97</v>
      </c>
      <c r="O108" s="3" t="str" cm="1">
        <f t="array" ref="O108">_xlfn.IFS(
  I108 &lt;= $Q$2, "Low",
  I108 &lt;= $Q$3, "Mid-Low",
  I108 &lt;= $Q$4, "Mid-High",
  TRUE,                 "High"
)</f>
        <v>Mid-Low</v>
      </c>
      <c r="P108" s="3" t="s">
        <v>121</v>
      </c>
      <c r="Q108" s="3"/>
      <c r="R108" s="3"/>
      <c r="S108" s="3"/>
      <c r="T108" s="3"/>
      <c r="U108" s="3"/>
    </row>
    <row r="109" spans="1:21" x14ac:dyDescent="0.2">
      <c r="A109" s="3">
        <v>108</v>
      </c>
      <c r="B109" s="3">
        <v>61</v>
      </c>
      <c r="C109" s="3" t="s">
        <v>16</v>
      </c>
      <c r="D109" s="3">
        <v>21</v>
      </c>
      <c r="E109" s="3">
        <v>28.45</v>
      </c>
      <c r="F109" s="3" t="s">
        <v>20</v>
      </c>
      <c r="G109" s="3" t="s">
        <v>22</v>
      </c>
      <c r="H109" s="3">
        <v>1</v>
      </c>
      <c r="I109" s="3">
        <v>74.599999999999994</v>
      </c>
      <c r="J109" s="3">
        <v>9</v>
      </c>
      <c r="K109" s="3">
        <v>594.53</v>
      </c>
      <c r="L109" s="3">
        <v>0</v>
      </c>
      <c r="M109" s="3" t="s">
        <v>91</v>
      </c>
      <c r="N109" s="3" t="s">
        <v>97</v>
      </c>
      <c r="O109" s="3" t="str" cm="1">
        <f t="array" ref="O109">_xlfn.IFS(
  I109 &lt;= $Q$2, "Low",
  I109 &lt;= $Q$3, "Mid-Low",
  I109 &lt;= $Q$4, "Mid-High",
  TRUE,                 "High"
)</f>
        <v>Mid-High</v>
      </c>
      <c r="P109" s="3" t="s">
        <v>73</v>
      </c>
      <c r="Q109" s="3"/>
      <c r="R109" s="3"/>
      <c r="S109" s="3"/>
      <c r="T109" s="3"/>
      <c r="U109" s="3"/>
    </row>
    <row r="110" spans="1:21" x14ac:dyDescent="0.2">
      <c r="A110" s="3">
        <v>109</v>
      </c>
      <c r="B110" s="3">
        <v>25</v>
      </c>
      <c r="C110" s="3" t="s">
        <v>15</v>
      </c>
      <c r="D110" s="3">
        <v>36</v>
      </c>
      <c r="E110" s="3">
        <v>79.73</v>
      </c>
      <c r="F110" s="3" t="s">
        <v>18</v>
      </c>
      <c r="G110" s="3" t="s">
        <v>23</v>
      </c>
      <c r="H110" s="3">
        <v>3</v>
      </c>
      <c r="I110" s="3">
        <v>57.1</v>
      </c>
      <c r="J110" s="3">
        <v>4</v>
      </c>
      <c r="K110" s="3">
        <v>2894.98</v>
      </c>
      <c r="L110" s="3">
        <v>1</v>
      </c>
      <c r="M110" s="3" t="s">
        <v>89</v>
      </c>
      <c r="N110" s="3" t="s">
        <v>94</v>
      </c>
      <c r="O110" s="3" t="str" cm="1">
        <f t="array" ref="O110">_xlfn.IFS(
  I110 &lt;= $Q$2, "Low",
  I110 &lt;= $Q$3, "Mid-Low",
  I110 &lt;= $Q$4, "Mid-High",
  TRUE,                 "High"
)</f>
        <v>Mid-High</v>
      </c>
      <c r="P110" s="3" t="s">
        <v>75</v>
      </c>
      <c r="Q110" s="3"/>
      <c r="R110" s="3"/>
      <c r="S110" s="3"/>
      <c r="T110" s="3"/>
      <c r="U110" s="3"/>
    </row>
    <row r="111" spans="1:21" x14ac:dyDescent="0.2">
      <c r="A111" s="3">
        <v>110</v>
      </c>
      <c r="B111" s="3">
        <v>41</v>
      </c>
      <c r="C111" s="3" t="s">
        <v>16</v>
      </c>
      <c r="D111" s="3">
        <v>10</v>
      </c>
      <c r="E111" s="3">
        <v>118.63</v>
      </c>
      <c r="F111" s="3" t="s">
        <v>20</v>
      </c>
      <c r="G111" s="3" t="s">
        <v>23</v>
      </c>
      <c r="H111" s="3">
        <v>4</v>
      </c>
      <c r="I111" s="3">
        <v>17.2</v>
      </c>
      <c r="J111" s="3">
        <v>3</v>
      </c>
      <c r="K111" s="3">
        <v>1121.71</v>
      </c>
      <c r="L111" s="3">
        <v>0</v>
      </c>
      <c r="M111" s="3" t="s">
        <v>93</v>
      </c>
      <c r="N111" s="3" t="s">
        <v>94</v>
      </c>
      <c r="O111" s="3" t="str" cm="1">
        <f t="array" ref="O111">_xlfn.IFS(
  I111 &lt;= $Q$2, "Low",
  I111 &lt;= $Q$3, "Mid-Low",
  I111 &lt;= $Q$4, "Mid-High",
  TRUE,                 "High"
)</f>
        <v>Low</v>
      </c>
      <c r="P111" s="3" t="s">
        <v>121</v>
      </c>
      <c r="Q111" s="3"/>
      <c r="R111" s="3"/>
      <c r="S111" s="3"/>
      <c r="T111" s="3"/>
      <c r="U111" s="3"/>
    </row>
    <row r="112" spans="1:21" x14ac:dyDescent="0.2">
      <c r="A112" s="3">
        <v>111</v>
      </c>
      <c r="B112" s="3">
        <v>28</v>
      </c>
      <c r="C112" s="3" t="s">
        <v>15</v>
      </c>
      <c r="D112" s="3">
        <v>24</v>
      </c>
      <c r="E112" s="3">
        <v>73.66</v>
      </c>
      <c r="F112" s="3" t="s">
        <v>19</v>
      </c>
      <c r="G112" s="3" t="s">
        <v>23</v>
      </c>
      <c r="H112" s="3">
        <v>1</v>
      </c>
      <c r="I112" s="3">
        <v>88.8</v>
      </c>
      <c r="J112" s="3">
        <v>1</v>
      </c>
      <c r="K112" s="3">
        <v>1931.91</v>
      </c>
      <c r="L112" s="3">
        <v>0</v>
      </c>
      <c r="M112" s="3" t="s">
        <v>91</v>
      </c>
      <c r="N112" s="3" t="s">
        <v>94</v>
      </c>
      <c r="O112" s="3" t="str" cm="1">
        <f t="array" ref="O112">_xlfn.IFS(
  I112 &lt;= $Q$2, "Low",
  I112 &lt;= $Q$3, "Mid-Low",
  I112 &lt;= $Q$4, "Mid-High",
  TRUE,                 "High"
)</f>
        <v>High</v>
      </c>
      <c r="P112" s="3" t="s">
        <v>75</v>
      </c>
      <c r="Q112" s="3"/>
      <c r="R112" s="3"/>
      <c r="S112" s="3"/>
      <c r="T112" s="3"/>
      <c r="U112" s="3"/>
    </row>
    <row r="113" spans="1:21" x14ac:dyDescent="0.2">
      <c r="A113" s="3">
        <v>112</v>
      </c>
      <c r="B113" s="3">
        <v>68</v>
      </c>
      <c r="C113" s="3" t="s">
        <v>15</v>
      </c>
      <c r="D113" s="3">
        <v>64</v>
      </c>
      <c r="E113" s="3">
        <v>112.4</v>
      </c>
      <c r="F113" s="3" t="s">
        <v>20</v>
      </c>
      <c r="G113" s="3" t="s">
        <v>24</v>
      </c>
      <c r="H113" s="3">
        <v>1</v>
      </c>
      <c r="I113" s="3">
        <v>42.4</v>
      </c>
      <c r="J113" s="3">
        <v>2</v>
      </c>
      <c r="K113" s="3">
        <v>7782.69</v>
      </c>
      <c r="L113" s="3">
        <v>0</v>
      </c>
      <c r="M113" s="3" t="s">
        <v>89</v>
      </c>
      <c r="N113" s="3" t="s">
        <v>94</v>
      </c>
      <c r="O113" s="3" t="str" cm="1">
        <f t="array" ref="O113">_xlfn.IFS(
  I113 &lt;= $Q$2, "Low",
  I113 &lt;= $Q$3, "Mid-Low",
  I113 &lt;= $Q$4, "Mid-High",
  TRUE,                 "High"
)</f>
        <v>Mid-Low</v>
      </c>
      <c r="P113" s="3" t="s">
        <v>121</v>
      </c>
      <c r="Q113" s="3"/>
      <c r="R113" s="3"/>
      <c r="S113" s="3"/>
      <c r="T113" s="3"/>
      <c r="U113" s="3"/>
    </row>
    <row r="114" spans="1:21" x14ac:dyDescent="0.2">
      <c r="A114" s="3">
        <v>113</v>
      </c>
      <c r="B114" s="3">
        <v>34</v>
      </c>
      <c r="C114" s="3" t="s">
        <v>15</v>
      </c>
      <c r="D114" s="3">
        <v>49</v>
      </c>
      <c r="E114" s="3">
        <v>43.61</v>
      </c>
      <c r="F114" s="3" t="s">
        <v>18</v>
      </c>
      <c r="G114" s="3" t="s">
        <v>22</v>
      </c>
      <c r="H114" s="3">
        <v>3</v>
      </c>
      <c r="I114" s="3">
        <v>83.6</v>
      </c>
      <c r="J114" s="3">
        <v>8</v>
      </c>
      <c r="K114" s="3">
        <v>2231.83</v>
      </c>
      <c r="L114" s="3">
        <v>0</v>
      </c>
      <c r="M114" s="3" t="s">
        <v>89</v>
      </c>
      <c r="N114" s="3" t="s">
        <v>96</v>
      </c>
      <c r="O114" s="3" t="str" cm="1">
        <f t="array" ref="O114">_xlfn.IFS(
  I114 &lt;= $Q$2, "Low",
  I114 &lt;= $Q$3, "Mid-Low",
  I114 &lt;= $Q$4, "Mid-High",
  TRUE,                 "High"
)</f>
        <v>High</v>
      </c>
      <c r="P114" s="3" t="s">
        <v>73</v>
      </c>
      <c r="Q114" s="3"/>
      <c r="R114" s="3"/>
      <c r="S114" s="3"/>
      <c r="T114" s="3"/>
      <c r="U114" s="3"/>
    </row>
    <row r="115" spans="1:21" x14ac:dyDescent="0.2">
      <c r="A115" s="3">
        <v>114</v>
      </c>
      <c r="B115" s="3">
        <v>25</v>
      </c>
      <c r="C115" s="3" t="s">
        <v>15</v>
      </c>
      <c r="D115" s="3">
        <v>36</v>
      </c>
      <c r="E115" s="3">
        <v>96</v>
      </c>
      <c r="F115" s="3" t="s">
        <v>19</v>
      </c>
      <c r="G115" s="3" t="s">
        <v>24</v>
      </c>
      <c r="H115" s="3">
        <v>4</v>
      </c>
      <c r="I115" s="3">
        <v>79.8</v>
      </c>
      <c r="J115" s="3">
        <v>1</v>
      </c>
      <c r="K115" s="3">
        <v>3479.08</v>
      </c>
      <c r="L115" s="3">
        <v>1</v>
      </c>
      <c r="M115" s="3" t="s">
        <v>89</v>
      </c>
      <c r="N115" s="3" t="s">
        <v>94</v>
      </c>
      <c r="O115" s="3" t="str" cm="1">
        <f t="array" ref="O115">_xlfn.IFS(
  I115 &lt;= $Q$2, "Low",
  I115 &lt;= $Q$3, "Mid-Low",
  I115 &lt;= $Q$4, "Mid-High",
  TRUE,                 "High"
)</f>
        <v>High</v>
      </c>
      <c r="P115" s="3" t="s">
        <v>121</v>
      </c>
      <c r="Q115" s="3"/>
      <c r="R115" s="3"/>
      <c r="S115" s="3"/>
      <c r="T115" s="3"/>
      <c r="U115" s="3"/>
    </row>
    <row r="116" spans="1:21" x14ac:dyDescent="0.2">
      <c r="A116" s="3">
        <v>115</v>
      </c>
      <c r="B116" s="3">
        <v>52</v>
      </c>
      <c r="C116" s="3" t="s">
        <v>15</v>
      </c>
      <c r="D116" s="3">
        <v>24</v>
      </c>
      <c r="E116" s="3">
        <v>73.13</v>
      </c>
      <c r="F116" s="3" t="s">
        <v>18</v>
      </c>
      <c r="G116" s="3" t="s">
        <v>24</v>
      </c>
      <c r="H116" s="3">
        <v>3</v>
      </c>
      <c r="I116" s="3">
        <v>64.3</v>
      </c>
      <c r="J116" s="3">
        <v>8</v>
      </c>
      <c r="K116" s="3">
        <v>1884.99</v>
      </c>
      <c r="L116" s="3">
        <v>0</v>
      </c>
      <c r="M116" s="3" t="s">
        <v>91</v>
      </c>
      <c r="N116" s="3" t="s">
        <v>96</v>
      </c>
      <c r="O116" s="3" t="str" cm="1">
        <f t="array" ref="O116">_xlfn.IFS(
  I116 &lt;= $Q$2, "Low",
  I116 &lt;= $Q$3, "Mid-Low",
  I116 &lt;= $Q$4, "Mid-High",
  TRUE,                 "High"
)</f>
        <v>Mid-High</v>
      </c>
      <c r="P116" s="3" t="s">
        <v>122</v>
      </c>
      <c r="Q116" s="3"/>
      <c r="R116" s="3"/>
      <c r="S116" s="3"/>
      <c r="T116" s="3"/>
      <c r="U116" s="3"/>
    </row>
    <row r="117" spans="1:21" x14ac:dyDescent="0.2">
      <c r="A117" s="3">
        <v>116</v>
      </c>
      <c r="B117" s="3">
        <v>52</v>
      </c>
      <c r="C117" s="3" t="s">
        <v>16</v>
      </c>
      <c r="D117" s="3">
        <v>23</v>
      </c>
      <c r="E117" s="3">
        <v>92.05</v>
      </c>
      <c r="F117" s="3" t="s">
        <v>19</v>
      </c>
      <c r="G117" s="3" t="s">
        <v>22</v>
      </c>
      <c r="H117" s="3">
        <v>1</v>
      </c>
      <c r="I117" s="3">
        <v>52</v>
      </c>
      <c r="J117" s="3">
        <v>7</v>
      </c>
      <c r="K117" s="3">
        <v>1960.76</v>
      </c>
      <c r="L117" s="3">
        <v>1</v>
      </c>
      <c r="M117" s="3" t="s">
        <v>91</v>
      </c>
      <c r="N117" s="3" t="s">
        <v>96</v>
      </c>
      <c r="O117" s="3" t="str" cm="1">
        <f t="array" ref="O117">_xlfn.IFS(
  I117 &lt;= $Q$2, "Low",
  I117 &lt;= $Q$3, "Mid-Low",
  I117 &lt;= $Q$4, "Mid-High",
  TRUE,                 "High"
)</f>
        <v>Mid-High</v>
      </c>
      <c r="P117" s="3" t="s">
        <v>75</v>
      </c>
      <c r="Q117" s="3"/>
      <c r="R117" s="3"/>
      <c r="S117" s="3"/>
      <c r="T117" s="3"/>
      <c r="U117" s="3"/>
    </row>
    <row r="118" spans="1:21" x14ac:dyDescent="0.2">
      <c r="A118" s="3">
        <v>117</v>
      </c>
      <c r="B118" s="3">
        <v>50</v>
      </c>
      <c r="C118" s="3" t="s">
        <v>16</v>
      </c>
      <c r="D118" s="3">
        <v>62</v>
      </c>
      <c r="E118" s="3">
        <v>26.23</v>
      </c>
      <c r="F118" s="3" t="s">
        <v>20</v>
      </c>
      <c r="G118" s="3" t="s">
        <v>24</v>
      </c>
      <c r="H118" s="3">
        <v>1</v>
      </c>
      <c r="I118" s="3">
        <v>98.1</v>
      </c>
      <c r="J118" s="3">
        <v>8</v>
      </c>
      <c r="K118" s="3">
        <v>1720.75</v>
      </c>
      <c r="L118" s="3">
        <v>1</v>
      </c>
      <c r="M118" s="3" t="s">
        <v>89</v>
      </c>
      <c r="N118" s="3" t="s">
        <v>96</v>
      </c>
      <c r="O118" s="3" t="str" cm="1">
        <f t="array" ref="O118">_xlfn.IFS(
  I118 &lt;= $Q$2, "Low",
  I118 &lt;= $Q$3, "Mid-Low",
  I118 &lt;= $Q$4, "Mid-High",
  TRUE,                 "High"
)</f>
        <v>High</v>
      </c>
      <c r="P118" s="3" t="s">
        <v>73</v>
      </c>
      <c r="Q118" s="3"/>
      <c r="R118" s="3"/>
      <c r="S118" s="3"/>
      <c r="T118" s="3"/>
      <c r="U118" s="3"/>
    </row>
    <row r="119" spans="1:21" x14ac:dyDescent="0.2">
      <c r="A119" s="3">
        <v>118</v>
      </c>
      <c r="B119" s="3">
        <v>22</v>
      </c>
      <c r="C119" s="3" t="s">
        <v>16</v>
      </c>
      <c r="D119" s="3">
        <v>37</v>
      </c>
      <c r="E119" s="3">
        <v>34.770000000000003</v>
      </c>
      <c r="F119" s="3" t="s">
        <v>20</v>
      </c>
      <c r="G119" s="3" t="s">
        <v>22</v>
      </c>
      <c r="H119" s="3">
        <v>4</v>
      </c>
      <c r="I119" s="3">
        <v>18.8</v>
      </c>
      <c r="J119" s="3">
        <v>6</v>
      </c>
      <c r="K119" s="3">
        <v>1189.96</v>
      </c>
      <c r="L119" s="3">
        <v>1</v>
      </c>
      <c r="M119" s="3" t="s">
        <v>89</v>
      </c>
      <c r="N119" s="3" t="s">
        <v>95</v>
      </c>
      <c r="O119" s="3" t="str" cm="1">
        <f t="array" ref="O119">_xlfn.IFS(
  I119 &lt;= $Q$2, "Low",
  I119 &lt;= $Q$3, "Mid-Low",
  I119 &lt;= $Q$4, "Mid-High",
  TRUE,                 "High"
)</f>
        <v>Low</v>
      </c>
      <c r="P119" s="3" t="s">
        <v>73</v>
      </c>
      <c r="Q119" s="3"/>
      <c r="R119" s="3"/>
      <c r="S119" s="3"/>
      <c r="T119" s="3"/>
      <c r="U119" s="3"/>
    </row>
    <row r="120" spans="1:21" x14ac:dyDescent="0.2">
      <c r="A120" s="3">
        <v>119</v>
      </c>
      <c r="B120" s="3">
        <v>59</v>
      </c>
      <c r="C120" s="3" t="s">
        <v>15</v>
      </c>
      <c r="D120" s="3">
        <v>12</v>
      </c>
      <c r="E120" s="3">
        <v>33.31</v>
      </c>
      <c r="F120" s="3" t="s">
        <v>20</v>
      </c>
      <c r="G120" s="3" t="s">
        <v>23</v>
      </c>
      <c r="H120" s="3">
        <v>0</v>
      </c>
      <c r="I120" s="3">
        <v>73.900000000000006</v>
      </c>
      <c r="J120" s="3">
        <v>9</v>
      </c>
      <c r="K120" s="3">
        <v>423.24</v>
      </c>
      <c r="L120" s="3">
        <v>0</v>
      </c>
      <c r="M120" s="3" t="s">
        <v>93</v>
      </c>
      <c r="N120" s="3" t="s">
        <v>97</v>
      </c>
      <c r="O120" s="3" t="str" cm="1">
        <f t="array" ref="O120">_xlfn.IFS(
  I120 &lt;= $Q$2, "Low",
  I120 &lt;= $Q$3, "Mid-Low",
  I120 &lt;= $Q$4, "Mid-High",
  TRUE,                 "High"
)</f>
        <v>Mid-High</v>
      </c>
      <c r="P120" s="3" t="s">
        <v>73</v>
      </c>
      <c r="Q120" s="3"/>
      <c r="R120" s="3"/>
      <c r="S120" s="3"/>
      <c r="T120" s="3"/>
      <c r="U120" s="3"/>
    </row>
    <row r="121" spans="1:21" x14ac:dyDescent="0.2">
      <c r="A121" s="3">
        <v>120</v>
      </c>
      <c r="B121" s="3">
        <v>56</v>
      </c>
      <c r="C121" s="3" t="s">
        <v>16</v>
      </c>
      <c r="D121" s="3">
        <v>55</v>
      </c>
      <c r="E121" s="3">
        <v>88.72</v>
      </c>
      <c r="F121" s="3" t="s">
        <v>20</v>
      </c>
      <c r="G121" s="3" t="s">
        <v>22</v>
      </c>
      <c r="H121" s="3">
        <v>4</v>
      </c>
      <c r="I121" s="3">
        <v>23.2</v>
      </c>
      <c r="J121" s="3">
        <v>3</v>
      </c>
      <c r="K121" s="3">
        <v>4660.7700000000004</v>
      </c>
      <c r="L121" s="3">
        <v>0</v>
      </c>
      <c r="M121" s="3" t="s">
        <v>89</v>
      </c>
      <c r="N121" s="3" t="s">
        <v>94</v>
      </c>
      <c r="O121" s="3" t="str" cm="1">
        <f t="array" ref="O121">_xlfn.IFS(
  I121 &lt;= $Q$2, "Low",
  I121 &lt;= $Q$3, "Mid-Low",
  I121 &lt;= $Q$4, "Mid-High",
  TRUE,                 "High"
)</f>
        <v>Low</v>
      </c>
      <c r="P121" s="3" t="s">
        <v>75</v>
      </c>
      <c r="Q121" s="3"/>
      <c r="R121" s="3"/>
      <c r="S121" s="3"/>
      <c r="T121" s="3"/>
      <c r="U121" s="3"/>
    </row>
    <row r="122" spans="1:21" x14ac:dyDescent="0.2">
      <c r="A122" s="3">
        <v>121</v>
      </c>
      <c r="B122" s="3">
        <v>58</v>
      </c>
      <c r="C122" s="3" t="s">
        <v>15</v>
      </c>
      <c r="D122" s="3">
        <v>13</v>
      </c>
      <c r="E122" s="3">
        <v>104.44</v>
      </c>
      <c r="F122" s="3" t="s">
        <v>20</v>
      </c>
      <c r="G122" s="3" t="s">
        <v>23</v>
      </c>
      <c r="H122" s="3">
        <v>0</v>
      </c>
      <c r="I122" s="3">
        <v>37.1</v>
      </c>
      <c r="J122" s="3">
        <v>10</v>
      </c>
      <c r="K122" s="3">
        <v>1460.12</v>
      </c>
      <c r="L122" s="3">
        <v>0</v>
      </c>
      <c r="M122" s="3" t="s">
        <v>91</v>
      </c>
      <c r="N122" s="3" t="s">
        <v>97</v>
      </c>
      <c r="O122" s="3" t="str" cm="1">
        <f t="array" ref="O122">_xlfn.IFS(
  I122 &lt;= $Q$2, "Low",
  I122 &lt;= $Q$3, "Mid-Low",
  I122 &lt;= $Q$4, "Mid-High",
  TRUE,                 "High"
)</f>
        <v>Mid-Low</v>
      </c>
      <c r="P122" s="3" t="s">
        <v>121</v>
      </c>
      <c r="Q122" s="3"/>
      <c r="R122" s="3"/>
      <c r="S122" s="3"/>
      <c r="T122" s="3"/>
      <c r="U122" s="3"/>
    </row>
    <row r="123" spans="1:21" x14ac:dyDescent="0.2">
      <c r="A123" s="3">
        <v>122</v>
      </c>
      <c r="B123" s="3">
        <v>45</v>
      </c>
      <c r="C123" s="3" t="s">
        <v>15</v>
      </c>
      <c r="D123" s="3">
        <v>23</v>
      </c>
      <c r="E123" s="3">
        <v>94.96</v>
      </c>
      <c r="F123" s="3" t="s">
        <v>20</v>
      </c>
      <c r="G123" s="3" t="s">
        <v>24</v>
      </c>
      <c r="H123" s="3">
        <v>2</v>
      </c>
      <c r="I123" s="3">
        <v>34.299999999999997</v>
      </c>
      <c r="J123" s="3">
        <v>4</v>
      </c>
      <c r="K123" s="3">
        <v>2378.04</v>
      </c>
      <c r="L123" s="3">
        <v>1</v>
      </c>
      <c r="M123" s="3" t="s">
        <v>91</v>
      </c>
      <c r="N123" s="3" t="s">
        <v>94</v>
      </c>
      <c r="O123" s="3" t="str" cm="1">
        <f t="array" ref="O123">_xlfn.IFS(
  I123 &lt;= $Q$2, "Low",
  I123 &lt;= $Q$3, "Mid-Low",
  I123 &lt;= $Q$4, "Mid-High",
  TRUE,                 "High"
)</f>
        <v>Mid-Low</v>
      </c>
      <c r="P123" s="3" t="s">
        <v>75</v>
      </c>
      <c r="Q123" s="3"/>
      <c r="R123" s="3"/>
      <c r="S123" s="3"/>
      <c r="T123" s="3"/>
      <c r="U123" s="3"/>
    </row>
    <row r="124" spans="1:21" x14ac:dyDescent="0.2">
      <c r="A124" s="3">
        <v>123</v>
      </c>
      <c r="B124" s="3">
        <v>24</v>
      </c>
      <c r="C124" s="3" t="s">
        <v>16</v>
      </c>
      <c r="D124" s="3">
        <v>30</v>
      </c>
      <c r="E124" s="3">
        <v>23.05</v>
      </c>
      <c r="F124" s="3" t="s">
        <v>20</v>
      </c>
      <c r="G124" s="3" t="s">
        <v>24</v>
      </c>
      <c r="H124" s="3">
        <v>2</v>
      </c>
      <c r="I124" s="3">
        <v>95</v>
      </c>
      <c r="J124" s="3">
        <v>6</v>
      </c>
      <c r="K124" s="3">
        <v>642.92999999999995</v>
      </c>
      <c r="L124" s="3">
        <v>0</v>
      </c>
      <c r="M124" s="3" t="s">
        <v>89</v>
      </c>
      <c r="N124" s="3" t="s">
        <v>95</v>
      </c>
      <c r="O124" s="3" t="str" cm="1">
        <f t="array" ref="O124">_xlfn.IFS(
  I124 &lt;= $Q$2, "Low",
  I124 &lt;= $Q$3, "Mid-Low",
  I124 &lt;= $Q$4, "Mid-High",
  TRUE,                 "High"
)</f>
        <v>High</v>
      </c>
      <c r="P124" s="3" t="s">
        <v>73</v>
      </c>
      <c r="Q124" s="3"/>
      <c r="R124" s="3"/>
      <c r="S124" s="3"/>
      <c r="T124" s="3"/>
      <c r="U124" s="3"/>
    </row>
    <row r="125" spans="1:21" x14ac:dyDescent="0.2">
      <c r="A125" s="3">
        <v>124</v>
      </c>
      <c r="B125" s="3">
        <v>26</v>
      </c>
      <c r="C125" s="3" t="s">
        <v>16</v>
      </c>
      <c r="D125" s="3">
        <v>17</v>
      </c>
      <c r="E125" s="3">
        <v>106.72</v>
      </c>
      <c r="F125" s="3" t="s">
        <v>20</v>
      </c>
      <c r="G125" s="3" t="s">
        <v>23</v>
      </c>
      <c r="H125" s="3">
        <v>2</v>
      </c>
      <c r="I125" s="3">
        <v>96.9</v>
      </c>
      <c r="J125" s="3">
        <v>8</v>
      </c>
      <c r="K125" s="3">
        <v>1800.7</v>
      </c>
      <c r="L125" s="3">
        <v>0</v>
      </c>
      <c r="M125" s="3" t="s">
        <v>91</v>
      </c>
      <c r="N125" s="3" t="s">
        <v>96</v>
      </c>
      <c r="O125" s="3" t="str" cm="1">
        <f t="array" ref="O125">_xlfn.IFS(
  I125 &lt;= $Q$2, "Low",
  I125 &lt;= $Q$3, "Mid-Low",
  I125 &lt;= $Q$4, "Mid-High",
  TRUE,                 "High"
)</f>
        <v>High</v>
      </c>
      <c r="P125" s="3" t="s">
        <v>121</v>
      </c>
      <c r="Q125" s="3"/>
      <c r="R125" s="3"/>
      <c r="S125" s="3"/>
      <c r="T125" s="3"/>
      <c r="U125" s="3"/>
    </row>
    <row r="126" spans="1:21" x14ac:dyDescent="0.2">
      <c r="A126" s="3">
        <v>125</v>
      </c>
      <c r="B126" s="3">
        <v>25</v>
      </c>
      <c r="C126" s="3" t="s">
        <v>15</v>
      </c>
      <c r="D126" s="3">
        <v>62</v>
      </c>
      <c r="E126" s="3">
        <v>55.41</v>
      </c>
      <c r="F126" s="3" t="s">
        <v>19</v>
      </c>
      <c r="G126" s="3" t="s">
        <v>24</v>
      </c>
      <c r="H126" s="3">
        <v>3</v>
      </c>
      <c r="I126" s="3">
        <v>22.4</v>
      </c>
      <c r="J126" s="3">
        <v>5</v>
      </c>
      <c r="K126" s="3">
        <v>3765.9</v>
      </c>
      <c r="L126" s="3">
        <v>0</v>
      </c>
      <c r="M126" s="3" t="s">
        <v>89</v>
      </c>
      <c r="N126" s="3" t="s">
        <v>95</v>
      </c>
      <c r="O126" s="3" t="str" cm="1">
        <f t="array" ref="O126">_xlfn.IFS(
  I126 &lt;= $Q$2, "Low",
  I126 &lt;= $Q$3, "Mid-Low",
  I126 &lt;= $Q$4, "Mid-High",
  TRUE,                 "High"
)</f>
        <v>Low</v>
      </c>
      <c r="P126" s="3" t="s">
        <v>122</v>
      </c>
      <c r="Q126" s="3"/>
      <c r="R126" s="3"/>
      <c r="S126" s="3"/>
      <c r="T126" s="3"/>
      <c r="U126" s="3"/>
    </row>
    <row r="127" spans="1:21" x14ac:dyDescent="0.2">
      <c r="A127" s="3">
        <v>126</v>
      </c>
      <c r="B127" s="3">
        <v>29</v>
      </c>
      <c r="C127" s="3" t="s">
        <v>16</v>
      </c>
      <c r="D127" s="3">
        <v>13</v>
      </c>
      <c r="E127" s="3">
        <v>59.72</v>
      </c>
      <c r="F127" s="3" t="s">
        <v>20</v>
      </c>
      <c r="G127" s="3" t="s">
        <v>22</v>
      </c>
      <c r="H127" s="3">
        <v>0</v>
      </c>
      <c r="I127" s="3">
        <v>7.1</v>
      </c>
      <c r="J127" s="3">
        <v>3</v>
      </c>
      <c r="K127" s="3">
        <v>773.78</v>
      </c>
      <c r="L127" s="3">
        <v>0</v>
      </c>
      <c r="M127" s="3" t="s">
        <v>91</v>
      </c>
      <c r="N127" s="3" t="s">
        <v>94</v>
      </c>
      <c r="O127" s="3" t="str" cm="1">
        <f t="array" ref="O127">_xlfn.IFS(
  I127 &lt;= $Q$2, "Low",
  I127 &lt;= $Q$3, "Mid-Low",
  I127 &lt;= $Q$4, "Mid-High",
  TRUE,                 "High"
)</f>
        <v>Low</v>
      </c>
      <c r="P127" s="3" t="s">
        <v>122</v>
      </c>
      <c r="Q127" s="3"/>
      <c r="R127" s="3"/>
      <c r="S127" s="3"/>
      <c r="T127" s="3"/>
      <c r="U127" s="3"/>
    </row>
    <row r="128" spans="1:21" x14ac:dyDescent="0.2">
      <c r="A128" s="3">
        <v>127</v>
      </c>
      <c r="B128" s="3">
        <v>51</v>
      </c>
      <c r="C128" s="3" t="s">
        <v>15</v>
      </c>
      <c r="D128" s="3">
        <v>59</v>
      </c>
      <c r="E128" s="3">
        <v>30.49</v>
      </c>
      <c r="F128" s="3" t="s">
        <v>18</v>
      </c>
      <c r="G128" s="3" t="s">
        <v>23</v>
      </c>
      <c r="H128" s="3">
        <v>4</v>
      </c>
      <c r="I128" s="3">
        <v>73.400000000000006</v>
      </c>
      <c r="J128" s="3">
        <v>6</v>
      </c>
      <c r="K128" s="3">
        <v>1929.71</v>
      </c>
      <c r="L128" s="3">
        <v>0</v>
      </c>
      <c r="M128" s="3" t="s">
        <v>89</v>
      </c>
      <c r="N128" s="3" t="s">
        <v>95</v>
      </c>
      <c r="O128" s="3" t="str" cm="1">
        <f t="array" ref="O128">_xlfn.IFS(
  I128 &lt;= $Q$2, "Low",
  I128 &lt;= $Q$3, "Mid-Low",
  I128 &lt;= $Q$4, "Mid-High",
  TRUE,                 "High"
)</f>
        <v>Mid-High</v>
      </c>
      <c r="P128" s="3" t="s">
        <v>73</v>
      </c>
      <c r="Q128" s="3"/>
      <c r="R128" s="3"/>
      <c r="S128" s="3"/>
      <c r="T128" s="3"/>
      <c r="U128" s="3"/>
    </row>
    <row r="129" spans="1:21" x14ac:dyDescent="0.2">
      <c r="A129" s="3">
        <v>128</v>
      </c>
      <c r="B129" s="3">
        <v>50</v>
      </c>
      <c r="C129" s="3" t="s">
        <v>15</v>
      </c>
      <c r="D129" s="3">
        <v>19</v>
      </c>
      <c r="E129" s="3">
        <v>93.74</v>
      </c>
      <c r="F129" s="3" t="s">
        <v>18</v>
      </c>
      <c r="G129" s="3" t="s">
        <v>24</v>
      </c>
      <c r="H129" s="3">
        <v>1</v>
      </c>
      <c r="I129" s="3">
        <v>44.7</v>
      </c>
      <c r="J129" s="3">
        <v>4</v>
      </c>
      <c r="K129" s="3">
        <v>1812.67</v>
      </c>
      <c r="L129" s="3">
        <v>0</v>
      </c>
      <c r="M129" s="3" t="s">
        <v>91</v>
      </c>
      <c r="N129" s="3" t="s">
        <v>94</v>
      </c>
      <c r="O129" s="3" t="str" cm="1">
        <f t="array" ref="O129">_xlfn.IFS(
  I129 &lt;= $Q$2, "Low",
  I129 &lt;= $Q$3, "Mid-Low",
  I129 &lt;= $Q$4, "Mid-High",
  TRUE,                 "High"
)</f>
        <v>Mid-Low</v>
      </c>
      <c r="P129" s="3" t="s">
        <v>75</v>
      </c>
      <c r="Q129" s="3"/>
      <c r="R129" s="3"/>
      <c r="S129" s="3"/>
      <c r="T129" s="3"/>
      <c r="U129" s="3"/>
    </row>
    <row r="130" spans="1:21" x14ac:dyDescent="0.2">
      <c r="A130" s="3">
        <v>129</v>
      </c>
      <c r="B130" s="3">
        <v>65</v>
      </c>
      <c r="C130" s="3" t="s">
        <v>15</v>
      </c>
      <c r="D130" s="3">
        <v>49</v>
      </c>
      <c r="E130" s="3">
        <v>38.229999999999997</v>
      </c>
      <c r="F130" s="3" t="s">
        <v>19</v>
      </c>
      <c r="G130" s="3" t="s">
        <v>23</v>
      </c>
      <c r="H130" s="3">
        <v>3</v>
      </c>
      <c r="I130" s="3">
        <v>13.4</v>
      </c>
      <c r="J130" s="3">
        <v>9</v>
      </c>
      <c r="K130" s="3">
        <v>1826.56</v>
      </c>
      <c r="L130" s="3">
        <v>1</v>
      </c>
      <c r="M130" s="3" t="s">
        <v>89</v>
      </c>
      <c r="N130" s="3" t="s">
        <v>97</v>
      </c>
      <c r="O130" s="3" t="str" cm="1">
        <f t="array" ref="O130">_xlfn.IFS(
  I130 &lt;= $Q$2, "Low",
  I130 &lt;= $Q$3, "Mid-Low",
  I130 &lt;= $Q$4, "Mid-High",
  TRUE,                 "High"
)</f>
        <v>Low</v>
      </c>
      <c r="P130" s="3" t="s">
        <v>73</v>
      </c>
      <c r="Q130" s="3"/>
      <c r="R130" s="3"/>
      <c r="S130" s="3"/>
      <c r="T130" s="3"/>
      <c r="U130" s="3"/>
    </row>
    <row r="131" spans="1:21" x14ac:dyDescent="0.2">
      <c r="A131" s="3">
        <v>130</v>
      </c>
      <c r="B131" s="3">
        <v>40</v>
      </c>
      <c r="C131" s="3" t="s">
        <v>15</v>
      </c>
      <c r="D131" s="3">
        <v>12</v>
      </c>
      <c r="E131" s="3">
        <v>76.400000000000006</v>
      </c>
      <c r="F131" s="3" t="s">
        <v>18</v>
      </c>
      <c r="G131" s="3" t="s">
        <v>22</v>
      </c>
      <c r="H131" s="3">
        <v>3</v>
      </c>
      <c r="I131" s="3">
        <v>70</v>
      </c>
      <c r="J131" s="3">
        <v>3</v>
      </c>
      <c r="K131" s="3">
        <v>877.52</v>
      </c>
      <c r="L131" s="3">
        <v>1</v>
      </c>
      <c r="M131" s="3" t="s">
        <v>93</v>
      </c>
      <c r="N131" s="3" t="s">
        <v>94</v>
      </c>
      <c r="O131" s="3" t="str" cm="1">
        <f t="array" ref="O131">_xlfn.IFS(
  I131 &lt;= $Q$2, "Low",
  I131 &lt;= $Q$3, "Mid-Low",
  I131 &lt;= $Q$4, "Mid-High",
  TRUE,                 "High"
)</f>
        <v>Mid-High</v>
      </c>
      <c r="P131" s="3" t="s">
        <v>75</v>
      </c>
      <c r="Q131" s="3"/>
      <c r="R131" s="3"/>
      <c r="S131" s="3"/>
      <c r="T131" s="3"/>
      <c r="U131" s="3"/>
    </row>
    <row r="132" spans="1:21" x14ac:dyDescent="0.2">
      <c r="A132" s="3">
        <v>131</v>
      </c>
      <c r="B132" s="3">
        <v>41</v>
      </c>
      <c r="C132" s="3" t="s">
        <v>15</v>
      </c>
      <c r="D132" s="3">
        <v>61</v>
      </c>
      <c r="E132" s="3">
        <v>104.07</v>
      </c>
      <c r="F132" s="3" t="s">
        <v>18</v>
      </c>
      <c r="G132" s="3" t="s">
        <v>22</v>
      </c>
      <c r="H132" s="3">
        <v>2</v>
      </c>
      <c r="I132" s="3">
        <v>56.8</v>
      </c>
      <c r="J132" s="3">
        <v>4</v>
      </c>
      <c r="K132" s="3">
        <v>5971.47</v>
      </c>
      <c r="L132" s="3">
        <v>1</v>
      </c>
      <c r="M132" s="3" t="s">
        <v>89</v>
      </c>
      <c r="N132" s="3" t="s">
        <v>94</v>
      </c>
      <c r="O132" s="3" t="str" cm="1">
        <f t="array" ref="O132">_xlfn.IFS(
  I132 &lt;= $Q$2, "Low",
  I132 &lt;= $Q$3, "Mid-Low",
  I132 &lt;= $Q$4, "Mid-High",
  TRUE,                 "High"
)</f>
        <v>Mid-High</v>
      </c>
      <c r="P132" s="3" t="s">
        <v>121</v>
      </c>
      <c r="Q132" s="3"/>
      <c r="R132" s="3"/>
      <c r="S132" s="3"/>
      <c r="T132" s="3"/>
      <c r="U132" s="3"/>
    </row>
    <row r="133" spans="1:21" x14ac:dyDescent="0.2">
      <c r="A133" s="3">
        <v>132</v>
      </c>
      <c r="B133" s="3">
        <v>54</v>
      </c>
      <c r="C133" s="3" t="s">
        <v>16</v>
      </c>
      <c r="D133" s="3">
        <v>19</v>
      </c>
      <c r="E133" s="3">
        <v>28.92</v>
      </c>
      <c r="F133" s="3" t="s">
        <v>19</v>
      </c>
      <c r="G133" s="3" t="s">
        <v>24</v>
      </c>
      <c r="H133" s="3">
        <v>1</v>
      </c>
      <c r="I133" s="3">
        <v>98.1</v>
      </c>
      <c r="J133" s="3">
        <v>7</v>
      </c>
      <c r="K133" s="3">
        <v>578.25</v>
      </c>
      <c r="L133" s="3">
        <v>1</v>
      </c>
      <c r="M133" s="3" t="s">
        <v>91</v>
      </c>
      <c r="N133" s="3" t="s">
        <v>96</v>
      </c>
      <c r="O133" s="3" t="str" cm="1">
        <f t="array" ref="O133">_xlfn.IFS(
  I133 &lt;= $Q$2, "Low",
  I133 &lt;= $Q$3, "Mid-Low",
  I133 &lt;= $Q$4, "Mid-High",
  TRUE,                 "High"
)</f>
        <v>High</v>
      </c>
      <c r="P133" s="3" t="s">
        <v>73</v>
      </c>
      <c r="Q133" s="3"/>
      <c r="R133" s="3"/>
      <c r="S133" s="3"/>
      <c r="T133" s="3"/>
      <c r="U133" s="3"/>
    </row>
    <row r="134" spans="1:21" x14ac:dyDescent="0.2">
      <c r="A134" s="3">
        <v>133</v>
      </c>
      <c r="B134" s="3">
        <v>52</v>
      </c>
      <c r="C134" s="3" t="s">
        <v>16</v>
      </c>
      <c r="D134" s="3">
        <v>9</v>
      </c>
      <c r="E134" s="3">
        <v>73.53</v>
      </c>
      <c r="F134" s="3" t="s">
        <v>19</v>
      </c>
      <c r="G134" s="3" t="s">
        <v>22</v>
      </c>
      <c r="H134" s="3">
        <v>2</v>
      </c>
      <c r="I134" s="3">
        <v>26.6</v>
      </c>
      <c r="J134" s="3">
        <v>7</v>
      </c>
      <c r="K134" s="3">
        <v>646.75</v>
      </c>
      <c r="L134" s="3">
        <v>1</v>
      </c>
      <c r="M134" s="3" t="s">
        <v>93</v>
      </c>
      <c r="N134" s="3" t="s">
        <v>96</v>
      </c>
      <c r="O134" s="3" t="str" cm="1">
        <f t="array" ref="O134">_xlfn.IFS(
  I134 &lt;= $Q$2, "Low",
  I134 &lt;= $Q$3, "Mid-Low",
  I134 &lt;= $Q$4, "Mid-High",
  TRUE,                 "High"
)</f>
        <v>Mid-Low</v>
      </c>
      <c r="P134" s="3" t="s">
        <v>122</v>
      </c>
      <c r="Q134" s="3"/>
      <c r="R134" s="3"/>
      <c r="S134" s="3"/>
      <c r="T134" s="3"/>
      <c r="U134" s="3"/>
    </row>
    <row r="135" spans="1:21" x14ac:dyDescent="0.2">
      <c r="A135" s="3">
        <v>134</v>
      </c>
      <c r="B135" s="3">
        <v>61</v>
      </c>
      <c r="C135" s="3" t="s">
        <v>15</v>
      </c>
      <c r="D135" s="3">
        <v>71</v>
      </c>
      <c r="E135" s="3">
        <v>43.32</v>
      </c>
      <c r="F135" s="3" t="s">
        <v>20</v>
      </c>
      <c r="G135" s="3" t="s">
        <v>23</v>
      </c>
      <c r="H135" s="3">
        <v>1</v>
      </c>
      <c r="I135" s="3">
        <v>43.4</v>
      </c>
      <c r="J135" s="3">
        <v>4</v>
      </c>
      <c r="K135" s="3">
        <v>3082.66</v>
      </c>
      <c r="L135" s="3">
        <v>1</v>
      </c>
      <c r="M135" s="3" t="s">
        <v>89</v>
      </c>
      <c r="N135" s="3" t="s">
        <v>94</v>
      </c>
      <c r="O135" s="3" t="str" cm="1">
        <f t="array" ref="O135">_xlfn.IFS(
  I135 &lt;= $Q$2, "Low",
  I135 &lt;= $Q$3, "Mid-Low",
  I135 &lt;= $Q$4, "Mid-High",
  TRUE,                 "High"
)</f>
        <v>Mid-Low</v>
      </c>
      <c r="P135" s="3" t="s">
        <v>73</v>
      </c>
      <c r="Q135" s="3"/>
      <c r="R135" s="3"/>
      <c r="S135" s="3"/>
      <c r="T135" s="3"/>
      <c r="U135" s="3"/>
    </row>
    <row r="136" spans="1:21" x14ac:dyDescent="0.2">
      <c r="A136" s="3">
        <v>135</v>
      </c>
      <c r="B136" s="3">
        <v>57</v>
      </c>
      <c r="C136" s="3" t="s">
        <v>15</v>
      </c>
      <c r="D136" s="3">
        <v>28</v>
      </c>
      <c r="E136" s="3">
        <v>54.29</v>
      </c>
      <c r="F136" s="3" t="s">
        <v>20</v>
      </c>
      <c r="G136" s="3" t="s">
        <v>22</v>
      </c>
      <c r="H136" s="3">
        <v>1</v>
      </c>
      <c r="I136" s="3">
        <v>56.5</v>
      </c>
      <c r="J136" s="3">
        <v>6</v>
      </c>
      <c r="K136" s="3">
        <v>1517.79</v>
      </c>
      <c r="L136" s="3">
        <v>0</v>
      </c>
      <c r="M136" s="3" t="s">
        <v>89</v>
      </c>
      <c r="N136" s="3" t="s">
        <v>95</v>
      </c>
      <c r="O136" s="3" t="str" cm="1">
        <f t="array" ref="O136">_xlfn.IFS(
  I136 &lt;= $Q$2, "Low",
  I136 &lt;= $Q$3, "Mid-Low",
  I136 &lt;= $Q$4, "Mid-High",
  TRUE,                 "High"
)</f>
        <v>Mid-High</v>
      </c>
      <c r="P136" s="3" t="s">
        <v>122</v>
      </c>
      <c r="Q136" s="3"/>
      <c r="R136" s="3"/>
      <c r="S136" s="3"/>
      <c r="T136" s="3"/>
      <c r="U136" s="3"/>
    </row>
    <row r="137" spans="1:21" x14ac:dyDescent="0.2">
      <c r="A137" s="3">
        <v>136</v>
      </c>
      <c r="B137" s="3">
        <v>39</v>
      </c>
      <c r="C137" s="3" t="s">
        <v>16</v>
      </c>
      <c r="D137" s="3">
        <v>52</v>
      </c>
      <c r="E137" s="3">
        <v>67.400000000000006</v>
      </c>
      <c r="F137" s="3" t="s">
        <v>20</v>
      </c>
      <c r="G137" s="3" t="s">
        <v>23</v>
      </c>
      <c r="H137" s="3">
        <v>1</v>
      </c>
      <c r="I137" s="3">
        <v>80.2</v>
      </c>
      <c r="J137" s="3">
        <v>3</v>
      </c>
      <c r="K137" s="3">
        <v>3558.97</v>
      </c>
      <c r="L137" s="3">
        <v>1</v>
      </c>
      <c r="M137" s="3" t="s">
        <v>89</v>
      </c>
      <c r="N137" s="3" t="s">
        <v>94</v>
      </c>
      <c r="O137" s="3" t="str" cm="1">
        <f t="array" ref="O137">_xlfn.IFS(
  I137 &lt;= $Q$2, "Low",
  I137 &lt;= $Q$3, "Mid-Low",
  I137 &lt;= $Q$4, "Mid-High",
  TRUE,                 "High"
)</f>
        <v>High</v>
      </c>
      <c r="P137" s="3" t="s">
        <v>122</v>
      </c>
      <c r="Q137" s="3"/>
      <c r="R137" s="3"/>
      <c r="S137" s="3"/>
      <c r="T137" s="3"/>
      <c r="U137" s="3"/>
    </row>
    <row r="138" spans="1:21" x14ac:dyDescent="0.2">
      <c r="A138" s="3">
        <v>137</v>
      </c>
      <c r="B138" s="3">
        <v>44</v>
      </c>
      <c r="C138" s="3" t="s">
        <v>16</v>
      </c>
      <c r="D138" s="3">
        <v>16</v>
      </c>
      <c r="E138" s="3">
        <v>55.51</v>
      </c>
      <c r="F138" s="3" t="s">
        <v>20</v>
      </c>
      <c r="G138" s="3" t="s">
        <v>23</v>
      </c>
      <c r="H138" s="3">
        <v>2</v>
      </c>
      <c r="I138" s="3">
        <v>57.1</v>
      </c>
      <c r="J138" s="3">
        <v>6</v>
      </c>
      <c r="K138" s="3">
        <v>953.1</v>
      </c>
      <c r="L138" s="3">
        <v>1</v>
      </c>
      <c r="M138" s="3" t="s">
        <v>91</v>
      </c>
      <c r="N138" s="3" t="s">
        <v>95</v>
      </c>
      <c r="O138" s="3" t="str" cm="1">
        <f t="array" ref="O138">_xlfn.IFS(
  I138 &lt;= $Q$2, "Low",
  I138 &lt;= $Q$3, "Mid-Low",
  I138 &lt;= $Q$4, "Mid-High",
  TRUE,                 "High"
)</f>
        <v>Mid-High</v>
      </c>
      <c r="P138" s="3" t="s">
        <v>122</v>
      </c>
      <c r="Q138" s="3"/>
      <c r="R138" s="3"/>
      <c r="S138" s="3"/>
      <c r="T138" s="3"/>
      <c r="U138" s="3"/>
    </row>
    <row r="139" spans="1:21" x14ac:dyDescent="0.2">
      <c r="A139" s="3">
        <v>138</v>
      </c>
      <c r="B139" s="3">
        <v>52</v>
      </c>
      <c r="C139" s="3" t="s">
        <v>15</v>
      </c>
      <c r="D139" s="3">
        <v>69</v>
      </c>
      <c r="E139" s="3">
        <v>84.88</v>
      </c>
      <c r="F139" s="3" t="s">
        <v>18</v>
      </c>
      <c r="G139" s="3" t="s">
        <v>22</v>
      </c>
      <c r="H139" s="3">
        <v>1</v>
      </c>
      <c r="I139" s="3">
        <v>63.2</v>
      </c>
      <c r="J139" s="3">
        <v>2</v>
      </c>
      <c r="K139" s="3">
        <v>6419.83</v>
      </c>
      <c r="L139" s="3">
        <v>0</v>
      </c>
      <c r="M139" s="3" t="s">
        <v>89</v>
      </c>
      <c r="N139" s="3" t="s">
        <v>94</v>
      </c>
      <c r="O139" s="3" t="str" cm="1">
        <f t="array" ref="O139">_xlfn.IFS(
  I139 &lt;= $Q$2, "Low",
  I139 &lt;= $Q$3, "Mid-Low",
  I139 &lt;= $Q$4, "Mid-High",
  TRUE,                 "High"
)</f>
        <v>Mid-High</v>
      </c>
      <c r="P139" s="3" t="s">
        <v>75</v>
      </c>
      <c r="Q139" s="3"/>
      <c r="R139" s="3"/>
      <c r="S139" s="3"/>
      <c r="T139" s="3"/>
      <c r="U139" s="3"/>
    </row>
    <row r="140" spans="1:21" x14ac:dyDescent="0.2">
      <c r="A140" s="3">
        <v>139</v>
      </c>
      <c r="B140" s="3">
        <v>18</v>
      </c>
      <c r="C140" s="3" t="s">
        <v>16</v>
      </c>
      <c r="D140" s="3">
        <v>12</v>
      </c>
      <c r="E140" s="3">
        <v>67.959999999999994</v>
      </c>
      <c r="F140" s="3" t="s">
        <v>18</v>
      </c>
      <c r="G140" s="3" t="s">
        <v>24</v>
      </c>
      <c r="H140" s="3">
        <v>3</v>
      </c>
      <c r="I140" s="3">
        <v>26.5</v>
      </c>
      <c r="J140" s="3">
        <v>8</v>
      </c>
      <c r="K140" s="3">
        <v>800.45</v>
      </c>
      <c r="L140" s="3">
        <v>0</v>
      </c>
      <c r="M140" s="3" t="s">
        <v>93</v>
      </c>
      <c r="N140" s="3" t="s">
        <v>96</v>
      </c>
      <c r="O140" s="3" t="str" cm="1">
        <f t="array" ref="O140">_xlfn.IFS(
  I140 &lt;= $Q$2, "Low",
  I140 &lt;= $Q$3, "Mid-Low",
  I140 &lt;= $Q$4, "Mid-High",
  TRUE,                 "High"
)</f>
        <v>Mid-Low</v>
      </c>
      <c r="P140" s="3" t="s">
        <v>122</v>
      </c>
      <c r="Q140" s="3"/>
      <c r="R140" s="3"/>
      <c r="S140" s="3"/>
      <c r="T140" s="3"/>
      <c r="U140" s="3"/>
    </row>
    <row r="141" spans="1:21" x14ac:dyDescent="0.2">
      <c r="A141" s="3">
        <v>140</v>
      </c>
      <c r="B141" s="3">
        <v>52</v>
      </c>
      <c r="C141" s="3" t="s">
        <v>15</v>
      </c>
      <c r="D141" s="3">
        <v>25</v>
      </c>
      <c r="E141" s="3">
        <v>78.42</v>
      </c>
      <c r="F141" s="3" t="s">
        <v>18</v>
      </c>
      <c r="G141" s="3" t="s">
        <v>22</v>
      </c>
      <c r="H141" s="3">
        <v>1</v>
      </c>
      <c r="I141" s="3">
        <v>85.5</v>
      </c>
      <c r="J141" s="3">
        <v>2</v>
      </c>
      <c r="K141" s="3">
        <v>2088.92</v>
      </c>
      <c r="L141" s="3">
        <v>1</v>
      </c>
      <c r="M141" s="3" t="s">
        <v>89</v>
      </c>
      <c r="N141" s="3" t="s">
        <v>94</v>
      </c>
      <c r="O141" s="3" t="str" cm="1">
        <f t="array" ref="O141">_xlfn.IFS(
  I141 &lt;= $Q$2, "Low",
  I141 &lt;= $Q$3, "Mid-Low",
  I141 &lt;= $Q$4, "Mid-High",
  TRUE,                 "High"
)</f>
        <v>High</v>
      </c>
      <c r="P141" s="3" t="s">
        <v>75</v>
      </c>
      <c r="Q141" s="3"/>
      <c r="R141" s="3"/>
      <c r="S141" s="3"/>
      <c r="T141" s="3"/>
      <c r="U141" s="3"/>
    </row>
    <row r="142" spans="1:21" x14ac:dyDescent="0.2">
      <c r="A142" s="3">
        <v>141</v>
      </c>
      <c r="B142" s="3">
        <v>54</v>
      </c>
      <c r="C142" s="3" t="s">
        <v>16</v>
      </c>
      <c r="D142" s="3">
        <v>52</v>
      </c>
      <c r="E142" s="3">
        <v>93.68</v>
      </c>
      <c r="F142" s="3" t="s">
        <v>20</v>
      </c>
      <c r="G142" s="3" t="s">
        <v>23</v>
      </c>
      <c r="H142" s="3">
        <v>3</v>
      </c>
      <c r="I142" s="3">
        <v>45.7</v>
      </c>
      <c r="J142" s="3">
        <v>7</v>
      </c>
      <c r="K142" s="3">
        <v>5129.08</v>
      </c>
      <c r="L142" s="3">
        <v>0</v>
      </c>
      <c r="M142" s="3" t="s">
        <v>89</v>
      </c>
      <c r="N142" s="3" t="s">
        <v>96</v>
      </c>
      <c r="O142" s="3" t="str" cm="1">
        <f t="array" ref="O142">_xlfn.IFS(
  I142 &lt;= $Q$2, "Low",
  I142 &lt;= $Q$3, "Mid-Low",
  I142 &lt;= $Q$4, "Mid-High",
  TRUE,                 "High"
)</f>
        <v>Mid-Low</v>
      </c>
      <c r="P142" s="3" t="s">
        <v>75</v>
      </c>
      <c r="Q142" s="3"/>
      <c r="R142" s="3"/>
      <c r="S142" s="3"/>
      <c r="T142" s="3"/>
      <c r="U142" s="3"/>
    </row>
    <row r="143" spans="1:21" x14ac:dyDescent="0.2">
      <c r="A143" s="3">
        <v>142</v>
      </c>
      <c r="B143" s="3">
        <v>64</v>
      </c>
      <c r="C143" s="3" t="s">
        <v>15</v>
      </c>
      <c r="D143" s="3">
        <v>53</v>
      </c>
      <c r="E143" s="3">
        <v>75.77</v>
      </c>
      <c r="F143" s="3" t="s">
        <v>19</v>
      </c>
      <c r="G143" s="3" t="s">
        <v>23</v>
      </c>
      <c r="H143" s="3">
        <v>3</v>
      </c>
      <c r="I143" s="3">
        <v>18.399999999999999</v>
      </c>
      <c r="J143" s="3">
        <v>9</v>
      </c>
      <c r="K143" s="3">
        <v>4074.87</v>
      </c>
      <c r="L143" s="3">
        <v>0</v>
      </c>
      <c r="M143" s="3" t="s">
        <v>89</v>
      </c>
      <c r="N143" s="3" t="s">
        <v>97</v>
      </c>
      <c r="O143" s="3" t="str" cm="1">
        <f t="array" ref="O143">_xlfn.IFS(
  I143 &lt;= $Q$2, "Low",
  I143 &lt;= $Q$3, "Mid-Low",
  I143 &lt;= $Q$4, "Mid-High",
  TRUE,                 "High"
)</f>
        <v>Low</v>
      </c>
      <c r="P143" s="3" t="s">
        <v>75</v>
      </c>
      <c r="Q143" s="3"/>
      <c r="R143" s="3"/>
      <c r="S143" s="3"/>
      <c r="T143" s="3"/>
      <c r="U143" s="3"/>
    </row>
    <row r="144" spans="1:21" x14ac:dyDescent="0.2">
      <c r="A144" s="3">
        <v>143</v>
      </c>
      <c r="B144" s="3">
        <v>31</v>
      </c>
      <c r="C144" s="3" t="s">
        <v>16</v>
      </c>
      <c r="D144" s="3">
        <v>23</v>
      </c>
      <c r="E144" s="3">
        <v>78.650000000000006</v>
      </c>
      <c r="F144" s="3" t="s">
        <v>18</v>
      </c>
      <c r="G144" s="3" t="s">
        <v>22</v>
      </c>
      <c r="H144" s="3">
        <v>2</v>
      </c>
      <c r="I144" s="3">
        <v>68.099999999999994</v>
      </c>
      <c r="J144" s="3">
        <v>1</v>
      </c>
      <c r="K144" s="3">
        <v>1973.94</v>
      </c>
      <c r="L144" s="3">
        <v>1</v>
      </c>
      <c r="M144" s="3" t="s">
        <v>91</v>
      </c>
      <c r="N144" s="3" t="s">
        <v>94</v>
      </c>
      <c r="O144" s="3" t="str" cm="1">
        <f t="array" ref="O144">_xlfn.IFS(
  I144 &lt;= $Q$2, "Low",
  I144 &lt;= $Q$3, "Mid-Low",
  I144 &lt;= $Q$4, "Mid-High",
  TRUE,                 "High"
)</f>
        <v>Mid-High</v>
      </c>
      <c r="P144" s="3" t="s">
        <v>75</v>
      </c>
      <c r="Q144" s="3"/>
      <c r="R144" s="3"/>
      <c r="S144" s="3"/>
      <c r="T144" s="3"/>
      <c r="U144" s="3"/>
    </row>
    <row r="145" spans="1:21" x14ac:dyDescent="0.2">
      <c r="A145" s="3">
        <v>144</v>
      </c>
      <c r="B145" s="3">
        <v>20</v>
      </c>
      <c r="C145" s="3" t="s">
        <v>15</v>
      </c>
      <c r="D145" s="3">
        <v>16</v>
      </c>
      <c r="E145" s="3">
        <v>76.45</v>
      </c>
      <c r="F145" s="3" t="s">
        <v>18</v>
      </c>
      <c r="G145" s="3" t="s">
        <v>24</v>
      </c>
      <c r="H145" s="3">
        <v>2</v>
      </c>
      <c r="I145" s="3">
        <v>25.5</v>
      </c>
      <c r="J145" s="3">
        <v>8</v>
      </c>
      <c r="K145" s="3">
        <v>1149.92</v>
      </c>
      <c r="L145" s="3">
        <v>0</v>
      </c>
      <c r="M145" s="3" t="s">
        <v>91</v>
      </c>
      <c r="N145" s="3" t="s">
        <v>96</v>
      </c>
      <c r="O145" s="3" t="str" cm="1">
        <f t="array" ref="O145">_xlfn.IFS(
  I145 &lt;= $Q$2, "Low",
  I145 &lt;= $Q$3, "Mid-Low",
  I145 &lt;= $Q$4, "Mid-High",
  TRUE,                 "High"
)</f>
        <v>Low</v>
      </c>
      <c r="P145" s="3" t="s">
        <v>75</v>
      </c>
      <c r="Q145" s="3"/>
      <c r="R145" s="3"/>
      <c r="S145" s="3"/>
      <c r="T145" s="3"/>
      <c r="U145" s="3"/>
    </row>
    <row r="146" spans="1:21" x14ac:dyDescent="0.2">
      <c r="A146" s="3">
        <v>145</v>
      </c>
      <c r="B146" s="3">
        <v>18</v>
      </c>
      <c r="C146" s="3" t="s">
        <v>16</v>
      </c>
      <c r="D146" s="3">
        <v>57</v>
      </c>
      <c r="E146" s="3">
        <v>57.88</v>
      </c>
      <c r="F146" s="3" t="s">
        <v>19</v>
      </c>
      <c r="G146" s="3" t="s">
        <v>24</v>
      </c>
      <c r="H146" s="3">
        <v>2</v>
      </c>
      <c r="I146" s="3">
        <v>14.3</v>
      </c>
      <c r="J146" s="3">
        <v>7</v>
      </c>
      <c r="K146" s="3">
        <v>3041.34</v>
      </c>
      <c r="L146" s="3">
        <v>0</v>
      </c>
      <c r="M146" s="3" t="s">
        <v>89</v>
      </c>
      <c r="N146" s="3" t="s">
        <v>96</v>
      </c>
      <c r="O146" s="3" t="str" cm="1">
        <f t="array" ref="O146">_xlfn.IFS(
  I146 &lt;= $Q$2, "Low",
  I146 &lt;= $Q$3, "Mid-Low",
  I146 &lt;= $Q$4, "Mid-High",
  TRUE,                 "High"
)</f>
        <v>Low</v>
      </c>
      <c r="P146" s="3" t="s">
        <v>122</v>
      </c>
      <c r="Q146" s="3"/>
      <c r="R146" s="3"/>
      <c r="S146" s="3"/>
      <c r="T146" s="3"/>
      <c r="U146" s="3"/>
    </row>
    <row r="147" spans="1:21" x14ac:dyDescent="0.2">
      <c r="A147" s="3">
        <v>146</v>
      </c>
      <c r="B147" s="3">
        <v>22</v>
      </c>
      <c r="C147" s="3" t="s">
        <v>16</v>
      </c>
      <c r="D147" s="3">
        <v>39</v>
      </c>
      <c r="E147" s="3">
        <v>53.74</v>
      </c>
      <c r="F147" s="3" t="s">
        <v>18</v>
      </c>
      <c r="G147" s="3" t="s">
        <v>23</v>
      </c>
      <c r="H147" s="3">
        <v>2</v>
      </c>
      <c r="I147" s="3">
        <v>86.9</v>
      </c>
      <c r="J147" s="3">
        <v>6</v>
      </c>
      <c r="K147" s="3">
        <v>2244.23</v>
      </c>
      <c r="L147" s="3">
        <v>0</v>
      </c>
      <c r="M147" s="3" t="s">
        <v>89</v>
      </c>
      <c r="N147" s="3" t="s">
        <v>95</v>
      </c>
      <c r="O147" s="3" t="str" cm="1">
        <f t="array" ref="O147">_xlfn.IFS(
  I147 &lt;= $Q$2, "Low",
  I147 &lt;= $Q$3, "Mid-Low",
  I147 &lt;= $Q$4, "Mid-High",
  TRUE,                 "High"
)</f>
        <v>High</v>
      </c>
      <c r="P147" s="3" t="s">
        <v>122</v>
      </c>
      <c r="Q147" s="3"/>
      <c r="R147" s="3"/>
      <c r="S147" s="3"/>
      <c r="T147" s="3"/>
      <c r="U147" s="3"/>
    </row>
    <row r="148" spans="1:21" x14ac:dyDescent="0.2">
      <c r="A148" s="3">
        <v>147</v>
      </c>
      <c r="B148" s="3">
        <v>43</v>
      </c>
      <c r="C148" s="3" t="s">
        <v>15</v>
      </c>
      <c r="D148" s="3">
        <v>53</v>
      </c>
      <c r="E148" s="3">
        <v>109.96</v>
      </c>
      <c r="F148" s="3" t="s">
        <v>20</v>
      </c>
      <c r="G148" s="3" t="s">
        <v>23</v>
      </c>
      <c r="H148" s="3">
        <v>2</v>
      </c>
      <c r="I148" s="3">
        <v>48.7</v>
      </c>
      <c r="J148" s="3">
        <v>6</v>
      </c>
      <c r="K148" s="3">
        <v>5756.95</v>
      </c>
      <c r="L148" s="3">
        <v>0</v>
      </c>
      <c r="M148" s="3" t="s">
        <v>89</v>
      </c>
      <c r="N148" s="3" t="s">
        <v>95</v>
      </c>
      <c r="O148" s="3" t="str" cm="1">
        <f t="array" ref="O148">_xlfn.IFS(
  I148 &lt;= $Q$2, "Low",
  I148 &lt;= $Q$3, "Mid-Low",
  I148 &lt;= $Q$4, "Mid-High",
  TRUE,                 "High"
)</f>
        <v>Mid-Low</v>
      </c>
      <c r="P148" s="3" t="s">
        <v>121</v>
      </c>
      <c r="Q148" s="3"/>
      <c r="R148" s="3"/>
      <c r="S148" s="3"/>
      <c r="T148" s="3"/>
      <c r="U148" s="3"/>
    </row>
    <row r="149" spans="1:21" x14ac:dyDescent="0.2">
      <c r="A149" s="3">
        <v>148</v>
      </c>
      <c r="B149" s="3">
        <v>31</v>
      </c>
      <c r="C149" s="3" t="s">
        <v>16</v>
      </c>
      <c r="D149" s="3">
        <v>42</v>
      </c>
      <c r="E149" s="3">
        <v>80.760000000000005</v>
      </c>
      <c r="F149" s="3" t="s">
        <v>18</v>
      </c>
      <c r="G149" s="3" t="s">
        <v>24</v>
      </c>
      <c r="H149" s="3">
        <v>1</v>
      </c>
      <c r="I149" s="3">
        <v>76.2</v>
      </c>
      <c r="J149" s="3">
        <v>6</v>
      </c>
      <c r="K149" s="3">
        <v>3627.3</v>
      </c>
      <c r="L149" s="3">
        <v>0</v>
      </c>
      <c r="M149" s="3" t="s">
        <v>89</v>
      </c>
      <c r="N149" s="3" t="s">
        <v>95</v>
      </c>
      <c r="O149" s="3" t="str" cm="1">
        <f t="array" ref="O149">_xlfn.IFS(
  I149 &lt;= $Q$2, "Low",
  I149 &lt;= $Q$3, "Mid-Low",
  I149 &lt;= $Q$4, "Mid-High",
  TRUE,                 "High"
)</f>
        <v>High</v>
      </c>
      <c r="P149" s="3" t="s">
        <v>75</v>
      </c>
      <c r="Q149" s="3"/>
      <c r="R149" s="3"/>
      <c r="S149" s="3"/>
      <c r="T149" s="3"/>
      <c r="U149" s="3"/>
    </row>
    <row r="150" spans="1:21" x14ac:dyDescent="0.2">
      <c r="A150" s="3">
        <v>149</v>
      </c>
      <c r="B150" s="3">
        <v>56</v>
      </c>
      <c r="C150" s="3" t="s">
        <v>15</v>
      </c>
      <c r="D150" s="3">
        <v>58</v>
      </c>
      <c r="E150" s="3">
        <v>44.44</v>
      </c>
      <c r="F150" s="3" t="s">
        <v>20</v>
      </c>
      <c r="G150" s="3" t="s">
        <v>22</v>
      </c>
      <c r="H150" s="3">
        <v>3</v>
      </c>
      <c r="I150" s="3">
        <v>32.6</v>
      </c>
      <c r="J150" s="3">
        <v>9</v>
      </c>
      <c r="K150" s="3">
        <v>2780.16</v>
      </c>
      <c r="L150" s="3">
        <v>1</v>
      </c>
      <c r="M150" s="3" t="s">
        <v>89</v>
      </c>
      <c r="N150" s="3" t="s">
        <v>97</v>
      </c>
      <c r="O150" s="3" t="str" cm="1">
        <f t="array" ref="O150">_xlfn.IFS(
  I150 &lt;= $Q$2, "Low",
  I150 &lt;= $Q$3, "Mid-Low",
  I150 &lt;= $Q$4, "Mid-High",
  TRUE,                 "High"
)</f>
        <v>Mid-Low</v>
      </c>
      <c r="P150" s="3" t="s">
        <v>73</v>
      </c>
      <c r="Q150" s="3"/>
      <c r="R150" s="3"/>
      <c r="S150" s="3"/>
      <c r="T150" s="3"/>
      <c r="U150" s="3"/>
    </row>
    <row r="151" spans="1:21" x14ac:dyDescent="0.2">
      <c r="A151" s="3">
        <v>150</v>
      </c>
      <c r="B151" s="3">
        <v>44</v>
      </c>
      <c r="C151" s="3" t="s">
        <v>16</v>
      </c>
      <c r="D151" s="3">
        <v>39</v>
      </c>
      <c r="E151" s="3">
        <v>69.819999999999993</v>
      </c>
      <c r="F151" s="3" t="s">
        <v>20</v>
      </c>
      <c r="G151" s="3" t="s">
        <v>23</v>
      </c>
      <c r="H151" s="3">
        <v>2</v>
      </c>
      <c r="I151" s="3">
        <v>79.8</v>
      </c>
      <c r="J151" s="3">
        <v>2</v>
      </c>
      <c r="K151" s="3">
        <v>2484.6999999999998</v>
      </c>
      <c r="L151" s="3">
        <v>1</v>
      </c>
      <c r="M151" s="3" t="s">
        <v>89</v>
      </c>
      <c r="N151" s="3" t="s">
        <v>94</v>
      </c>
      <c r="O151" s="3" t="str" cm="1">
        <f t="array" ref="O151">_xlfn.IFS(
  I151 &lt;= $Q$2, "Low",
  I151 &lt;= $Q$3, "Mid-Low",
  I151 &lt;= $Q$4, "Mid-High",
  TRUE,                 "High"
)</f>
        <v>High</v>
      </c>
      <c r="P151" s="3" t="s">
        <v>122</v>
      </c>
      <c r="Q151" s="3"/>
      <c r="R151" s="3"/>
      <c r="S151" s="3"/>
      <c r="T151" s="3"/>
      <c r="U151" s="3"/>
    </row>
    <row r="152" spans="1:21" x14ac:dyDescent="0.2">
      <c r="A152" s="3">
        <v>151</v>
      </c>
      <c r="B152" s="3">
        <v>26</v>
      </c>
      <c r="C152" s="3" t="s">
        <v>15</v>
      </c>
      <c r="D152" s="3">
        <v>14</v>
      </c>
      <c r="E152" s="3">
        <v>53.03</v>
      </c>
      <c r="F152" s="3" t="s">
        <v>18</v>
      </c>
      <c r="G152" s="3" t="s">
        <v>23</v>
      </c>
      <c r="H152" s="3">
        <v>3</v>
      </c>
      <c r="I152" s="3">
        <v>15.6</v>
      </c>
      <c r="J152" s="3">
        <v>1</v>
      </c>
      <c r="K152" s="3">
        <v>799.36</v>
      </c>
      <c r="L152" s="3">
        <v>1</v>
      </c>
      <c r="M152" s="3" t="s">
        <v>91</v>
      </c>
      <c r="N152" s="3" t="s">
        <v>94</v>
      </c>
      <c r="O152" s="3" t="str" cm="1">
        <f t="array" ref="O152">_xlfn.IFS(
  I152 &lt;= $Q$2, "Low",
  I152 &lt;= $Q$3, "Mid-Low",
  I152 &lt;= $Q$4, "Mid-High",
  TRUE,                 "High"
)</f>
        <v>Low</v>
      </c>
      <c r="P152" s="3" t="s">
        <v>122</v>
      </c>
      <c r="Q152" s="3"/>
      <c r="R152" s="3"/>
      <c r="S152" s="3"/>
      <c r="T152" s="3"/>
      <c r="U152" s="3"/>
    </row>
    <row r="153" spans="1:21" x14ac:dyDescent="0.2">
      <c r="A153" s="3">
        <v>152</v>
      </c>
      <c r="B153" s="3">
        <v>32</v>
      </c>
      <c r="C153" s="3" t="s">
        <v>16</v>
      </c>
      <c r="D153" s="3">
        <v>5</v>
      </c>
      <c r="E153" s="3">
        <v>113.37</v>
      </c>
      <c r="F153" s="3" t="s">
        <v>20</v>
      </c>
      <c r="G153" s="3" t="s">
        <v>24</v>
      </c>
      <c r="H153" s="3">
        <v>3</v>
      </c>
      <c r="I153" s="3">
        <v>38.799999999999997</v>
      </c>
      <c r="J153" s="3">
        <v>6</v>
      </c>
      <c r="K153" s="3">
        <v>560.99</v>
      </c>
      <c r="L153" s="3">
        <v>0</v>
      </c>
      <c r="M153" s="3" t="s">
        <v>92</v>
      </c>
      <c r="N153" s="3" t="s">
        <v>95</v>
      </c>
      <c r="O153" s="3" t="str" cm="1">
        <f t="array" ref="O153">_xlfn.IFS(
  I153 &lt;= $Q$2, "Low",
  I153 &lt;= $Q$3, "Mid-Low",
  I153 &lt;= $Q$4, "Mid-High",
  TRUE,                 "High"
)</f>
        <v>Mid-Low</v>
      </c>
      <c r="P153" s="3" t="s">
        <v>121</v>
      </c>
      <c r="Q153" s="3"/>
      <c r="R153" s="3"/>
      <c r="S153" s="3"/>
      <c r="T153" s="3"/>
      <c r="U153" s="3"/>
    </row>
    <row r="154" spans="1:21" x14ac:dyDescent="0.2">
      <c r="A154" s="3">
        <v>153</v>
      </c>
      <c r="B154" s="3">
        <v>32</v>
      </c>
      <c r="C154" s="3" t="s">
        <v>15</v>
      </c>
      <c r="D154" s="3">
        <v>35</v>
      </c>
      <c r="E154" s="3">
        <v>20.75</v>
      </c>
      <c r="F154" s="3" t="s">
        <v>18</v>
      </c>
      <c r="G154" s="3" t="s">
        <v>22</v>
      </c>
      <c r="H154" s="3">
        <v>3</v>
      </c>
      <c r="I154" s="3">
        <v>97.9</v>
      </c>
      <c r="J154" s="3">
        <v>10</v>
      </c>
      <c r="K154" s="3">
        <v>727.77</v>
      </c>
      <c r="L154" s="3">
        <v>0</v>
      </c>
      <c r="M154" s="3" t="s">
        <v>89</v>
      </c>
      <c r="N154" s="3" t="s">
        <v>97</v>
      </c>
      <c r="O154" s="3" t="str" cm="1">
        <f t="array" ref="O154">_xlfn.IFS(
  I154 &lt;= $Q$2, "Low",
  I154 &lt;= $Q$3, "Mid-Low",
  I154 &lt;= $Q$4, "Mid-High",
  TRUE,                 "High"
)</f>
        <v>High</v>
      </c>
      <c r="P154" s="3" t="s">
        <v>73</v>
      </c>
      <c r="Q154" s="3"/>
      <c r="R154" s="3"/>
      <c r="S154" s="3"/>
      <c r="T154" s="3"/>
      <c r="U154" s="3"/>
    </row>
    <row r="155" spans="1:21" x14ac:dyDescent="0.2">
      <c r="A155" s="3">
        <v>154</v>
      </c>
      <c r="B155" s="3">
        <v>43</v>
      </c>
      <c r="C155" s="3" t="s">
        <v>16</v>
      </c>
      <c r="D155" s="3">
        <v>18</v>
      </c>
      <c r="E155" s="3">
        <v>42.53</v>
      </c>
      <c r="F155" s="3" t="s">
        <v>20</v>
      </c>
      <c r="G155" s="3" t="s">
        <v>24</v>
      </c>
      <c r="H155" s="3">
        <v>0</v>
      </c>
      <c r="I155" s="3">
        <v>80.400000000000006</v>
      </c>
      <c r="J155" s="3">
        <v>8</v>
      </c>
      <c r="K155" s="3">
        <v>784.92</v>
      </c>
      <c r="L155" s="3">
        <v>1</v>
      </c>
      <c r="M155" s="3" t="s">
        <v>91</v>
      </c>
      <c r="N155" s="3" t="s">
        <v>96</v>
      </c>
      <c r="O155" s="3" t="str" cm="1">
        <f t="array" ref="O155">_xlfn.IFS(
  I155 &lt;= $Q$2, "Low",
  I155 &lt;= $Q$3, "Mid-Low",
  I155 &lt;= $Q$4, "Mid-High",
  TRUE,                 "High"
)</f>
        <v>High</v>
      </c>
      <c r="P155" s="3" t="s">
        <v>73</v>
      </c>
      <c r="Q155" s="3"/>
      <c r="R155" s="3"/>
      <c r="S155" s="3"/>
      <c r="T155" s="3"/>
      <c r="U155" s="3"/>
    </row>
    <row r="156" spans="1:21" x14ac:dyDescent="0.2">
      <c r="A156" s="3">
        <v>155</v>
      </c>
      <c r="B156" s="3">
        <v>59</v>
      </c>
      <c r="C156" s="3" t="s">
        <v>15</v>
      </c>
      <c r="D156" s="3">
        <v>9</v>
      </c>
      <c r="E156" s="3">
        <v>56.54</v>
      </c>
      <c r="F156" s="3" t="s">
        <v>19</v>
      </c>
      <c r="G156" s="3" t="s">
        <v>22</v>
      </c>
      <c r="H156" s="3">
        <v>1</v>
      </c>
      <c r="I156" s="3">
        <v>52.2</v>
      </c>
      <c r="J156" s="3">
        <v>3</v>
      </c>
      <c r="K156" s="3">
        <v>552.25</v>
      </c>
      <c r="L156" s="3">
        <v>0</v>
      </c>
      <c r="M156" s="3" t="s">
        <v>93</v>
      </c>
      <c r="N156" s="3" t="s">
        <v>94</v>
      </c>
      <c r="O156" s="3" t="str" cm="1">
        <f t="array" ref="O156">_xlfn.IFS(
  I156 &lt;= $Q$2, "Low",
  I156 &lt;= $Q$3, "Mid-Low",
  I156 &lt;= $Q$4, "Mid-High",
  TRUE,                 "High"
)</f>
        <v>Mid-High</v>
      </c>
      <c r="P156" s="3" t="s">
        <v>122</v>
      </c>
      <c r="Q156" s="3"/>
      <c r="R156" s="3"/>
      <c r="S156" s="3"/>
      <c r="T156" s="3"/>
      <c r="U156" s="3"/>
    </row>
    <row r="157" spans="1:21" x14ac:dyDescent="0.2">
      <c r="A157" s="3">
        <v>156</v>
      </c>
      <c r="B157" s="3">
        <v>30</v>
      </c>
      <c r="C157" s="3" t="s">
        <v>16</v>
      </c>
      <c r="D157" s="3">
        <v>58</v>
      </c>
      <c r="E157" s="3">
        <v>68.78</v>
      </c>
      <c r="F157" s="3" t="s">
        <v>20</v>
      </c>
      <c r="G157" s="3" t="s">
        <v>22</v>
      </c>
      <c r="H157" s="3">
        <v>3</v>
      </c>
      <c r="I157" s="3">
        <v>37.299999999999997</v>
      </c>
      <c r="J157" s="3">
        <v>10</v>
      </c>
      <c r="K157" s="3">
        <v>3605.57</v>
      </c>
      <c r="L157" s="3">
        <v>0</v>
      </c>
      <c r="M157" s="3" t="s">
        <v>89</v>
      </c>
      <c r="N157" s="3" t="s">
        <v>97</v>
      </c>
      <c r="O157" s="3" t="str" cm="1">
        <f t="array" ref="O157">_xlfn.IFS(
  I157 &lt;= $Q$2, "Low",
  I157 &lt;= $Q$3, "Mid-Low",
  I157 &lt;= $Q$4, "Mid-High",
  TRUE,                 "High"
)</f>
        <v>Mid-Low</v>
      </c>
      <c r="P157" s="3" t="s">
        <v>122</v>
      </c>
      <c r="Q157" s="3"/>
      <c r="R157" s="3"/>
      <c r="S157" s="3"/>
      <c r="T157" s="3"/>
      <c r="U157" s="3"/>
    </row>
    <row r="158" spans="1:21" x14ac:dyDescent="0.2">
      <c r="A158" s="3">
        <v>157</v>
      </c>
      <c r="B158" s="3">
        <v>68</v>
      </c>
      <c r="C158" s="3" t="s">
        <v>15</v>
      </c>
      <c r="D158" s="3">
        <v>17</v>
      </c>
      <c r="E158" s="3">
        <v>105.08</v>
      </c>
      <c r="F158" s="3" t="s">
        <v>19</v>
      </c>
      <c r="G158" s="3" t="s">
        <v>22</v>
      </c>
      <c r="H158" s="3">
        <v>0</v>
      </c>
      <c r="I158" s="3">
        <v>87.9</v>
      </c>
      <c r="J158" s="3">
        <v>1</v>
      </c>
      <c r="K158" s="3">
        <v>1778.09</v>
      </c>
      <c r="L158" s="3">
        <v>1</v>
      </c>
      <c r="M158" s="3" t="s">
        <v>91</v>
      </c>
      <c r="N158" s="3" t="s">
        <v>94</v>
      </c>
      <c r="O158" s="3" t="str" cm="1">
        <f t="array" ref="O158">_xlfn.IFS(
  I158 &lt;= $Q$2, "Low",
  I158 &lt;= $Q$3, "Mid-Low",
  I158 &lt;= $Q$4, "Mid-High",
  TRUE,                 "High"
)</f>
        <v>High</v>
      </c>
      <c r="P158" s="3" t="s">
        <v>121</v>
      </c>
      <c r="Q158" s="3"/>
      <c r="R158" s="3"/>
      <c r="S158" s="3"/>
      <c r="T158" s="3"/>
      <c r="U158" s="3"/>
    </row>
    <row r="159" spans="1:21" x14ac:dyDescent="0.2">
      <c r="A159" s="3">
        <v>158</v>
      </c>
      <c r="B159" s="3">
        <v>49</v>
      </c>
      <c r="C159" s="3" t="s">
        <v>15</v>
      </c>
      <c r="D159" s="3">
        <v>7</v>
      </c>
      <c r="E159" s="3">
        <v>28.79</v>
      </c>
      <c r="F159" s="3" t="s">
        <v>18</v>
      </c>
      <c r="G159" s="3" t="s">
        <v>23</v>
      </c>
      <c r="H159" s="3">
        <v>3</v>
      </c>
      <c r="I159" s="3">
        <v>56.8</v>
      </c>
      <c r="J159" s="3">
        <v>9</v>
      </c>
      <c r="K159" s="3">
        <v>209.1</v>
      </c>
      <c r="L159" s="3">
        <v>0</v>
      </c>
      <c r="M159" s="3" t="s">
        <v>93</v>
      </c>
      <c r="N159" s="3" t="s">
        <v>97</v>
      </c>
      <c r="O159" s="3" t="str" cm="1">
        <f t="array" ref="O159">_xlfn.IFS(
  I159 &lt;= $Q$2, "Low",
  I159 &lt;= $Q$3, "Mid-Low",
  I159 &lt;= $Q$4, "Mid-High",
  TRUE,                 "High"
)</f>
        <v>Mid-High</v>
      </c>
      <c r="P159" s="3" t="s">
        <v>73</v>
      </c>
      <c r="Q159" s="3"/>
      <c r="R159" s="3"/>
      <c r="S159" s="3"/>
      <c r="T159" s="3"/>
      <c r="U159" s="3"/>
    </row>
    <row r="160" spans="1:21" x14ac:dyDescent="0.2">
      <c r="A160" s="3">
        <v>159</v>
      </c>
      <c r="B160" s="3">
        <v>56</v>
      </c>
      <c r="C160" s="3" t="s">
        <v>15</v>
      </c>
      <c r="D160" s="3">
        <v>46</v>
      </c>
      <c r="E160" s="3">
        <v>100.59</v>
      </c>
      <c r="F160" s="3" t="s">
        <v>20</v>
      </c>
      <c r="G160" s="3" t="s">
        <v>24</v>
      </c>
      <c r="H160" s="3">
        <v>1</v>
      </c>
      <c r="I160" s="3">
        <v>77.099999999999994</v>
      </c>
      <c r="J160" s="3">
        <v>1</v>
      </c>
      <c r="K160" s="3">
        <v>4833.24</v>
      </c>
      <c r="L160" s="3">
        <v>0</v>
      </c>
      <c r="M160" s="3" t="s">
        <v>89</v>
      </c>
      <c r="N160" s="3" t="s">
        <v>94</v>
      </c>
      <c r="O160" s="3" t="str" cm="1">
        <f t="array" ref="O160">_xlfn.IFS(
  I160 &lt;= $Q$2, "Low",
  I160 &lt;= $Q$3, "Mid-Low",
  I160 &lt;= $Q$4, "Mid-High",
  TRUE,                 "High"
)</f>
        <v>High</v>
      </c>
      <c r="P160" s="3" t="s">
        <v>121</v>
      </c>
      <c r="Q160" s="3"/>
      <c r="R160" s="3"/>
      <c r="S160" s="3"/>
      <c r="T160" s="3"/>
      <c r="U160" s="3"/>
    </row>
    <row r="161" spans="1:21" x14ac:dyDescent="0.2">
      <c r="A161" s="3">
        <v>160</v>
      </c>
      <c r="B161" s="3">
        <v>66</v>
      </c>
      <c r="C161" s="3" t="s">
        <v>16</v>
      </c>
      <c r="D161" s="3">
        <v>13</v>
      </c>
      <c r="E161" s="3">
        <v>25.57</v>
      </c>
      <c r="F161" s="3" t="s">
        <v>20</v>
      </c>
      <c r="G161" s="3" t="s">
        <v>24</v>
      </c>
      <c r="H161" s="3">
        <v>0</v>
      </c>
      <c r="I161" s="3">
        <v>76.599999999999994</v>
      </c>
      <c r="J161" s="3">
        <v>3</v>
      </c>
      <c r="K161" s="3">
        <v>345.21</v>
      </c>
      <c r="L161" s="3">
        <v>1</v>
      </c>
      <c r="M161" s="3" t="s">
        <v>91</v>
      </c>
      <c r="N161" s="3" t="s">
        <v>94</v>
      </c>
      <c r="O161" s="3" t="str" cm="1">
        <f t="array" ref="O161">_xlfn.IFS(
  I161 &lt;= $Q$2, "Low",
  I161 &lt;= $Q$3, "Mid-Low",
  I161 &lt;= $Q$4, "Mid-High",
  TRUE,                 "High"
)</f>
        <v>High</v>
      </c>
      <c r="P161" s="3" t="s">
        <v>73</v>
      </c>
      <c r="Q161" s="3"/>
      <c r="R161" s="3"/>
      <c r="S161" s="3"/>
      <c r="T161" s="3"/>
      <c r="U161" s="3"/>
    </row>
    <row r="162" spans="1:21" x14ac:dyDescent="0.2">
      <c r="A162" s="3">
        <v>161</v>
      </c>
      <c r="B162" s="3">
        <v>69</v>
      </c>
      <c r="C162" s="3" t="s">
        <v>15</v>
      </c>
      <c r="D162" s="3">
        <v>40</v>
      </c>
      <c r="E162" s="3">
        <v>104.23</v>
      </c>
      <c r="F162" s="3" t="s">
        <v>19</v>
      </c>
      <c r="G162" s="3" t="s">
        <v>22</v>
      </c>
      <c r="H162" s="3">
        <v>0</v>
      </c>
      <c r="I162" s="3">
        <v>6.7</v>
      </c>
      <c r="J162" s="3">
        <v>8</v>
      </c>
      <c r="K162" s="3">
        <v>3864.38</v>
      </c>
      <c r="L162" s="3">
        <v>0</v>
      </c>
      <c r="M162" s="3" t="s">
        <v>89</v>
      </c>
      <c r="N162" s="3" t="s">
        <v>96</v>
      </c>
      <c r="O162" s="3" t="str" cm="1">
        <f t="array" ref="O162">_xlfn.IFS(
  I162 &lt;= $Q$2, "Low",
  I162 &lt;= $Q$3, "Mid-Low",
  I162 &lt;= $Q$4, "Mid-High",
  TRUE,                 "High"
)</f>
        <v>Low</v>
      </c>
      <c r="P162" s="3" t="s">
        <v>121</v>
      </c>
      <c r="Q162" s="3"/>
      <c r="R162" s="3"/>
      <c r="S162" s="3"/>
      <c r="T162" s="3"/>
      <c r="U162" s="3"/>
    </row>
    <row r="163" spans="1:21" x14ac:dyDescent="0.2">
      <c r="A163" s="3">
        <v>162</v>
      </c>
      <c r="B163" s="3">
        <v>49</v>
      </c>
      <c r="C163" s="3" t="s">
        <v>16</v>
      </c>
      <c r="D163" s="3">
        <v>42</v>
      </c>
      <c r="E163" s="3">
        <v>25.16</v>
      </c>
      <c r="F163" s="3" t="s">
        <v>20</v>
      </c>
      <c r="G163" s="3" t="s">
        <v>23</v>
      </c>
      <c r="H163" s="3">
        <v>1</v>
      </c>
      <c r="I163" s="3">
        <v>17</v>
      </c>
      <c r="J163" s="3">
        <v>3</v>
      </c>
      <c r="K163" s="3">
        <v>1014.32</v>
      </c>
      <c r="L163" s="3">
        <v>0</v>
      </c>
      <c r="M163" s="3" t="s">
        <v>89</v>
      </c>
      <c r="N163" s="3" t="s">
        <v>94</v>
      </c>
      <c r="O163" s="3" t="str" cm="1">
        <f t="array" ref="O163">_xlfn.IFS(
  I163 &lt;= $Q$2, "Low",
  I163 &lt;= $Q$3, "Mid-Low",
  I163 &lt;= $Q$4, "Mid-High",
  TRUE,                 "High"
)</f>
        <v>Low</v>
      </c>
      <c r="P163" s="3" t="s">
        <v>73</v>
      </c>
      <c r="Q163" s="3"/>
      <c r="R163" s="3"/>
      <c r="S163" s="3"/>
      <c r="T163" s="3"/>
      <c r="U163" s="3"/>
    </row>
    <row r="164" spans="1:21" x14ac:dyDescent="0.2">
      <c r="A164" s="3">
        <v>163</v>
      </c>
      <c r="B164" s="3">
        <v>21</v>
      </c>
      <c r="C164" s="3" t="s">
        <v>15</v>
      </c>
      <c r="D164" s="3">
        <v>9</v>
      </c>
      <c r="E164" s="3">
        <v>21.82</v>
      </c>
      <c r="F164" s="3" t="s">
        <v>20</v>
      </c>
      <c r="G164" s="3" t="s">
        <v>23</v>
      </c>
      <c r="H164" s="3">
        <v>1</v>
      </c>
      <c r="I164" s="3">
        <v>67.7</v>
      </c>
      <c r="J164" s="3">
        <v>4</v>
      </c>
      <c r="K164" s="3">
        <v>190.83</v>
      </c>
      <c r="L164" s="3">
        <v>1</v>
      </c>
      <c r="M164" s="3" t="s">
        <v>93</v>
      </c>
      <c r="N164" s="3" t="s">
        <v>94</v>
      </c>
      <c r="O164" s="3" t="str" cm="1">
        <f t="array" ref="O164">_xlfn.IFS(
  I164 &lt;= $Q$2, "Low",
  I164 &lt;= $Q$3, "Mid-Low",
  I164 &lt;= $Q$4, "Mid-High",
  TRUE,                 "High"
)</f>
        <v>Mid-High</v>
      </c>
      <c r="P164" s="3" t="s">
        <v>73</v>
      </c>
      <c r="Q164" s="3"/>
      <c r="R164" s="3"/>
      <c r="S164" s="3"/>
      <c r="T164" s="3"/>
      <c r="U164" s="3"/>
    </row>
    <row r="165" spans="1:21" x14ac:dyDescent="0.2">
      <c r="A165" s="3">
        <v>164</v>
      </c>
      <c r="B165" s="3">
        <v>47</v>
      </c>
      <c r="C165" s="3" t="s">
        <v>16</v>
      </c>
      <c r="D165" s="3">
        <v>50</v>
      </c>
      <c r="E165" s="3">
        <v>89.7</v>
      </c>
      <c r="F165" s="3" t="s">
        <v>20</v>
      </c>
      <c r="G165" s="3" t="s">
        <v>24</v>
      </c>
      <c r="H165" s="3">
        <v>1</v>
      </c>
      <c r="I165" s="3">
        <v>20.399999999999999</v>
      </c>
      <c r="J165" s="3">
        <v>8</v>
      </c>
      <c r="K165" s="3">
        <v>4758.08</v>
      </c>
      <c r="L165" s="3">
        <v>0</v>
      </c>
      <c r="M165" s="3" t="s">
        <v>89</v>
      </c>
      <c r="N165" s="3" t="s">
        <v>96</v>
      </c>
      <c r="O165" s="3" t="str" cm="1">
        <f t="array" ref="O165">_xlfn.IFS(
  I165 &lt;= $Q$2, "Low",
  I165 &lt;= $Q$3, "Mid-Low",
  I165 &lt;= $Q$4, "Mid-High",
  TRUE,                 "High"
)</f>
        <v>Low</v>
      </c>
      <c r="P165" s="3" t="s">
        <v>75</v>
      </c>
      <c r="Q165" s="3"/>
      <c r="R165" s="3"/>
      <c r="S165" s="3"/>
      <c r="T165" s="3"/>
      <c r="U165" s="3"/>
    </row>
    <row r="166" spans="1:21" x14ac:dyDescent="0.2">
      <c r="A166" s="3">
        <v>165</v>
      </c>
      <c r="B166" s="3">
        <v>54</v>
      </c>
      <c r="C166" s="3" t="s">
        <v>15</v>
      </c>
      <c r="D166" s="3">
        <v>27</v>
      </c>
      <c r="E166" s="3">
        <v>119.73</v>
      </c>
      <c r="F166" s="3" t="s">
        <v>20</v>
      </c>
      <c r="G166" s="3" t="s">
        <v>23</v>
      </c>
      <c r="H166" s="3">
        <v>4</v>
      </c>
      <c r="I166" s="3">
        <v>29.3</v>
      </c>
      <c r="J166" s="3">
        <v>1</v>
      </c>
      <c r="K166" s="3">
        <v>3089.67</v>
      </c>
      <c r="L166" s="3">
        <v>1</v>
      </c>
      <c r="M166" s="3" t="s">
        <v>89</v>
      </c>
      <c r="N166" s="3" t="s">
        <v>94</v>
      </c>
      <c r="O166" s="3" t="str" cm="1">
        <f t="array" ref="O166">_xlfn.IFS(
  I166 &lt;= $Q$2, "Low",
  I166 &lt;= $Q$3, "Mid-Low",
  I166 &lt;= $Q$4, "Mid-High",
  TRUE,                 "High"
)</f>
        <v>Mid-Low</v>
      </c>
      <c r="P166" s="3" t="s">
        <v>121</v>
      </c>
      <c r="Q166" s="3"/>
      <c r="R166" s="3"/>
      <c r="S166" s="3"/>
      <c r="T166" s="3"/>
      <c r="U166" s="3"/>
    </row>
    <row r="167" spans="1:21" x14ac:dyDescent="0.2">
      <c r="A167" s="3">
        <v>166</v>
      </c>
      <c r="B167" s="3">
        <v>40</v>
      </c>
      <c r="C167" s="3" t="s">
        <v>16</v>
      </c>
      <c r="D167" s="3">
        <v>66</v>
      </c>
      <c r="E167" s="3">
        <v>109.66</v>
      </c>
      <c r="F167" s="3" t="s">
        <v>18</v>
      </c>
      <c r="G167" s="3" t="s">
        <v>23</v>
      </c>
      <c r="H167" s="3">
        <v>3</v>
      </c>
      <c r="I167" s="3">
        <v>94.9</v>
      </c>
      <c r="J167" s="3">
        <v>6</v>
      </c>
      <c r="K167" s="3">
        <v>6818.8</v>
      </c>
      <c r="L167" s="3">
        <v>1</v>
      </c>
      <c r="M167" s="3" t="s">
        <v>89</v>
      </c>
      <c r="N167" s="3" t="s">
        <v>95</v>
      </c>
      <c r="O167" s="3" t="str" cm="1">
        <f t="array" ref="O167">_xlfn.IFS(
  I167 &lt;= $Q$2, "Low",
  I167 &lt;= $Q$3, "Mid-Low",
  I167 &lt;= $Q$4, "Mid-High",
  TRUE,                 "High"
)</f>
        <v>High</v>
      </c>
      <c r="P167" s="3" t="s">
        <v>121</v>
      </c>
      <c r="Q167" s="3"/>
      <c r="R167" s="3"/>
      <c r="S167" s="3"/>
      <c r="T167" s="3"/>
      <c r="U167" s="3"/>
    </row>
    <row r="168" spans="1:21" x14ac:dyDescent="0.2">
      <c r="A168" s="3">
        <v>167</v>
      </c>
      <c r="B168" s="3">
        <v>56</v>
      </c>
      <c r="C168" s="3" t="s">
        <v>16</v>
      </c>
      <c r="D168" s="3">
        <v>5</v>
      </c>
      <c r="E168" s="3">
        <v>77.599999999999994</v>
      </c>
      <c r="F168" s="3" t="s">
        <v>18</v>
      </c>
      <c r="G168" s="3" t="s">
        <v>22</v>
      </c>
      <c r="H168" s="3">
        <v>2</v>
      </c>
      <c r="I168" s="3">
        <v>58.2</v>
      </c>
      <c r="J168" s="3">
        <v>1</v>
      </c>
      <c r="K168" s="3">
        <v>423.5</v>
      </c>
      <c r="L168" s="3">
        <v>1</v>
      </c>
      <c r="M168" s="3" t="s">
        <v>92</v>
      </c>
      <c r="N168" s="3" t="s">
        <v>94</v>
      </c>
      <c r="O168" s="3" t="str" cm="1">
        <f t="array" ref="O168">_xlfn.IFS(
  I168 &lt;= $Q$2, "Low",
  I168 &lt;= $Q$3, "Mid-Low",
  I168 &lt;= $Q$4, "Mid-High",
  TRUE,                 "High"
)</f>
        <v>Mid-High</v>
      </c>
      <c r="P168" s="3" t="s">
        <v>75</v>
      </c>
      <c r="Q168" s="3"/>
      <c r="R168" s="3"/>
      <c r="S168" s="3"/>
      <c r="T168" s="3"/>
      <c r="U168" s="3"/>
    </row>
    <row r="169" spans="1:21" x14ac:dyDescent="0.2">
      <c r="A169" s="3">
        <v>168</v>
      </c>
      <c r="B169" s="3">
        <v>62</v>
      </c>
      <c r="C169" s="3" t="s">
        <v>15</v>
      </c>
      <c r="D169" s="3">
        <v>29</v>
      </c>
      <c r="E169" s="3">
        <v>111.74</v>
      </c>
      <c r="F169" s="3" t="s">
        <v>20</v>
      </c>
      <c r="G169" s="3" t="s">
        <v>23</v>
      </c>
      <c r="H169" s="3">
        <v>4</v>
      </c>
      <c r="I169" s="3">
        <v>76.3</v>
      </c>
      <c r="J169" s="3">
        <v>1</v>
      </c>
      <c r="K169" s="3">
        <v>2922.16</v>
      </c>
      <c r="L169" s="3">
        <v>1</v>
      </c>
      <c r="M169" s="3" t="s">
        <v>89</v>
      </c>
      <c r="N169" s="3" t="s">
        <v>94</v>
      </c>
      <c r="O169" s="3" t="str" cm="1">
        <f t="array" ref="O169">_xlfn.IFS(
  I169 &lt;= $Q$2, "Low",
  I169 &lt;= $Q$3, "Mid-Low",
  I169 &lt;= $Q$4, "Mid-High",
  TRUE,                 "High"
)</f>
        <v>High</v>
      </c>
      <c r="P169" s="3" t="s">
        <v>121</v>
      </c>
      <c r="Q169" s="3"/>
      <c r="R169" s="3"/>
      <c r="S169" s="3"/>
      <c r="T169" s="3"/>
      <c r="U169" s="3"/>
    </row>
    <row r="170" spans="1:21" x14ac:dyDescent="0.2">
      <c r="A170" s="3">
        <v>169</v>
      </c>
      <c r="B170" s="3">
        <v>32</v>
      </c>
      <c r="C170" s="3" t="s">
        <v>16</v>
      </c>
      <c r="D170" s="3">
        <v>37</v>
      </c>
      <c r="E170" s="3">
        <v>20.53</v>
      </c>
      <c r="F170" s="3" t="s">
        <v>20</v>
      </c>
      <c r="G170" s="3" t="s">
        <v>22</v>
      </c>
      <c r="H170" s="3">
        <v>2</v>
      </c>
      <c r="I170" s="3">
        <v>58</v>
      </c>
      <c r="J170" s="3">
        <v>8</v>
      </c>
      <c r="K170" s="3">
        <v>835.24</v>
      </c>
      <c r="L170" s="3">
        <v>1</v>
      </c>
      <c r="M170" s="3" t="s">
        <v>89</v>
      </c>
      <c r="N170" s="3" t="s">
        <v>96</v>
      </c>
      <c r="O170" s="3" t="str" cm="1">
        <f t="array" ref="O170">_xlfn.IFS(
  I170 &lt;= $Q$2, "Low",
  I170 &lt;= $Q$3, "Mid-Low",
  I170 &lt;= $Q$4, "Mid-High",
  TRUE,                 "High"
)</f>
        <v>Mid-High</v>
      </c>
      <c r="P170" s="3" t="s">
        <v>73</v>
      </c>
      <c r="Q170" s="3"/>
      <c r="R170" s="3"/>
      <c r="S170" s="3"/>
      <c r="T170" s="3"/>
      <c r="U170" s="3"/>
    </row>
    <row r="171" spans="1:21" x14ac:dyDescent="0.2">
      <c r="A171" s="3">
        <v>170</v>
      </c>
      <c r="B171" s="3">
        <v>60</v>
      </c>
      <c r="C171" s="3" t="s">
        <v>16</v>
      </c>
      <c r="D171" s="3">
        <v>38</v>
      </c>
      <c r="E171" s="3">
        <v>117.51</v>
      </c>
      <c r="F171" s="3" t="s">
        <v>18</v>
      </c>
      <c r="G171" s="3" t="s">
        <v>24</v>
      </c>
      <c r="H171" s="3">
        <v>0</v>
      </c>
      <c r="I171" s="3">
        <v>57.5</v>
      </c>
      <c r="J171" s="3">
        <v>4</v>
      </c>
      <c r="K171" s="3">
        <v>4623.29</v>
      </c>
      <c r="L171" s="3">
        <v>1</v>
      </c>
      <c r="M171" s="3" t="s">
        <v>89</v>
      </c>
      <c r="N171" s="3" t="s">
        <v>94</v>
      </c>
      <c r="O171" s="3" t="str" cm="1">
        <f t="array" ref="O171">_xlfn.IFS(
  I171 &lt;= $Q$2, "Low",
  I171 &lt;= $Q$3, "Mid-Low",
  I171 &lt;= $Q$4, "Mid-High",
  TRUE,                 "High"
)</f>
        <v>Mid-High</v>
      </c>
      <c r="P171" s="3" t="s">
        <v>121</v>
      </c>
      <c r="Q171" s="3"/>
      <c r="R171" s="3"/>
      <c r="S171" s="3"/>
      <c r="T171" s="3"/>
      <c r="U171" s="3"/>
    </row>
    <row r="172" spans="1:21" x14ac:dyDescent="0.2">
      <c r="A172" s="3">
        <v>171</v>
      </c>
      <c r="B172" s="3">
        <v>46</v>
      </c>
      <c r="C172" s="3" t="s">
        <v>15</v>
      </c>
      <c r="D172" s="3">
        <v>8</v>
      </c>
      <c r="E172" s="3">
        <v>69.069999999999993</v>
      </c>
      <c r="F172" s="3" t="s">
        <v>20</v>
      </c>
      <c r="G172" s="3" t="s">
        <v>23</v>
      </c>
      <c r="H172" s="3">
        <v>1</v>
      </c>
      <c r="I172" s="3">
        <v>13.9</v>
      </c>
      <c r="J172" s="3">
        <v>1</v>
      </c>
      <c r="K172" s="3">
        <v>588.86</v>
      </c>
      <c r="L172" s="3">
        <v>0</v>
      </c>
      <c r="M172" s="3" t="s">
        <v>93</v>
      </c>
      <c r="N172" s="3" t="s">
        <v>94</v>
      </c>
      <c r="O172" s="3" t="str" cm="1">
        <f t="array" ref="O172">_xlfn.IFS(
  I172 &lt;= $Q$2, "Low",
  I172 &lt;= $Q$3, "Mid-Low",
  I172 &lt;= $Q$4, "Mid-High",
  TRUE,                 "High"
)</f>
        <v>Low</v>
      </c>
      <c r="P172" s="3" t="s">
        <v>122</v>
      </c>
      <c r="Q172" s="3"/>
      <c r="R172" s="3"/>
      <c r="S172" s="3"/>
      <c r="T172" s="3"/>
      <c r="U172" s="3"/>
    </row>
    <row r="173" spans="1:21" x14ac:dyDescent="0.2">
      <c r="A173" s="3">
        <v>172</v>
      </c>
      <c r="B173" s="3">
        <v>53</v>
      </c>
      <c r="C173" s="3" t="s">
        <v>16</v>
      </c>
      <c r="D173" s="3">
        <v>65</v>
      </c>
      <c r="E173" s="3">
        <v>92.29</v>
      </c>
      <c r="F173" s="3" t="s">
        <v>20</v>
      </c>
      <c r="G173" s="3" t="s">
        <v>24</v>
      </c>
      <c r="H173" s="3">
        <v>5</v>
      </c>
      <c r="I173" s="3">
        <v>37.6</v>
      </c>
      <c r="J173" s="3">
        <v>10</v>
      </c>
      <c r="K173" s="3">
        <v>5752.44</v>
      </c>
      <c r="L173" s="3">
        <v>0</v>
      </c>
      <c r="M173" s="3" t="s">
        <v>89</v>
      </c>
      <c r="N173" s="3" t="s">
        <v>97</v>
      </c>
      <c r="O173" s="3" t="str" cm="1">
        <f t="array" ref="O173">_xlfn.IFS(
  I173 &lt;= $Q$2, "Low",
  I173 &lt;= $Q$3, "Mid-Low",
  I173 &lt;= $Q$4, "Mid-High",
  TRUE,                 "High"
)</f>
        <v>Mid-Low</v>
      </c>
      <c r="P173" s="3" t="s">
        <v>75</v>
      </c>
      <c r="Q173" s="3"/>
      <c r="R173" s="3"/>
      <c r="S173" s="3"/>
      <c r="T173" s="3"/>
      <c r="U173" s="3"/>
    </row>
    <row r="174" spans="1:21" x14ac:dyDescent="0.2">
      <c r="A174" s="3">
        <v>173</v>
      </c>
      <c r="B174" s="3">
        <v>30</v>
      </c>
      <c r="C174" s="3" t="s">
        <v>16</v>
      </c>
      <c r="D174" s="3">
        <v>17</v>
      </c>
      <c r="E174" s="3">
        <v>102.09</v>
      </c>
      <c r="F174" s="3" t="s">
        <v>19</v>
      </c>
      <c r="G174" s="3" t="s">
        <v>24</v>
      </c>
      <c r="H174" s="3">
        <v>1</v>
      </c>
      <c r="I174" s="3">
        <v>31.8</v>
      </c>
      <c r="J174" s="3">
        <v>7</v>
      </c>
      <c r="K174" s="3">
        <v>1566.95</v>
      </c>
      <c r="L174" s="3">
        <v>0</v>
      </c>
      <c r="M174" s="3" t="s">
        <v>91</v>
      </c>
      <c r="N174" s="3" t="s">
        <v>96</v>
      </c>
      <c r="O174" s="3" t="str" cm="1">
        <f t="array" ref="O174">_xlfn.IFS(
  I174 &lt;= $Q$2, "Low",
  I174 &lt;= $Q$3, "Mid-Low",
  I174 &lt;= $Q$4, "Mid-High",
  TRUE,                 "High"
)</f>
        <v>Mid-Low</v>
      </c>
      <c r="P174" s="3" t="s">
        <v>121</v>
      </c>
      <c r="Q174" s="3"/>
      <c r="R174" s="3"/>
      <c r="S174" s="3"/>
      <c r="T174" s="3"/>
      <c r="U174" s="3"/>
    </row>
    <row r="175" spans="1:21" x14ac:dyDescent="0.2">
      <c r="A175" s="3">
        <v>174</v>
      </c>
      <c r="B175" s="3">
        <v>49</v>
      </c>
      <c r="C175" s="3" t="s">
        <v>16</v>
      </c>
      <c r="D175" s="3">
        <v>71</v>
      </c>
      <c r="E175" s="3">
        <v>91.85</v>
      </c>
      <c r="F175" s="3" t="s">
        <v>18</v>
      </c>
      <c r="G175" s="3" t="s">
        <v>23</v>
      </c>
      <c r="H175" s="3">
        <v>5</v>
      </c>
      <c r="I175" s="3">
        <v>42.1</v>
      </c>
      <c r="J175" s="3">
        <v>5</v>
      </c>
      <c r="K175" s="3">
        <v>6831.6</v>
      </c>
      <c r="L175" s="3">
        <v>0</v>
      </c>
      <c r="M175" s="3" t="s">
        <v>89</v>
      </c>
      <c r="N175" s="3" t="s">
        <v>95</v>
      </c>
      <c r="O175" s="3" t="str" cm="1">
        <f t="array" ref="O175">_xlfn.IFS(
  I175 &lt;= $Q$2, "Low",
  I175 &lt;= $Q$3, "Mid-Low",
  I175 &lt;= $Q$4, "Mid-High",
  TRUE,                 "High"
)</f>
        <v>Mid-Low</v>
      </c>
      <c r="P175" s="3" t="s">
        <v>75</v>
      </c>
      <c r="Q175" s="3"/>
      <c r="R175" s="3"/>
      <c r="S175" s="3"/>
      <c r="T175" s="3"/>
      <c r="U175" s="3"/>
    </row>
    <row r="176" spans="1:21" x14ac:dyDescent="0.2">
      <c r="A176" s="3">
        <v>175</v>
      </c>
      <c r="B176" s="3">
        <v>24</v>
      </c>
      <c r="C176" s="3" t="s">
        <v>15</v>
      </c>
      <c r="D176" s="3">
        <v>45</v>
      </c>
      <c r="E176" s="3">
        <v>73.5</v>
      </c>
      <c r="F176" s="3" t="s">
        <v>18</v>
      </c>
      <c r="G176" s="3" t="s">
        <v>23</v>
      </c>
      <c r="H176" s="3">
        <v>0</v>
      </c>
      <c r="I176" s="3">
        <v>80.8</v>
      </c>
      <c r="J176" s="3">
        <v>5</v>
      </c>
      <c r="K176" s="3">
        <v>3528.54</v>
      </c>
      <c r="L176" s="3">
        <v>0</v>
      </c>
      <c r="M176" s="3" t="s">
        <v>89</v>
      </c>
      <c r="N176" s="3" t="s">
        <v>95</v>
      </c>
      <c r="O176" s="3" t="str" cm="1">
        <f t="array" ref="O176">_xlfn.IFS(
  I176 &lt;= $Q$2, "Low",
  I176 &lt;= $Q$3, "Mid-Low",
  I176 &lt;= $Q$4, "Mid-High",
  TRUE,                 "High"
)</f>
        <v>High</v>
      </c>
      <c r="P176" s="3" t="s">
        <v>122</v>
      </c>
      <c r="Q176" s="3"/>
      <c r="R176" s="3"/>
      <c r="S176" s="3"/>
      <c r="T176" s="3"/>
      <c r="U176" s="3"/>
    </row>
    <row r="177" spans="1:21" x14ac:dyDescent="0.2">
      <c r="A177" s="3">
        <v>176</v>
      </c>
      <c r="B177" s="3">
        <v>68</v>
      </c>
      <c r="C177" s="3" t="s">
        <v>16</v>
      </c>
      <c r="D177" s="3">
        <v>4</v>
      </c>
      <c r="E177" s="3">
        <v>67.66</v>
      </c>
      <c r="F177" s="3" t="s">
        <v>18</v>
      </c>
      <c r="G177" s="3" t="s">
        <v>24</v>
      </c>
      <c r="H177" s="3">
        <v>2</v>
      </c>
      <c r="I177" s="3">
        <v>40.299999999999997</v>
      </c>
      <c r="J177" s="3">
        <v>1</v>
      </c>
      <c r="K177" s="3">
        <v>283.66000000000003</v>
      </c>
      <c r="L177" s="3">
        <v>0</v>
      </c>
      <c r="M177" s="3" t="s">
        <v>92</v>
      </c>
      <c r="N177" s="3" t="s">
        <v>94</v>
      </c>
      <c r="O177" s="3" t="str" cm="1">
        <f t="array" ref="O177">_xlfn.IFS(
  I177 &lt;= $Q$2, "Low",
  I177 &lt;= $Q$3, "Mid-Low",
  I177 &lt;= $Q$4, "Mid-High",
  TRUE,                 "High"
)</f>
        <v>Mid-Low</v>
      </c>
      <c r="P177" s="3" t="s">
        <v>122</v>
      </c>
      <c r="Q177" s="3"/>
      <c r="R177" s="3"/>
      <c r="S177" s="3"/>
      <c r="T177" s="3"/>
      <c r="U177" s="3"/>
    </row>
    <row r="178" spans="1:21" x14ac:dyDescent="0.2">
      <c r="A178" s="3">
        <v>177</v>
      </c>
      <c r="B178" s="3">
        <v>39</v>
      </c>
      <c r="C178" s="3" t="s">
        <v>15</v>
      </c>
      <c r="D178" s="3">
        <v>36</v>
      </c>
      <c r="E178" s="3">
        <v>103.86</v>
      </c>
      <c r="F178" s="3" t="s">
        <v>20</v>
      </c>
      <c r="G178" s="3" t="s">
        <v>23</v>
      </c>
      <c r="H178" s="3">
        <v>0</v>
      </c>
      <c r="I178" s="3">
        <v>47.9</v>
      </c>
      <c r="J178" s="3">
        <v>10</v>
      </c>
      <c r="K178" s="3">
        <v>3471.89</v>
      </c>
      <c r="L178" s="3">
        <v>1</v>
      </c>
      <c r="M178" s="3" t="s">
        <v>89</v>
      </c>
      <c r="N178" s="3" t="s">
        <v>97</v>
      </c>
      <c r="O178" s="3" t="str" cm="1">
        <f t="array" ref="O178">_xlfn.IFS(
  I178 &lt;= $Q$2, "Low",
  I178 &lt;= $Q$3, "Mid-Low",
  I178 &lt;= $Q$4, "Mid-High",
  TRUE,                 "High"
)</f>
        <v>Mid-Low</v>
      </c>
      <c r="P178" s="3" t="s">
        <v>121</v>
      </c>
      <c r="Q178" s="3"/>
      <c r="R178" s="3"/>
      <c r="S178" s="3"/>
      <c r="T178" s="3"/>
      <c r="U178" s="3"/>
    </row>
    <row r="179" spans="1:21" x14ac:dyDescent="0.2">
      <c r="A179" s="3">
        <v>178</v>
      </c>
      <c r="B179" s="3">
        <v>45</v>
      </c>
      <c r="C179" s="3" t="s">
        <v>16</v>
      </c>
      <c r="D179" s="3">
        <v>70</v>
      </c>
      <c r="E179" s="3">
        <v>40.51</v>
      </c>
      <c r="F179" s="3" t="s">
        <v>18</v>
      </c>
      <c r="G179" s="3" t="s">
        <v>22</v>
      </c>
      <c r="H179" s="3">
        <v>1</v>
      </c>
      <c r="I179" s="3">
        <v>42.8</v>
      </c>
      <c r="J179" s="3">
        <v>6</v>
      </c>
      <c r="K179" s="3">
        <v>2979.43</v>
      </c>
      <c r="L179" s="3">
        <v>0</v>
      </c>
      <c r="M179" s="3" t="s">
        <v>89</v>
      </c>
      <c r="N179" s="3" t="s">
        <v>95</v>
      </c>
      <c r="O179" s="3" t="str" cm="1">
        <f t="array" ref="O179">_xlfn.IFS(
  I179 &lt;= $Q$2, "Low",
  I179 &lt;= $Q$3, "Mid-Low",
  I179 &lt;= $Q$4, "Mid-High",
  TRUE,                 "High"
)</f>
        <v>Mid-Low</v>
      </c>
      <c r="P179" s="3" t="s">
        <v>73</v>
      </c>
      <c r="Q179" s="3"/>
      <c r="R179" s="3"/>
      <c r="S179" s="3"/>
      <c r="T179" s="3"/>
      <c r="U179" s="3"/>
    </row>
    <row r="180" spans="1:21" x14ac:dyDescent="0.2">
      <c r="A180" s="3">
        <v>179</v>
      </c>
      <c r="B180" s="3">
        <v>19</v>
      </c>
      <c r="C180" s="3" t="s">
        <v>16</v>
      </c>
      <c r="D180" s="3">
        <v>31</v>
      </c>
      <c r="E180" s="3">
        <v>116.8</v>
      </c>
      <c r="F180" s="3" t="s">
        <v>20</v>
      </c>
      <c r="G180" s="3" t="s">
        <v>22</v>
      </c>
      <c r="H180" s="3">
        <v>4</v>
      </c>
      <c r="I180" s="3">
        <v>13.9</v>
      </c>
      <c r="J180" s="3">
        <v>9</v>
      </c>
      <c r="K180" s="3">
        <v>3815.54</v>
      </c>
      <c r="L180" s="3">
        <v>0</v>
      </c>
      <c r="M180" s="3" t="s">
        <v>89</v>
      </c>
      <c r="N180" s="3" t="s">
        <v>97</v>
      </c>
      <c r="O180" s="3" t="str" cm="1">
        <f t="array" ref="O180">_xlfn.IFS(
  I180 &lt;= $Q$2, "Low",
  I180 &lt;= $Q$3, "Mid-Low",
  I180 &lt;= $Q$4, "Mid-High",
  TRUE,                 "High"
)</f>
        <v>Low</v>
      </c>
      <c r="P180" s="3" t="s">
        <v>121</v>
      </c>
      <c r="Q180" s="3"/>
      <c r="R180" s="3"/>
      <c r="S180" s="3"/>
      <c r="T180" s="3"/>
      <c r="U180" s="3"/>
    </row>
    <row r="181" spans="1:21" x14ac:dyDescent="0.2">
      <c r="A181" s="3">
        <v>180</v>
      </c>
      <c r="B181" s="3">
        <v>59</v>
      </c>
      <c r="C181" s="3" t="s">
        <v>16</v>
      </c>
      <c r="D181" s="3">
        <v>19</v>
      </c>
      <c r="E181" s="3">
        <v>91.1</v>
      </c>
      <c r="F181" s="3" t="s">
        <v>20</v>
      </c>
      <c r="G181" s="3" t="s">
        <v>23</v>
      </c>
      <c r="H181" s="3">
        <v>0</v>
      </c>
      <c r="I181" s="3">
        <v>46.9</v>
      </c>
      <c r="J181" s="3">
        <v>9</v>
      </c>
      <c r="K181" s="3">
        <v>1785.78</v>
      </c>
      <c r="L181" s="3">
        <v>0</v>
      </c>
      <c r="M181" s="3" t="s">
        <v>91</v>
      </c>
      <c r="N181" s="3" t="s">
        <v>97</v>
      </c>
      <c r="O181" s="3" t="str" cm="1">
        <f t="array" ref="O181">_xlfn.IFS(
  I181 &lt;= $Q$2, "Low",
  I181 &lt;= $Q$3, "Mid-Low",
  I181 &lt;= $Q$4, "Mid-High",
  TRUE,                 "High"
)</f>
        <v>Mid-Low</v>
      </c>
      <c r="P181" s="3" t="s">
        <v>75</v>
      </c>
      <c r="Q181" s="3"/>
      <c r="R181" s="3"/>
      <c r="S181" s="3"/>
      <c r="T181" s="3"/>
      <c r="U181" s="3"/>
    </row>
    <row r="182" spans="1:21" x14ac:dyDescent="0.2">
      <c r="A182" s="3">
        <v>181</v>
      </c>
      <c r="B182" s="3">
        <v>62</v>
      </c>
      <c r="C182" s="3" t="s">
        <v>15</v>
      </c>
      <c r="D182" s="3">
        <v>61</v>
      </c>
      <c r="E182" s="3">
        <v>39.950000000000003</v>
      </c>
      <c r="F182" s="3" t="s">
        <v>20</v>
      </c>
      <c r="G182" s="3" t="s">
        <v>24</v>
      </c>
      <c r="H182" s="3">
        <v>0</v>
      </c>
      <c r="I182" s="3">
        <v>23.6</v>
      </c>
      <c r="J182" s="3">
        <v>8</v>
      </c>
      <c r="K182" s="3">
        <v>2566.65</v>
      </c>
      <c r="L182" s="3">
        <v>0</v>
      </c>
      <c r="M182" s="3" t="s">
        <v>89</v>
      </c>
      <c r="N182" s="3" t="s">
        <v>96</v>
      </c>
      <c r="O182" s="3" t="str" cm="1">
        <f t="array" ref="O182">_xlfn.IFS(
  I182 &lt;= $Q$2, "Low",
  I182 &lt;= $Q$3, "Mid-Low",
  I182 &lt;= $Q$4, "Mid-High",
  TRUE,                 "High"
)</f>
        <v>Low</v>
      </c>
      <c r="P182" s="3" t="s">
        <v>73</v>
      </c>
      <c r="Q182" s="3"/>
      <c r="R182" s="3"/>
      <c r="S182" s="3"/>
      <c r="T182" s="3"/>
      <c r="U182" s="3"/>
    </row>
    <row r="183" spans="1:21" x14ac:dyDescent="0.2">
      <c r="A183" s="3">
        <v>182</v>
      </c>
      <c r="B183" s="3">
        <v>23</v>
      </c>
      <c r="C183" s="3" t="s">
        <v>16</v>
      </c>
      <c r="D183" s="3">
        <v>54</v>
      </c>
      <c r="E183" s="3">
        <v>93.62</v>
      </c>
      <c r="F183" s="3" t="s">
        <v>20</v>
      </c>
      <c r="G183" s="3" t="s">
        <v>23</v>
      </c>
      <c r="H183" s="3">
        <v>2</v>
      </c>
      <c r="I183" s="3">
        <v>22.7</v>
      </c>
      <c r="J183" s="3">
        <v>5</v>
      </c>
      <c r="K183" s="3">
        <v>5405.24</v>
      </c>
      <c r="L183" s="3">
        <v>0</v>
      </c>
      <c r="M183" s="3" t="s">
        <v>89</v>
      </c>
      <c r="N183" s="3" t="s">
        <v>95</v>
      </c>
      <c r="O183" s="3" t="str" cm="1">
        <f t="array" ref="O183">_xlfn.IFS(
  I183 &lt;= $Q$2, "Low",
  I183 &lt;= $Q$3, "Mid-Low",
  I183 &lt;= $Q$4, "Mid-High",
  TRUE,                 "High"
)</f>
        <v>Low</v>
      </c>
      <c r="P183" s="3" t="s">
        <v>75</v>
      </c>
      <c r="Q183" s="3"/>
      <c r="R183" s="3"/>
      <c r="S183" s="3"/>
      <c r="T183" s="3"/>
      <c r="U183" s="3"/>
    </row>
    <row r="184" spans="1:21" x14ac:dyDescent="0.2">
      <c r="A184" s="3">
        <v>183</v>
      </c>
      <c r="B184" s="3">
        <v>45</v>
      </c>
      <c r="C184" s="3" t="s">
        <v>16</v>
      </c>
      <c r="D184" s="3">
        <v>39</v>
      </c>
      <c r="E184" s="3">
        <v>72.98</v>
      </c>
      <c r="F184" s="3" t="s">
        <v>18</v>
      </c>
      <c r="G184" s="3" t="s">
        <v>23</v>
      </c>
      <c r="H184" s="3">
        <v>1</v>
      </c>
      <c r="I184" s="3">
        <v>13.9</v>
      </c>
      <c r="J184" s="3">
        <v>1</v>
      </c>
      <c r="K184" s="3">
        <v>2910.89</v>
      </c>
      <c r="L184" s="3">
        <v>1</v>
      </c>
      <c r="M184" s="3" t="s">
        <v>89</v>
      </c>
      <c r="N184" s="3" t="s">
        <v>94</v>
      </c>
      <c r="O184" s="3" t="str" cm="1">
        <f t="array" ref="O184">_xlfn.IFS(
  I184 &lt;= $Q$2, "Low",
  I184 &lt;= $Q$3, "Mid-Low",
  I184 &lt;= $Q$4, "Mid-High",
  TRUE,                 "High"
)</f>
        <v>Low</v>
      </c>
      <c r="P184" s="3" t="s">
        <v>122</v>
      </c>
      <c r="Q184" s="3"/>
      <c r="R184" s="3"/>
      <c r="S184" s="3"/>
      <c r="T184" s="3"/>
      <c r="U184" s="3"/>
    </row>
    <row r="185" spans="1:21" x14ac:dyDescent="0.2">
      <c r="A185" s="3">
        <v>184</v>
      </c>
      <c r="B185" s="3">
        <v>45</v>
      </c>
      <c r="C185" s="3" t="s">
        <v>15</v>
      </c>
      <c r="D185" s="3">
        <v>19</v>
      </c>
      <c r="E185" s="3">
        <v>90.72</v>
      </c>
      <c r="F185" s="3" t="s">
        <v>20</v>
      </c>
      <c r="G185" s="3" t="s">
        <v>24</v>
      </c>
      <c r="H185" s="3">
        <v>1</v>
      </c>
      <c r="I185" s="3">
        <v>38.9</v>
      </c>
      <c r="J185" s="3">
        <v>9</v>
      </c>
      <c r="K185" s="3">
        <v>1581.86</v>
      </c>
      <c r="L185" s="3">
        <v>1</v>
      </c>
      <c r="M185" s="3" t="s">
        <v>91</v>
      </c>
      <c r="N185" s="3" t="s">
        <v>97</v>
      </c>
      <c r="O185" s="3" t="str" cm="1">
        <f t="array" ref="O185">_xlfn.IFS(
  I185 &lt;= $Q$2, "Low",
  I185 &lt;= $Q$3, "Mid-Low",
  I185 &lt;= $Q$4, "Mid-High",
  TRUE,                 "High"
)</f>
        <v>Mid-Low</v>
      </c>
      <c r="P185" s="3" t="s">
        <v>75</v>
      </c>
      <c r="Q185" s="3"/>
      <c r="R185" s="3"/>
      <c r="S185" s="3"/>
      <c r="T185" s="3"/>
      <c r="U185" s="3"/>
    </row>
    <row r="186" spans="1:21" x14ac:dyDescent="0.2">
      <c r="A186" s="3">
        <v>185</v>
      </c>
      <c r="B186" s="3">
        <v>61</v>
      </c>
      <c r="C186" s="3" t="s">
        <v>16</v>
      </c>
      <c r="D186" s="3">
        <v>39</v>
      </c>
      <c r="E186" s="3">
        <v>96.78</v>
      </c>
      <c r="F186" s="3" t="s">
        <v>20</v>
      </c>
      <c r="G186" s="3" t="s">
        <v>24</v>
      </c>
      <c r="H186" s="3">
        <v>3</v>
      </c>
      <c r="I186" s="3">
        <v>77</v>
      </c>
      <c r="J186" s="3">
        <v>1</v>
      </c>
      <c r="K186" s="3">
        <v>3765.08</v>
      </c>
      <c r="L186" s="3">
        <v>1</v>
      </c>
      <c r="M186" s="3" t="s">
        <v>89</v>
      </c>
      <c r="N186" s="3" t="s">
        <v>94</v>
      </c>
      <c r="O186" s="3" t="str" cm="1">
        <f t="array" ref="O186">_xlfn.IFS(
  I186 &lt;= $Q$2, "Low",
  I186 &lt;= $Q$3, "Mid-Low",
  I186 &lt;= $Q$4, "Mid-High",
  TRUE,                 "High"
)</f>
        <v>High</v>
      </c>
      <c r="P186" s="3" t="s">
        <v>121</v>
      </c>
      <c r="Q186" s="3"/>
      <c r="R186" s="3"/>
      <c r="S186" s="3"/>
      <c r="T186" s="3"/>
      <c r="U186" s="3"/>
    </row>
    <row r="187" spans="1:21" x14ac:dyDescent="0.2">
      <c r="A187" s="3">
        <v>186</v>
      </c>
      <c r="B187" s="3">
        <v>61</v>
      </c>
      <c r="C187" s="3" t="s">
        <v>15</v>
      </c>
      <c r="D187" s="3">
        <v>67</v>
      </c>
      <c r="E187" s="3">
        <v>28.73</v>
      </c>
      <c r="F187" s="3" t="s">
        <v>20</v>
      </c>
      <c r="G187" s="3" t="s">
        <v>22</v>
      </c>
      <c r="H187" s="3">
        <v>1</v>
      </c>
      <c r="I187" s="3">
        <v>31.3</v>
      </c>
      <c r="J187" s="3">
        <v>8</v>
      </c>
      <c r="K187" s="3">
        <v>1762.31</v>
      </c>
      <c r="L187" s="3">
        <v>1</v>
      </c>
      <c r="M187" s="3" t="s">
        <v>89</v>
      </c>
      <c r="N187" s="3" t="s">
        <v>96</v>
      </c>
      <c r="O187" s="3" t="str" cm="1">
        <f t="array" ref="O187">_xlfn.IFS(
  I187 &lt;= $Q$2, "Low",
  I187 &lt;= $Q$3, "Mid-Low",
  I187 &lt;= $Q$4, "Mid-High",
  TRUE,                 "High"
)</f>
        <v>Mid-Low</v>
      </c>
      <c r="P187" s="3" t="s">
        <v>73</v>
      </c>
      <c r="Q187" s="3"/>
      <c r="R187" s="3"/>
      <c r="S187" s="3"/>
      <c r="T187" s="3"/>
      <c r="U187" s="3"/>
    </row>
    <row r="188" spans="1:21" x14ac:dyDescent="0.2">
      <c r="A188" s="3">
        <v>187</v>
      </c>
      <c r="B188" s="3">
        <v>37</v>
      </c>
      <c r="C188" s="3" t="s">
        <v>15</v>
      </c>
      <c r="D188" s="3">
        <v>45</v>
      </c>
      <c r="E188" s="3">
        <v>70.61</v>
      </c>
      <c r="F188" s="3" t="s">
        <v>20</v>
      </c>
      <c r="G188" s="3" t="s">
        <v>24</v>
      </c>
      <c r="H188" s="3">
        <v>2</v>
      </c>
      <c r="I188" s="3">
        <v>34.700000000000003</v>
      </c>
      <c r="J188" s="3">
        <v>5</v>
      </c>
      <c r="K188" s="3">
        <v>3118.69</v>
      </c>
      <c r="L188" s="3">
        <v>0</v>
      </c>
      <c r="M188" s="3" t="s">
        <v>89</v>
      </c>
      <c r="N188" s="3" t="s">
        <v>95</v>
      </c>
      <c r="O188" s="3" t="str" cm="1">
        <f t="array" ref="O188">_xlfn.IFS(
  I188 &lt;= $Q$2, "Low",
  I188 &lt;= $Q$3, "Mid-Low",
  I188 &lt;= $Q$4, "Mid-High",
  TRUE,                 "High"
)</f>
        <v>Mid-Low</v>
      </c>
      <c r="P188" s="3" t="s">
        <v>122</v>
      </c>
      <c r="Q188" s="3"/>
      <c r="R188" s="3"/>
      <c r="S188" s="3"/>
      <c r="T188" s="3"/>
      <c r="U188" s="3"/>
    </row>
    <row r="189" spans="1:21" x14ac:dyDescent="0.2">
      <c r="A189" s="3">
        <v>188</v>
      </c>
      <c r="B189" s="3">
        <v>47</v>
      </c>
      <c r="C189" s="3" t="s">
        <v>16</v>
      </c>
      <c r="D189" s="3">
        <v>13</v>
      </c>
      <c r="E189" s="3">
        <v>113.2</v>
      </c>
      <c r="F189" s="3" t="s">
        <v>18</v>
      </c>
      <c r="G189" s="3" t="s">
        <v>22</v>
      </c>
      <c r="H189" s="3">
        <v>3</v>
      </c>
      <c r="I189" s="3">
        <v>66.099999999999994</v>
      </c>
      <c r="J189" s="3">
        <v>3</v>
      </c>
      <c r="K189" s="3">
        <v>1444.26</v>
      </c>
      <c r="L189" s="3">
        <v>0</v>
      </c>
      <c r="M189" s="3" t="s">
        <v>91</v>
      </c>
      <c r="N189" s="3" t="s">
        <v>94</v>
      </c>
      <c r="O189" s="3" t="str" cm="1">
        <f t="array" ref="O189">_xlfn.IFS(
  I189 &lt;= $Q$2, "Low",
  I189 &lt;= $Q$3, "Mid-Low",
  I189 &lt;= $Q$4, "Mid-High",
  TRUE,                 "High"
)</f>
        <v>Mid-High</v>
      </c>
      <c r="P189" s="3" t="s">
        <v>121</v>
      </c>
      <c r="Q189" s="3"/>
      <c r="R189" s="3"/>
      <c r="S189" s="3"/>
      <c r="T189" s="3"/>
      <c r="U189" s="3"/>
    </row>
    <row r="190" spans="1:21" x14ac:dyDescent="0.2">
      <c r="A190" s="3">
        <v>189</v>
      </c>
      <c r="B190" s="3">
        <v>28</v>
      </c>
      <c r="C190" s="3" t="s">
        <v>15</v>
      </c>
      <c r="D190" s="3">
        <v>58</v>
      </c>
      <c r="E190" s="3">
        <v>52.06</v>
      </c>
      <c r="F190" s="3" t="s">
        <v>20</v>
      </c>
      <c r="G190" s="3" t="s">
        <v>24</v>
      </c>
      <c r="H190" s="3">
        <v>1</v>
      </c>
      <c r="I190" s="3">
        <v>23.6</v>
      </c>
      <c r="J190" s="3">
        <v>7</v>
      </c>
      <c r="K190" s="3">
        <v>2757.4</v>
      </c>
      <c r="L190" s="3">
        <v>1</v>
      </c>
      <c r="M190" s="3" t="s">
        <v>89</v>
      </c>
      <c r="N190" s="3" t="s">
        <v>96</v>
      </c>
      <c r="O190" s="3" t="str" cm="1">
        <f t="array" ref="O190">_xlfn.IFS(
  I190 &lt;= $Q$2, "Low",
  I190 &lt;= $Q$3, "Mid-Low",
  I190 &lt;= $Q$4, "Mid-High",
  TRUE,                 "High"
)</f>
        <v>Low</v>
      </c>
      <c r="P190" s="3" t="s">
        <v>122</v>
      </c>
      <c r="Q190" s="3"/>
      <c r="R190" s="3"/>
      <c r="S190" s="3"/>
      <c r="T190" s="3"/>
      <c r="U190" s="3"/>
    </row>
    <row r="191" spans="1:21" x14ac:dyDescent="0.2">
      <c r="A191" s="3">
        <v>190</v>
      </c>
      <c r="B191" s="3">
        <v>45</v>
      </c>
      <c r="C191" s="3" t="s">
        <v>16</v>
      </c>
      <c r="D191" s="3">
        <v>20</v>
      </c>
      <c r="E191" s="3">
        <v>79.39</v>
      </c>
      <c r="F191" s="3" t="s">
        <v>18</v>
      </c>
      <c r="G191" s="3" t="s">
        <v>23</v>
      </c>
      <c r="H191" s="3">
        <v>1</v>
      </c>
      <c r="I191" s="3">
        <v>90.2</v>
      </c>
      <c r="J191" s="3">
        <v>7</v>
      </c>
      <c r="K191" s="3">
        <v>1539.79</v>
      </c>
      <c r="L191" s="3">
        <v>0</v>
      </c>
      <c r="M191" s="3" t="s">
        <v>91</v>
      </c>
      <c r="N191" s="3" t="s">
        <v>96</v>
      </c>
      <c r="O191" s="3" t="str" cm="1">
        <f t="array" ref="O191">_xlfn.IFS(
  I191 &lt;= $Q$2, "Low",
  I191 &lt;= $Q$3, "Mid-Low",
  I191 &lt;= $Q$4, "Mid-High",
  TRUE,                 "High"
)</f>
        <v>High</v>
      </c>
      <c r="P191" s="3" t="s">
        <v>75</v>
      </c>
      <c r="Q191" s="3"/>
      <c r="R191" s="3"/>
      <c r="S191" s="3"/>
      <c r="T191" s="3"/>
      <c r="U191" s="3"/>
    </row>
    <row r="192" spans="1:21" x14ac:dyDescent="0.2">
      <c r="A192" s="3">
        <v>191</v>
      </c>
      <c r="B192" s="3">
        <v>42</v>
      </c>
      <c r="C192" s="3" t="s">
        <v>15</v>
      </c>
      <c r="D192" s="3">
        <v>61</v>
      </c>
      <c r="E192" s="3">
        <v>56.92</v>
      </c>
      <c r="F192" s="3" t="s">
        <v>20</v>
      </c>
      <c r="G192" s="3" t="s">
        <v>22</v>
      </c>
      <c r="H192" s="3">
        <v>4</v>
      </c>
      <c r="I192" s="3">
        <v>54.4</v>
      </c>
      <c r="J192" s="3">
        <v>9</v>
      </c>
      <c r="K192" s="3">
        <v>3201.99</v>
      </c>
      <c r="L192" s="3">
        <v>0</v>
      </c>
      <c r="M192" s="3" t="s">
        <v>89</v>
      </c>
      <c r="N192" s="3" t="s">
        <v>97</v>
      </c>
      <c r="O192" s="3" t="str" cm="1">
        <f t="array" ref="O192">_xlfn.IFS(
  I192 &lt;= $Q$2, "Low",
  I192 &lt;= $Q$3, "Mid-Low",
  I192 &lt;= $Q$4, "Mid-High",
  TRUE,                 "High"
)</f>
        <v>Mid-High</v>
      </c>
      <c r="P192" s="3" t="s">
        <v>122</v>
      </c>
      <c r="Q192" s="3"/>
      <c r="R192" s="3"/>
      <c r="S192" s="3"/>
      <c r="T192" s="3"/>
      <c r="U192" s="3"/>
    </row>
    <row r="193" spans="1:21" x14ac:dyDescent="0.2">
      <c r="A193" s="3">
        <v>192</v>
      </c>
      <c r="B193" s="3">
        <v>56</v>
      </c>
      <c r="C193" s="3" t="s">
        <v>15</v>
      </c>
      <c r="D193" s="3">
        <v>39</v>
      </c>
      <c r="E193" s="3">
        <v>65.430000000000007</v>
      </c>
      <c r="F193" s="3" t="s">
        <v>20</v>
      </c>
      <c r="G193" s="3" t="s">
        <v>22</v>
      </c>
      <c r="H193" s="3">
        <v>2</v>
      </c>
      <c r="I193" s="3">
        <v>47.5</v>
      </c>
      <c r="J193" s="3">
        <v>7</v>
      </c>
      <c r="K193" s="3">
        <v>2709.08</v>
      </c>
      <c r="L193" s="3">
        <v>0</v>
      </c>
      <c r="M193" s="3" t="s">
        <v>89</v>
      </c>
      <c r="N193" s="3" t="s">
        <v>96</v>
      </c>
      <c r="O193" s="3" t="str" cm="1">
        <f t="array" ref="O193">_xlfn.IFS(
  I193 &lt;= $Q$2, "Low",
  I193 &lt;= $Q$3, "Mid-Low",
  I193 &lt;= $Q$4, "Mid-High",
  TRUE,                 "High"
)</f>
        <v>Mid-Low</v>
      </c>
      <c r="P193" s="3" t="s">
        <v>122</v>
      </c>
      <c r="Q193" s="3"/>
      <c r="R193" s="3"/>
      <c r="S193" s="3"/>
      <c r="T193" s="3"/>
      <c r="U193" s="3"/>
    </row>
    <row r="194" spans="1:21" x14ac:dyDescent="0.2">
      <c r="A194" s="3">
        <v>193</v>
      </c>
      <c r="B194" s="3">
        <v>50</v>
      </c>
      <c r="C194" s="3" t="s">
        <v>16</v>
      </c>
      <c r="D194" s="3">
        <v>1</v>
      </c>
      <c r="E194" s="3">
        <v>74.86</v>
      </c>
      <c r="F194" s="3" t="s">
        <v>18</v>
      </c>
      <c r="G194" s="3" t="s">
        <v>22</v>
      </c>
      <c r="H194" s="3">
        <v>1</v>
      </c>
      <c r="I194" s="3">
        <v>58</v>
      </c>
      <c r="J194" s="3">
        <v>3</v>
      </c>
      <c r="K194" s="3">
        <v>81.56</v>
      </c>
      <c r="L194" s="3">
        <v>0</v>
      </c>
      <c r="M194" s="3" t="s">
        <v>90</v>
      </c>
      <c r="N194" s="3" t="s">
        <v>94</v>
      </c>
      <c r="O194" s="3" t="str" cm="1">
        <f t="array" ref="O194">_xlfn.IFS(
  I194 &lt;= $Q$2, "Low",
  I194 &lt;= $Q$3, "Mid-Low",
  I194 &lt;= $Q$4, "Mid-High",
  TRUE,                 "High"
)</f>
        <v>Mid-High</v>
      </c>
      <c r="P194" s="3" t="s">
        <v>75</v>
      </c>
      <c r="Q194" s="3"/>
      <c r="R194" s="3"/>
      <c r="S194" s="3"/>
      <c r="T194" s="3"/>
      <c r="U194" s="3"/>
    </row>
    <row r="195" spans="1:21" x14ac:dyDescent="0.2">
      <c r="A195" s="3">
        <v>194</v>
      </c>
      <c r="B195" s="3">
        <v>18</v>
      </c>
      <c r="C195" s="3" t="s">
        <v>15</v>
      </c>
      <c r="D195" s="3">
        <v>3</v>
      </c>
      <c r="E195" s="3">
        <v>74.89</v>
      </c>
      <c r="F195" s="3" t="s">
        <v>20</v>
      </c>
      <c r="G195" s="3" t="s">
        <v>23</v>
      </c>
      <c r="H195" s="3">
        <v>2</v>
      </c>
      <c r="I195" s="3">
        <v>20.8</v>
      </c>
      <c r="J195" s="3">
        <v>1</v>
      </c>
      <c r="K195" s="3">
        <v>205.45</v>
      </c>
      <c r="L195" s="3">
        <v>1</v>
      </c>
      <c r="M195" s="3" t="s">
        <v>90</v>
      </c>
      <c r="N195" s="3" t="s">
        <v>94</v>
      </c>
      <c r="O195" s="3" t="str" cm="1">
        <f t="array" ref="O195">_xlfn.IFS(
  I195 &lt;= $Q$2, "Low",
  I195 &lt;= $Q$3, "Mid-Low",
  I195 &lt;= $Q$4, "Mid-High",
  TRUE,                 "High"
)</f>
        <v>Low</v>
      </c>
      <c r="P195" s="3" t="s">
        <v>75</v>
      </c>
      <c r="Q195" s="3"/>
      <c r="R195" s="3"/>
      <c r="S195" s="3"/>
      <c r="T195" s="3"/>
      <c r="U195" s="3"/>
    </row>
    <row r="196" spans="1:21" x14ac:dyDescent="0.2">
      <c r="A196" s="3">
        <v>195</v>
      </c>
      <c r="B196" s="3">
        <v>44</v>
      </c>
      <c r="C196" s="3" t="s">
        <v>15</v>
      </c>
      <c r="D196" s="3">
        <v>62</v>
      </c>
      <c r="E196" s="3">
        <v>40.17</v>
      </c>
      <c r="F196" s="3" t="s">
        <v>18</v>
      </c>
      <c r="G196" s="3" t="s">
        <v>23</v>
      </c>
      <c r="H196" s="3">
        <v>3</v>
      </c>
      <c r="I196" s="3">
        <v>63.3</v>
      </c>
      <c r="J196" s="3">
        <v>8</v>
      </c>
      <c r="K196" s="3">
        <v>2717.24</v>
      </c>
      <c r="L196" s="3">
        <v>0</v>
      </c>
      <c r="M196" s="3" t="s">
        <v>89</v>
      </c>
      <c r="N196" s="3" t="s">
        <v>96</v>
      </c>
      <c r="O196" s="3" t="str" cm="1">
        <f t="array" ref="O196">_xlfn.IFS(
  I196 &lt;= $Q$2, "Low",
  I196 &lt;= $Q$3, "Mid-Low",
  I196 &lt;= $Q$4, "Mid-High",
  TRUE,                 "High"
)</f>
        <v>Mid-High</v>
      </c>
      <c r="P196" s="3" t="s">
        <v>73</v>
      </c>
      <c r="Q196" s="3"/>
      <c r="R196" s="3"/>
      <c r="S196" s="3"/>
      <c r="T196" s="3"/>
      <c r="U196" s="3"/>
    </row>
    <row r="197" spans="1:21" x14ac:dyDescent="0.2">
      <c r="A197" s="3">
        <v>196</v>
      </c>
      <c r="B197" s="3">
        <v>69</v>
      </c>
      <c r="C197" s="3" t="s">
        <v>15</v>
      </c>
      <c r="D197" s="3">
        <v>63</v>
      </c>
      <c r="E197" s="3">
        <v>88.46</v>
      </c>
      <c r="F197" s="3" t="s">
        <v>20</v>
      </c>
      <c r="G197" s="3" t="s">
        <v>23</v>
      </c>
      <c r="H197" s="3">
        <v>1</v>
      </c>
      <c r="I197" s="3">
        <v>39.5</v>
      </c>
      <c r="J197" s="3">
        <v>3</v>
      </c>
      <c r="K197" s="3">
        <v>5598.14</v>
      </c>
      <c r="L197" s="3">
        <v>0</v>
      </c>
      <c r="M197" s="3" t="s">
        <v>89</v>
      </c>
      <c r="N197" s="3" t="s">
        <v>94</v>
      </c>
      <c r="O197" s="3" t="str" cm="1">
        <f t="array" ref="O197">_xlfn.IFS(
  I197 &lt;= $Q$2, "Low",
  I197 &lt;= $Q$3, "Mid-Low",
  I197 &lt;= $Q$4, "Mid-High",
  TRUE,                 "High"
)</f>
        <v>Mid-Low</v>
      </c>
      <c r="P197" s="3" t="s">
        <v>75</v>
      </c>
      <c r="Q197" s="3"/>
      <c r="R197" s="3"/>
      <c r="S197" s="3"/>
      <c r="T197" s="3"/>
      <c r="U197" s="3"/>
    </row>
    <row r="198" spans="1:21" x14ac:dyDescent="0.2">
      <c r="A198" s="3">
        <v>197</v>
      </c>
      <c r="B198" s="3">
        <v>30</v>
      </c>
      <c r="C198" s="3" t="s">
        <v>15</v>
      </c>
      <c r="D198" s="3">
        <v>25</v>
      </c>
      <c r="E198" s="3">
        <v>28.79</v>
      </c>
      <c r="F198" s="3" t="s">
        <v>20</v>
      </c>
      <c r="G198" s="3" t="s">
        <v>23</v>
      </c>
      <c r="H198" s="3">
        <v>3</v>
      </c>
      <c r="I198" s="3">
        <v>90.2</v>
      </c>
      <c r="J198" s="3">
        <v>8</v>
      </c>
      <c r="K198" s="3">
        <v>690.9</v>
      </c>
      <c r="L198" s="3">
        <v>1</v>
      </c>
      <c r="M198" s="3" t="s">
        <v>89</v>
      </c>
      <c r="N198" s="3" t="s">
        <v>96</v>
      </c>
      <c r="O198" s="3" t="str" cm="1">
        <f t="array" ref="O198">_xlfn.IFS(
  I198 &lt;= $Q$2, "Low",
  I198 &lt;= $Q$3, "Mid-Low",
  I198 &lt;= $Q$4, "Mid-High",
  TRUE,                 "High"
)</f>
        <v>High</v>
      </c>
      <c r="P198" s="3" t="s">
        <v>73</v>
      </c>
      <c r="Q198" s="3"/>
      <c r="R198" s="3"/>
      <c r="S198" s="3"/>
      <c r="T198" s="3"/>
      <c r="U198" s="3"/>
    </row>
    <row r="199" spans="1:21" x14ac:dyDescent="0.2">
      <c r="A199" s="3">
        <v>198</v>
      </c>
      <c r="B199" s="3">
        <v>58</v>
      </c>
      <c r="C199" s="3" t="s">
        <v>15</v>
      </c>
      <c r="D199" s="3">
        <v>56</v>
      </c>
      <c r="E199" s="3">
        <v>33.880000000000003</v>
      </c>
      <c r="F199" s="3" t="s">
        <v>19</v>
      </c>
      <c r="G199" s="3" t="s">
        <v>23</v>
      </c>
      <c r="H199" s="3">
        <v>0</v>
      </c>
      <c r="I199" s="3">
        <v>21</v>
      </c>
      <c r="J199" s="3">
        <v>8</v>
      </c>
      <c r="K199" s="3">
        <v>1736.72</v>
      </c>
      <c r="L199" s="3">
        <v>0</v>
      </c>
      <c r="M199" s="3" t="s">
        <v>89</v>
      </c>
      <c r="N199" s="3" t="s">
        <v>96</v>
      </c>
      <c r="O199" s="3" t="str" cm="1">
        <f t="array" ref="O199">_xlfn.IFS(
  I199 &lt;= $Q$2, "Low",
  I199 &lt;= $Q$3, "Mid-Low",
  I199 &lt;= $Q$4, "Mid-High",
  TRUE,                 "High"
)</f>
        <v>Low</v>
      </c>
      <c r="P199" s="3" t="s">
        <v>73</v>
      </c>
      <c r="Q199" s="3"/>
      <c r="R199" s="3"/>
      <c r="S199" s="3"/>
      <c r="T199" s="3"/>
      <c r="U199" s="3"/>
    </row>
    <row r="200" spans="1:21" x14ac:dyDescent="0.2">
      <c r="A200" s="3">
        <v>199</v>
      </c>
      <c r="B200" s="3">
        <v>20</v>
      </c>
      <c r="C200" s="3" t="s">
        <v>16</v>
      </c>
      <c r="D200" s="3">
        <v>33</v>
      </c>
      <c r="E200" s="3">
        <v>20.27</v>
      </c>
      <c r="F200" s="3" t="s">
        <v>20</v>
      </c>
      <c r="G200" s="3" t="s">
        <v>22</v>
      </c>
      <c r="H200" s="3">
        <v>0</v>
      </c>
      <c r="I200" s="3">
        <v>53.2</v>
      </c>
      <c r="J200" s="3">
        <v>5</v>
      </c>
      <c r="K200" s="3">
        <v>668.99</v>
      </c>
      <c r="L200" s="3">
        <v>0</v>
      </c>
      <c r="M200" s="3" t="s">
        <v>89</v>
      </c>
      <c r="N200" s="3" t="s">
        <v>95</v>
      </c>
      <c r="O200" s="3" t="str" cm="1">
        <f t="array" ref="O200">_xlfn.IFS(
  I200 &lt;= $Q$2, "Low",
  I200 &lt;= $Q$3, "Mid-Low",
  I200 &lt;= $Q$4, "Mid-High",
  TRUE,                 "High"
)</f>
        <v>Mid-High</v>
      </c>
      <c r="P200" s="3" t="s">
        <v>73</v>
      </c>
      <c r="Q200" s="3"/>
      <c r="R200" s="3"/>
      <c r="S200" s="3"/>
      <c r="T200" s="3"/>
      <c r="U200" s="3"/>
    </row>
    <row r="201" spans="1:21" x14ac:dyDescent="0.2">
      <c r="A201" s="3">
        <v>200</v>
      </c>
      <c r="B201" s="3">
        <v>56</v>
      </c>
      <c r="C201" s="3" t="s">
        <v>15</v>
      </c>
      <c r="D201" s="3">
        <v>38</v>
      </c>
      <c r="E201" s="3">
        <v>31.67</v>
      </c>
      <c r="F201" s="3" t="s">
        <v>20</v>
      </c>
      <c r="G201" s="3" t="s">
        <v>23</v>
      </c>
      <c r="H201" s="3">
        <v>1</v>
      </c>
      <c r="I201" s="3">
        <v>61.8</v>
      </c>
      <c r="J201" s="3">
        <v>1</v>
      </c>
      <c r="K201" s="3">
        <v>1274.3499999999999</v>
      </c>
      <c r="L201" s="3">
        <v>1</v>
      </c>
      <c r="M201" s="3" t="s">
        <v>89</v>
      </c>
      <c r="N201" s="3" t="s">
        <v>94</v>
      </c>
      <c r="O201" s="3" t="str" cm="1">
        <f t="array" ref="O201">_xlfn.IFS(
  I201 &lt;= $Q$2, "Low",
  I201 &lt;= $Q$3, "Mid-Low",
  I201 &lt;= $Q$4, "Mid-High",
  TRUE,                 "High"
)</f>
        <v>Mid-High</v>
      </c>
      <c r="P201" s="3" t="s">
        <v>73</v>
      </c>
      <c r="Q201" s="3"/>
      <c r="R201" s="3"/>
      <c r="S201" s="3"/>
      <c r="T201" s="3"/>
      <c r="U201" s="3"/>
    </row>
    <row r="202" spans="1:21" x14ac:dyDescent="0.2">
      <c r="A202" s="3">
        <v>201</v>
      </c>
      <c r="B202" s="3">
        <v>23</v>
      </c>
      <c r="C202" s="3" t="s">
        <v>16</v>
      </c>
      <c r="D202" s="3">
        <v>6</v>
      </c>
      <c r="E202" s="3">
        <v>67.319999999999993</v>
      </c>
      <c r="F202" s="3" t="s">
        <v>18</v>
      </c>
      <c r="G202" s="3" t="s">
        <v>22</v>
      </c>
      <c r="H202" s="3">
        <v>2</v>
      </c>
      <c r="I202" s="3">
        <v>8.1999999999999993</v>
      </c>
      <c r="J202" s="3">
        <v>10</v>
      </c>
      <c r="K202" s="3">
        <v>420.65</v>
      </c>
      <c r="L202" s="3">
        <v>0</v>
      </c>
      <c r="M202" s="3" t="s">
        <v>92</v>
      </c>
      <c r="N202" s="3" t="s">
        <v>97</v>
      </c>
      <c r="O202" s="3" t="str" cm="1">
        <f t="array" ref="O202">_xlfn.IFS(
  I202 &lt;= $Q$2, "Low",
  I202 &lt;= $Q$3, "Mid-Low",
  I202 &lt;= $Q$4, "Mid-High",
  TRUE,                 "High"
)</f>
        <v>Low</v>
      </c>
      <c r="P202" s="3" t="s">
        <v>122</v>
      </c>
      <c r="Q202" s="3"/>
      <c r="R202" s="3"/>
      <c r="S202" s="3"/>
      <c r="T202" s="3"/>
      <c r="U202" s="3"/>
    </row>
    <row r="203" spans="1:21" x14ac:dyDescent="0.2">
      <c r="A203" s="3">
        <v>202</v>
      </c>
      <c r="B203" s="3">
        <v>25</v>
      </c>
      <c r="C203" s="3" t="s">
        <v>15</v>
      </c>
      <c r="D203" s="3">
        <v>58</v>
      </c>
      <c r="E203" s="3">
        <v>80.61</v>
      </c>
      <c r="F203" s="3" t="s">
        <v>20</v>
      </c>
      <c r="G203" s="3" t="s">
        <v>23</v>
      </c>
      <c r="H203" s="3">
        <v>1</v>
      </c>
      <c r="I203" s="3">
        <v>39.6</v>
      </c>
      <c r="J203" s="3">
        <v>7</v>
      </c>
      <c r="K203" s="3">
        <v>4254.8100000000004</v>
      </c>
      <c r="L203" s="3">
        <v>0</v>
      </c>
      <c r="M203" s="3" t="s">
        <v>89</v>
      </c>
      <c r="N203" s="3" t="s">
        <v>96</v>
      </c>
      <c r="O203" s="3" t="str" cm="1">
        <f t="array" ref="O203">_xlfn.IFS(
  I203 &lt;= $Q$2, "Low",
  I203 &lt;= $Q$3, "Mid-Low",
  I203 &lt;= $Q$4, "Mid-High",
  TRUE,                 "High"
)</f>
        <v>Mid-Low</v>
      </c>
      <c r="P203" s="3" t="s">
        <v>75</v>
      </c>
      <c r="Q203" s="3"/>
      <c r="R203" s="3"/>
      <c r="S203" s="3"/>
      <c r="T203" s="3"/>
      <c r="U203" s="3"/>
    </row>
    <row r="204" spans="1:21" x14ac:dyDescent="0.2">
      <c r="A204" s="3">
        <v>203</v>
      </c>
      <c r="B204" s="3">
        <v>44</v>
      </c>
      <c r="C204" s="3" t="s">
        <v>16</v>
      </c>
      <c r="D204" s="3">
        <v>44</v>
      </c>
      <c r="E204" s="3">
        <v>99.43</v>
      </c>
      <c r="F204" s="3" t="s">
        <v>18</v>
      </c>
      <c r="G204" s="3" t="s">
        <v>24</v>
      </c>
      <c r="H204" s="3">
        <v>3</v>
      </c>
      <c r="I204" s="3">
        <v>74.599999999999994</v>
      </c>
      <c r="J204" s="3">
        <v>10</v>
      </c>
      <c r="K204" s="3">
        <v>4001.22</v>
      </c>
      <c r="L204" s="3">
        <v>1</v>
      </c>
      <c r="M204" s="3" t="s">
        <v>89</v>
      </c>
      <c r="N204" s="3" t="s">
        <v>97</v>
      </c>
      <c r="O204" s="3" t="str" cm="1">
        <f t="array" ref="O204">_xlfn.IFS(
  I204 &lt;= $Q$2, "Low",
  I204 &lt;= $Q$3, "Mid-Low",
  I204 &lt;= $Q$4, "Mid-High",
  TRUE,                 "High"
)</f>
        <v>Mid-High</v>
      </c>
      <c r="P204" s="3" t="s">
        <v>121</v>
      </c>
      <c r="Q204" s="3"/>
      <c r="R204" s="3"/>
      <c r="S204" s="3"/>
      <c r="T204" s="3"/>
      <c r="U204" s="3"/>
    </row>
    <row r="205" spans="1:21" x14ac:dyDescent="0.2">
      <c r="A205" s="3">
        <v>204</v>
      </c>
      <c r="B205" s="3">
        <v>26</v>
      </c>
      <c r="C205" s="3" t="s">
        <v>16</v>
      </c>
      <c r="D205" s="3">
        <v>45</v>
      </c>
      <c r="E205" s="3">
        <v>30.67</v>
      </c>
      <c r="F205" s="3" t="s">
        <v>20</v>
      </c>
      <c r="G205" s="3" t="s">
        <v>22</v>
      </c>
      <c r="H205" s="3">
        <v>4</v>
      </c>
      <c r="I205" s="3">
        <v>82.9</v>
      </c>
      <c r="J205" s="3">
        <v>5</v>
      </c>
      <c r="K205" s="3">
        <v>1353.34</v>
      </c>
      <c r="L205" s="3">
        <v>0</v>
      </c>
      <c r="M205" s="3" t="s">
        <v>89</v>
      </c>
      <c r="N205" s="3" t="s">
        <v>95</v>
      </c>
      <c r="O205" s="3" t="str" cm="1">
        <f t="array" ref="O205">_xlfn.IFS(
  I205 &lt;= $Q$2, "Low",
  I205 &lt;= $Q$3, "Mid-Low",
  I205 &lt;= $Q$4, "Mid-High",
  TRUE,                 "High"
)</f>
        <v>High</v>
      </c>
      <c r="P205" s="3" t="s">
        <v>73</v>
      </c>
      <c r="Q205" s="3"/>
      <c r="R205" s="3"/>
      <c r="S205" s="3"/>
      <c r="T205" s="3"/>
      <c r="U205" s="3"/>
    </row>
    <row r="206" spans="1:21" x14ac:dyDescent="0.2">
      <c r="A206" s="3">
        <v>205</v>
      </c>
      <c r="B206" s="3">
        <v>54</v>
      </c>
      <c r="C206" s="3" t="s">
        <v>15</v>
      </c>
      <c r="D206" s="3">
        <v>32</v>
      </c>
      <c r="E206" s="3">
        <v>105.07</v>
      </c>
      <c r="F206" s="3" t="s">
        <v>19</v>
      </c>
      <c r="G206" s="3" t="s">
        <v>24</v>
      </c>
      <c r="H206" s="3">
        <v>0</v>
      </c>
      <c r="I206" s="3">
        <v>34.799999999999997</v>
      </c>
      <c r="J206" s="3">
        <v>8</v>
      </c>
      <c r="K206" s="3">
        <v>3224.58</v>
      </c>
      <c r="L206" s="3">
        <v>0</v>
      </c>
      <c r="M206" s="3" t="s">
        <v>89</v>
      </c>
      <c r="N206" s="3" t="s">
        <v>96</v>
      </c>
      <c r="O206" s="3" t="str" cm="1">
        <f t="array" ref="O206">_xlfn.IFS(
  I206 &lt;= $Q$2, "Low",
  I206 &lt;= $Q$3, "Mid-Low",
  I206 &lt;= $Q$4, "Mid-High",
  TRUE,                 "High"
)</f>
        <v>Mid-Low</v>
      </c>
      <c r="P206" s="3" t="s">
        <v>121</v>
      </c>
      <c r="Q206" s="3"/>
      <c r="R206" s="3"/>
      <c r="S206" s="3"/>
      <c r="T206" s="3"/>
      <c r="U206" s="3"/>
    </row>
    <row r="207" spans="1:21" x14ac:dyDescent="0.2">
      <c r="A207" s="3">
        <v>206</v>
      </c>
      <c r="B207" s="3">
        <v>50</v>
      </c>
      <c r="C207" s="3" t="s">
        <v>15</v>
      </c>
      <c r="D207" s="3">
        <v>45</v>
      </c>
      <c r="E207" s="3">
        <v>94.6</v>
      </c>
      <c r="F207" s="3" t="s">
        <v>18</v>
      </c>
      <c r="G207" s="3" t="s">
        <v>22</v>
      </c>
      <c r="H207" s="3">
        <v>3</v>
      </c>
      <c r="I207" s="3">
        <v>80.900000000000006</v>
      </c>
      <c r="J207" s="3">
        <v>9</v>
      </c>
      <c r="K207" s="3">
        <v>4029.15</v>
      </c>
      <c r="L207" s="3">
        <v>0</v>
      </c>
      <c r="M207" s="3" t="s">
        <v>89</v>
      </c>
      <c r="N207" s="3" t="s">
        <v>97</v>
      </c>
      <c r="O207" s="3" t="str" cm="1">
        <f t="array" ref="O207">_xlfn.IFS(
  I207 &lt;= $Q$2, "Low",
  I207 &lt;= $Q$3, "Mid-Low",
  I207 &lt;= $Q$4, "Mid-High",
  TRUE,                 "High"
)</f>
        <v>High</v>
      </c>
      <c r="P207" s="3" t="s">
        <v>75</v>
      </c>
      <c r="Q207" s="3"/>
      <c r="R207" s="3"/>
      <c r="S207" s="3"/>
      <c r="T207" s="3"/>
      <c r="U207" s="3"/>
    </row>
    <row r="208" spans="1:21" x14ac:dyDescent="0.2">
      <c r="A208" s="3">
        <v>207</v>
      </c>
      <c r="B208" s="3">
        <v>68</v>
      </c>
      <c r="C208" s="3" t="s">
        <v>15</v>
      </c>
      <c r="D208" s="3">
        <v>61</v>
      </c>
      <c r="E208" s="3">
        <v>60.85</v>
      </c>
      <c r="F208" s="3" t="s">
        <v>18</v>
      </c>
      <c r="G208" s="3" t="s">
        <v>24</v>
      </c>
      <c r="H208" s="3">
        <v>2</v>
      </c>
      <c r="I208" s="3">
        <v>96.9</v>
      </c>
      <c r="J208" s="3">
        <v>7</v>
      </c>
      <c r="K208" s="3">
        <v>3549.27</v>
      </c>
      <c r="L208" s="3">
        <v>1</v>
      </c>
      <c r="M208" s="3" t="s">
        <v>89</v>
      </c>
      <c r="N208" s="3" t="s">
        <v>96</v>
      </c>
      <c r="O208" s="3" t="str" cm="1">
        <f t="array" ref="O208">_xlfn.IFS(
  I208 &lt;= $Q$2, "Low",
  I208 &lt;= $Q$3, "Mid-Low",
  I208 &lt;= $Q$4, "Mid-High",
  TRUE,                 "High"
)</f>
        <v>High</v>
      </c>
      <c r="P208" s="3" t="s">
        <v>122</v>
      </c>
      <c r="Q208" s="3"/>
      <c r="R208" s="3"/>
      <c r="S208" s="3"/>
      <c r="T208" s="3"/>
      <c r="U208" s="3"/>
    </row>
    <row r="209" spans="1:21" x14ac:dyDescent="0.2">
      <c r="A209" s="3">
        <v>208</v>
      </c>
      <c r="B209" s="3">
        <v>59</v>
      </c>
      <c r="C209" s="3" t="s">
        <v>16</v>
      </c>
      <c r="D209" s="3">
        <v>47</v>
      </c>
      <c r="E209" s="3">
        <v>113.29</v>
      </c>
      <c r="F209" s="3" t="s">
        <v>19</v>
      </c>
      <c r="G209" s="3" t="s">
        <v>23</v>
      </c>
      <c r="H209" s="3">
        <v>3</v>
      </c>
      <c r="I209" s="3">
        <v>86.4</v>
      </c>
      <c r="J209" s="3">
        <v>7</v>
      </c>
      <c r="K209" s="3">
        <v>5647.82</v>
      </c>
      <c r="L209" s="3">
        <v>1</v>
      </c>
      <c r="M209" s="3" t="s">
        <v>89</v>
      </c>
      <c r="N209" s="3" t="s">
        <v>96</v>
      </c>
      <c r="O209" s="3" t="str" cm="1">
        <f t="array" ref="O209">_xlfn.IFS(
  I209 &lt;= $Q$2, "Low",
  I209 &lt;= $Q$3, "Mid-Low",
  I209 &lt;= $Q$4, "Mid-High",
  TRUE,                 "High"
)</f>
        <v>High</v>
      </c>
      <c r="P209" s="3" t="s">
        <v>121</v>
      </c>
      <c r="Q209" s="3"/>
      <c r="R209" s="3"/>
      <c r="S209" s="3"/>
      <c r="T209" s="3"/>
      <c r="U209" s="3"/>
    </row>
    <row r="210" spans="1:21" x14ac:dyDescent="0.2">
      <c r="A210" s="3">
        <v>209</v>
      </c>
      <c r="B210" s="3">
        <v>61</v>
      </c>
      <c r="C210" s="3" t="s">
        <v>15</v>
      </c>
      <c r="D210" s="3">
        <v>21</v>
      </c>
      <c r="E210" s="3">
        <v>119.09</v>
      </c>
      <c r="F210" s="3" t="s">
        <v>20</v>
      </c>
      <c r="G210" s="3" t="s">
        <v>23</v>
      </c>
      <c r="H210" s="3">
        <v>1</v>
      </c>
      <c r="I210" s="3">
        <v>16.2</v>
      </c>
      <c r="J210" s="3">
        <v>1</v>
      </c>
      <c r="K210" s="3">
        <v>2715.58</v>
      </c>
      <c r="L210" s="3">
        <v>1</v>
      </c>
      <c r="M210" s="3" t="s">
        <v>91</v>
      </c>
      <c r="N210" s="3" t="s">
        <v>94</v>
      </c>
      <c r="O210" s="3" t="str" cm="1">
        <f t="array" ref="O210">_xlfn.IFS(
  I210 &lt;= $Q$2, "Low",
  I210 &lt;= $Q$3, "Mid-Low",
  I210 &lt;= $Q$4, "Mid-High",
  TRUE,                 "High"
)</f>
        <v>Low</v>
      </c>
      <c r="P210" s="3" t="s">
        <v>121</v>
      </c>
      <c r="Q210" s="3"/>
      <c r="R210" s="3"/>
      <c r="S210" s="3"/>
      <c r="T210" s="3"/>
      <c r="U210" s="3"/>
    </row>
    <row r="211" spans="1:21" x14ac:dyDescent="0.2">
      <c r="A211" s="3">
        <v>210</v>
      </c>
      <c r="B211" s="3">
        <v>41</v>
      </c>
      <c r="C211" s="3" t="s">
        <v>16</v>
      </c>
      <c r="D211" s="3">
        <v>36</v>
      </c>
      <c r="E211" s="3">
        <v>40.5</v>
      </c>
      <c r="F211" s="3" t="s">
        <v>19</v>
      </c>
      <c r="G211" s="3" t="s">
        <v>23</v>
      </c>
      <c r="H211" s="3">
        <v>3</v>
      </c>
      <c r="I211" s="3">
        <v>75.3</v>
      </c>
      <c r="J211" s="3">
        <v>4</v>
      </c>
      <c r="K211" s="3">
        <v>1430.33</v>
      </c>
      <c r="L211" s="3">
        <v>0</v>
      </c>
      <c r="M211" s="3" t="s">
        <v>89</v>
      </c>
      <c r="N211" s="3" t="s">
        <v>94</v>
      </c>
      <c r="O211" s="3" t="str" cm="1">
        <f t="array" ref="O211">_xlfn.IFS(
  I211 &lt;= $Q$2, "Low",
  I211 &lt;= $Q$3, "Mid-Low",
  I211 &lt;= $Q$4, "Mid-High",
  TRUE,                 "High"
)</f>
        <v>Mid-High</v>
      </c>
      <c r="P211" s="3" t="s">
        <v>73</v>
      </c>
      <c r="Q211" s="3"/>
      <c r="R211" s="3"/>
      <c r="S211" s="3"/>
      <c r="T211" s="3"/>
      <c r="U211" s="3"/>
    </row>
    <row r="212" spans="1:21" x14ac:dyDescent="0.2">
      <c r="A212" s="3">
        <v>211</v>
      </c>
      <c r="B212" s="3">
        <v>32</v>
      </c>
      <c r="C212" s="3" t="s">
        <v>16</v>
      </c>
      <c r="D212" s="3">
        <v>19</v>
      </c>
      <c r="E212" s="3">
        <v>57.92</v>
      </c>
      <c r="F212" s="3" t="s">
        <v>20</v>
      </c>
      <c r="G212" s="3" t="s">
        <v>22</v>
      </c>
      <c r="H212" s="3">
        <v>2</v>
      </c>
      <c r="I212" s="3">
        <v>35.4</v>
      </c>
      <c r="J212" s="3">
        <v>2</v>
      </c>
      <c r="K212" s="3">
        <v>1189.8599999999999</v>
      </c>
      <c r="L212" s="3">
        <v>1</v>
      </c>
      <c r="M212" s="3" t="s">
        <v>91</v>
      </c>
      <c r="N212" s="3" t="s">
        <v>94</v>
      </c>
      <c r="O212" s="3" t="str" cm="1">
        <f t="array" ref="O212">_xlfn.IFS(
  I212 &lt;= $Q$2, "Low",
  I212 &lt;= $Q$3, "Mid-Low",
  I212 &lt;= $Q$4, "Mid-High",
  TRUE,                 "High"
)</f>
        <v>Mid-Low</v>
      </c>
      <c r="P212" s="3" t="s">
        <v>122</v>
      </c>
      <c r="Q212" s="3"/>
      <c r="R212" s="3"/>
      <c r="S212" s="3"/>
      <c r="T212" s="3"/>
      <c r="U212" s="3"/>
    </row>
    <row r="213" spans="1:21" x14ac:dyDescent="0.2">
      <c r="A213" s="3">
        <v>212</v>
      </c>
      <c r="B213" s="3">
        <v>49</v>
      </c>
      <c r="C213" s="3" t="s">
        <v>16</v>
      </c>
      <c r="D213" s="3">
        <v>20</v>
      </c>
      <c r="E213" s="3">
        <v>112.64</v>
      </c>
      <c r="F213" s="3" t="s">
        <v>20</v>
      </c>
      <c r="G213" s="3" t="s">
        <v>24</v>
      </c>
      <c r="H213" s="3">
        <v>0</v>
      </c>
      <c r="I213" s="3">
        <v>98.9</v>
      </c>
      <c r="J213" s="3">
        <v>2</v>
      </c>
      <c r="K213" s="3">
        <v>2172.37</v>
      </c>
      <c r="L213" s="3">
        <v>1</v>
      </c>
      <c r="M213" s="3" t="s">
        <v>91</v>
      </c>
      <c r="N213" s="3" t="s">
        <v>94</v>
      </c>
      <c r="O213" s="3" t="str" cm="1">
        <f t="array" ref="O213">_xlfn.IFS(
  I213 &lt;= $Q$2, "Low",
  I213 &lt;= $Q$3, "Mid-Low",
  I213 &lt;= $Q$4, "Mid-High",
  TRUE,                 "High"
)</f>
        <v>High</v>
      </c>
      <c r="P213" s="3" t="s">
        <v>121</v>
      </c>
      <c r="Q213" s="3"/>
      <c r="R213" s="3"/>
      <c r="S213" s="3"/>
      <c r="T213" s="3"/>
      <c r="U213" s="3"/>
    </row>
    <row r="214" spans="1:21" x14ac:dyDescent="0.2">
      <c r="A214" s="3">
        <v>213</v>
      </c>
      <c r="B214" s="3">
        <v>49</v>
      </c>
      <c r="C214" s="3" t="s">
        <v>15</v>
      </c>
      <c r="D214" s="3">
        <v>57</v>
      </c>
      <c r="E214" s="3">
        <v>92.16</v>
      </c>
      <c r="F214" s="3" t="s">
        <v>20</v>
      </c>
      <c r="G214" s="3" t="s">
        <v>23</v>
      </c>
      <c r="H214" s="3">
        <v>3</v>
      </c>
      <c r="I214" s="3">
        <v>51.1</v>
      </c>
      <c r="J214" s="3">
        <v>2</v>
      </c>
      <c r="K214" s="3">
        <v>5228.3599999999997</v>
      </c>
      <c r="L214" s="3">
        <v>1</v>
      </c>
      <c r="M214" s="3" t="s">
        <v>89</v>
      </c>
      <c r="N214" s="3" t="s">
        <v>94</v>
      </c>
      <c r="O214" s="3" t="str" cm="1">
        <f t="array" ref="O214">_xlfn.IFS(
  I214 &lt;= $Q$2, "Low",
  I214 &lt;= $Q$3, "Mid-Low",
  I214 &lt;= $Q$4, "Mid-High",
  TRUE,                 "High"
)</f>
        <v>Mid-High</v>
      </c>
      <c r="P214" s="3" t="s">
        <v>75</v>
      </c>
      <c r="Q214" s="3"/>
      <c r="R214" s="3"/>
      <c r="S214" s="3"/>
      <c r="T214" s="3"/>
      <c r="U214" s="3"/>
    </row>
    <row r="215" spans="1:21" x14ac:dyDescent="0.2">
      <c r="A215" s="3">
        <v>214</v>
      </c>
      <c r="B215" s="3">
        <v>41</v>
      </c>
      <c r="C215" s="3" t="s">
        <v>15</v>
      </c>
      <c r="D215" s="3">
        <v>18</v>
      </c>
      <c r="E215" s="3">
        <v>24.81</v>
      </c>
      <c r="F215" s="3" t="s">
        <v>20</v>
      </c>
      <c r="G215" s="3" t="s">
        <v>24</v>
      </c>
      <c r="H215" s="3">
        <v>0</v>
      </c>
      <c r="I215" s="3">
        <v>16.600000000000001</v>
      </c>
      <c r="J215" s="3">
        <v>4</v>
      </c>
      <c r="K215" s="3">
        <v>422.11</v>
      </c>
      <c r="L215" s="3">
        <v>1</v>
      </c>
      <c r="M215" s="3" t="s">
        <v>91</v>
      </c>
      <c r="N215" s="3" t="s">
        <v>94</v>
      </c>
      <c r="O215" s="3" t="str" cm="1">
        <f t="array" ref="O215">_xlfn.IFS(
  I215 &lt;= $Q$2, "Low",
  I215 &lt;= $Q$3, "Mid-Low",
  I215 &lt;= $Q$4, "Mid-High",
  TRUE,                 "High"
)</f>
        <v>Low</v>
      </c>
      <c r="P215" s="3" t="s">
        <v>73</v>
      </c>
      <c r="Q215" s="3"/>
      <c r="R215" s="3"/>
      <c r="S215" s="3"/>
      <c r="T215" s="3"/>
      <c r="U215" s="3"/>
    </row>
    <row r="216" spans="1:21" x14ac:dyDescent="0.2">
      <c r="A216" s="3">
        <v>215</v>
      </c>
      <c r="B216" s="3">
        <v>58</v>
      </c>
      <c r="C216" s="3" t="s">
        <v>16</v>
      </c>
      <c r="D216" s="3">
        <v>47</v>
      </c>
      <c r="E216" s="3">
        <v>98.15</v>
      </c>
      <c r="F216" s="3" t="s">
        <v>20</v>
      </c>
      <c r="G216" s="3" t="s">
        <v>24</v>
      </c>
      <c r="H216" s="3">
        <v>2</v>
      </c>
      <c r="I216" s="3">
        <v>73.900000000000006</v>
      </c>
      <c r="J216" s="3">
        <v>1</v>
      </c>
      <c r="K216" s="3">
        <v>4742.6499999999996</v>
      </c>
      <c r="L216" s="3">
        <v>0</v>
      </c>
      <c r="M216" s="3" t="s">
        <v>89</v>
      </c>
      <c r="N216" s="3" t="s">
        <v>94</v>
      </c>
      <c r="O216" s="3" t="str" cm="1">
        <f t="array" ref="O216">_xlfn.IFS(
  I216 &lt;= $Q$2, "Low",
  I216 &lt;= $Q$3, "Mid-Low",
  I216 &lt;= $Q$4, "Mid-High",
  TRUE,                 "High"
)</f>
        <v>Mid-High</v>
      </c>
      <c r="P216" s="3" t="s">
        <v>121</v>
      </c>
      <c r="Q216" s="3"/>
      <c r="R216" s="3"/>
      <c r="S216" s="3"/>
      <c r="T216" s="3"/>
      <c r="U216" s="3"/>
    </row>
    <row r="217" spans="1:21" x14ac:dyDescent="0.2">
      <c r="A217" s="3">
        <v>216</v>
      </c>
      <c r="B217" s="3">
        <v>69</v>
      </c>
      <c r="C217" s="3" t="s">
        <v>16</v>
      </c>
      <c r="D217" s="3">
        <v>49</v>
      </c>
      <c r="E217" s="3">
        <v>102.79</v>
      </c>
      <c r="F217" s="3" t="s">
        <v>18</v>
      </c>
      <c r="G217" s="3" t="s">
        <v>23</v>
      </c>
      <c r="H217" s="3">
        <v>5</v>
      </c>
      <c r="I217" s="3">
        <v>35.700000000000003</v>
      </c>
      <c r="J217" s="3">
        <v>4</v>
      </c>
      <c r="K217" s="3">
        <v>5519.21</v>
      </c>
      <c r="L217" s="3">
        <v>0</v>
      </c>
      <c r="M217" s="3" t="s">
        <v>89</v>
      </c>
      <c r="N217" s="3" t="s">
        <v>94</v>
      </c>
      <c r="O217" s="3" t="str" cm="1">
        <f t="array" ref="O217">_xlfn.IFS(
  I217 &lt;= $Q$2, "Low",
  I217 &lt;= $Q$3, "Mid-Low",
  I217 &lt;= $Q$4, "Mid-High",
  TRUE,                 "High"
)</f>
        <v>Mid-Low</v>
      </c>
      <c r="P217" s="3" t="s">
        <v>121</v>
      </c>
      <c r="Q217" s="3"/>
      <c r="R217" s="3"/>
      <c r="S217" s="3"/>
      <c r="T217" s="3"/>
      <c r="U217" s="3"/>
    </row>
    <row r="218" spans="1:21" x14ac:dyDescent="0.2">
      <c r="A218" s="3">
        <v>217</v>
      </c>
      <c r="B218" s="3">
        <v>66</v>
      </c>
      <c r="C218" s="3" t="s">
        <v>15</v>
      </c>
      <c r="D218" s="3">
        <v>14</v>
      </c>
      <c r="E218" s="3">
        <v>95.05</v>
      </c>
      <c r="F218" s="3" t="s">
        <v>18</v>
      </c>
      <c r="G218" s="3" t="s">
        <v>23</v>
      </c>
      <c r="H218" s="3">
        <v>2</v>
      </c>
      <c r="I218" s="3">
        <v>99.7</v>
      </c>
      <c r="J218" s="3">
        <v>2</v>
      </c>
      <c r="K218" s="3">
        <v>1358.24</v>
      </c>
      <c r="L218" s="3">
        <v>1</v>
      </c>
      <c r="M218" s="3" t="s">
        <v>91</v>
      </c>
      <c r="N218" s="3" t="s">
        <v>94</v>
      </c>
      <c r="O218" s="3" t="str" cm="1">
        <f t="array" ref="O218">_xlfn.IFS(
  I218 &lt;= $Q$2, "Low",
  I218 &lt;= $Q$3, "Mid-Low",
  I218 &lt;= $Q$4, "Mid-High",
  TRUE,                 "High"
)</f>
        <v>High</v>
      </c>
      <c r="P218" s="3" t="s">
        <v>121</v>
      </c>
      <c r="Q218" s="3"/>
      <c r="R218" s="3"/>
      <c r="S218" s="3"/>
      <c r="T218" s="3"/>
      <c r="U218" s="3"/>
    </row>
    <row r="219" spans="1:21" x14ac:dyDescent="0.2">
      <c r="A219" s="3">
        <v>218</v>
      </c>
      <c r="B219" s="3">
        <v>66</v>
      </c>
      <c r="C219" s="3" t="s">
        <v>16</v>
      </c>
      <c r="D219" s="3">
        <v>15</v>
      </c>
      <c r="E219" s="3">
        <v>99.95</v>
      </c>
      <c r="F219" s="3" t="s">
        <v>19</v>
      </c>
      <c r="G219" s="3" t="s">
        <v>24</v>
      </c>
      <c r="H219" s="3">
        <v>1</v>
      </c>
      <c r="I219" s="3">
        <v>98.1</v>
      </c>
      <c r="J219" s="3">
        <v>5</v>
      </c>
      <c r="K219" s="3">
        <v>1456.62</v>
      </c>
      <c r="L219" s="3">
        <v>0</v>
      </c>
      <c r="M219" s="3" t="s">
        <v>91</v>
      </c>
      <c r="N219" s="3" t="s">
        <v>95</v>
      </c>
      <c r="O219" s="3" t="str" cm="1">
        <f t="array" ref="O219">_xlfn.IFS(
  I219 &lt;= $Q$2, "Low",
  I219 &lt;= $Q$3, "Mid-Low",
  I219 &lt;= $Q$4, "Mid-High",
  TRUE,                 "High"
)</f>
        <v>High</v>
      </c>
      <c r="P219" s="3" t="s">
        <v>121</v>
      </c>
      <c r="Q219" s="3"/>
      <c r="R219" s="3"/>
      <c r="S219" s="3"/>
      <c r="T219" s="3"/>
      <c r="U219" s="3"/>
    </row>
    <row r="220" spans="1:21" x14ac:dyDescent="0.2">
      <c r="A220" s="3">
        <v>219</v>
      </c>
      <c r="B220" s="3">
        <v>69</v>
      </c>
      <c r="C220" s="3" t="s">
        <v>15</v>
      </c>
      <c r="D220" s="3">
        <v>31</v>
      </c>
      <c r="E220" s="3">
        <v>102.51</v>
      </c>
      <c r="F220" s="3" t="s">
        <v>20</v>
      </c>
      <c r="G220" s="3" t="s">
        <v>23</v>
      </c>
      <c r="H220" s="3">
        <v>3</v>
      </c>
      <c r="I220" s="3">
        <v>67.3</v>
      </c>
      <c r="J220" s="3">
        <v>3</v>
      </c>
      <c r="K220" s="3">
        <v>3271.76</v>
      </c>
      <c r="L220" s="3">
        <v>1</v>
      </c>
      <c r="M220" s="3" t="s">
        <v>89</v>
      </c>
      <c r="N220" s="3" t="s">
        <v>94</v>
      </c>
      <c r="O220" s="3" t="str" cm="1">
        <f t="array" ref="O220">_xlfn.IFS(
  I220 &lt;= $Q$2, "Low",
  I220 &lt;= $Q$3, "Mid-Low",
  I220 &lt;= $Q$4, "Mid-High",
  TRUE,                 "High"
)</f>
        <v>Mid-High</v>
      </c>
      <c r="P220" s="3" t="s">
        <v>121</v>
      </c>
      <c r="Q220" s="3"/>
      <c r="R220" s="3"/>
      <c r="S220" s="3"/>
      <c r="T220" s="3"/>
      <c r="U220" s="3"/>
    </row>
    <row r="221" spans="1:21" x14ac:dyDescent="0.2">
      <c r="A221" s="3">
        <v>220</v>
      </c>
      <c r="B221" s="3">
        <v>29</v>
      </c>
      <c r="C221" s="3" t="s">
        <v>16</v>
      </c>
      <c r="D221" s="3">
        <v>1</v>
      </c>
      <c r="E221" s="3">
        <v>38.64</v>
      </c>
      <c r="F221" s="3" t="s">
        <v>18</v>
      </c>
      <c r="G221" s="3" t="s">
        <v>23</v>
      </c>
      <c r="H221" s="3">
        <v>2</v>
      </c>
      <c r="I221" s="3">
        <v>17.3</v>
      </c>
      <c r="J221" s="3">
        <v>8</v>
      </c>
      <c r="K221" s="3">
        <v>35.729999999999997</v>
      </c>
      <c r="L221" s="3">
        <v>0</v>
      </c>
      <c r="M221" s="3" t="s">
        <v>90</v>
      </c>
      <c r="N221" s="3" t="s">
        <v>96</v>
      </c>
      <c r="O221" s="3" t="str" cm="1">
        <f t="array" ref="O221">_xlfn.IFS(
  I221 &lt;= $Q$2, "Low",
  I221 &lt;= $Q$3, "Mid-Low",
  I221 &lt;= $Q$4, "Mid-High",
  TRUE,                 "High"
)</f>
        <v>Low</v>
      </c>
      <c r="P221" s="3" t="s">
        <v>73</v>
      </c>
      <c r="Q221" s="3"/>
      <c r="R221" s="3"/>
      <c r="S221" s="3"/>
      <c r="T221" s="3"/>
      <c r="U221" s="3"/>
    </row>
    <row r="222" spans="1:21" x14ac:dyDescent="0.2">
      <c r="A222" s="3">
        <v>221</v>
      </c>
      <c r="B222" s="3">
        <v>56</v>
      </c>
      <c r="C222" s="3" t="s">
        <v>15</v>
      </c>
      <c r="D222" s="3">
        <v>54</v>
      </c>
      <c r="E222" s="3">
        <v>43.57</v>
      </c>
      <c r="F222" s="3" t="s">
        <v>20</v>
      </c>
      <c r="G222" s="3" t="s">
        <v>23</v>
      </c>
      <c r="H222" s="3">
        <v>1</v>
      </c>
      <c r="I222" s="3">
        <v>70.3</v>
      </c>
      <c r="J222" s="3">
        <v>4</v>
      </c>
      <c r="K222" s="3">
        <v>2535.67</v>
      </c>
      <c r="L222" s="3">
        <v>0</v>
      </c>
      <c r="M222" s="3" t="s">
        <v>89</v>
      </c>
      <c r="N222" s="3" t="s">
        <v>94</v>
      </c>
      <c r="O222" s="3" t="str" cm="1">
        <f t="array" ref="O222">_xlfn.IFS(
  I222 &lt;= $Q$2, "Low",
  I222 &lt;= $Q$3, "Mid-Low",
  I222 &lt;= $Q$4, "Mid-High",
  TRUE,                 "High"
)</f>
        <v>Mid-High</v>
      </c>
      <c r="P222" s="3" t="s">
        <v>73</v>
      </c>
      <c r="Q222" s="3"/>
      <c r="R222" s="3"/>
      <c r="S222" s="3"/>
      <c r="T222" s="3"/>
      <c r="U222" s="3"/>
    </row>
    <row r="223" spans="1:21" x14ac:dyDescent="0.2">
      <c r="A223" s="3">
        <v>222</v>
      </c>
      <c r="B223" s="3">
        <v>19</v>
      </c>
      <c r="C223" s="3" t="s">
        <v>16</v>
      </c>
      <c r="D223" s="3">
        <v>3</v>
      </c>
      <c r="E223" s="3">
        <v>83.38</v>
      </c>
      <c r="F223" s="3" t="s">
        <v>20</v>
      </c>
      <c r="G223" s="3" t="s">
        <v>22</v>
      </c>
      <c r="H223" s="3">
        <v>0</v>
      </c>
      <c r="I223" s="3">
        <v>13.8</v>
      </c>
      <c r="J223" s="3">
        <v>1</v>
      </c>
      <c r="K223" s="3">
        <v>250.29</v>
      </c>
      <c r="L223" s="3">
        <v>1</v>
      </c>
      <c r="M223" s="3" t="s">
        <v>90</v>
      </c>
      <c r="N223" s="3" t="s">
        <v>94</v>
      </c>
      <c r="O223" s="3" t="str" cm="1">
        <f t="array" ref="O223">_xlfn.IFS(
  I223 &lt;= $Q$2, "Low",
  I223 &lt;= $Q$3, "Mid-Low",
  I223 &lt;= $Q$4, "Mid-High",
  TRUE,                 "High"
)</f>
        <v>Low</v>
      </c>
      <c r="P223" s="3" t="s">
        <v>75</v>
      </c>
      <c r="Q223" s="3"/>
      <c r="R223" s="3"/>
      <c r="S223" s="3"/>
      <c r="T223" s="3"/>
      <c r="U223" s="3"/>
    </row>
    <row r="224" spans="1:21" x14ac:dyDescent="0.2">
      <c r="A224" s="3">
        <v>223</v>
      </c>
      <c r="B224" s="3">
        <v>20</v>
      </c>
      <c r="C224" s="3" t="s">
        <v>15</v>
      </c>
      <c r="D224" s="3">
        <v>16</v>
      </c>
      <c r="E224" s="3">
        <v>110.79</v>
      </c>
      <c r="F224" s="3" t="s">
        <v>20</v>
      </c>
      <c r="G224" s="3" t="s">
        <v>24</v>
      </c>
      <c r="H224" s="3">
        <v>3</v>
      </c>
      <c r="I224" s="3">
        <v>7.8</v>
      </c>
      <c r="J224" s="3">
        <v>1</v>
      </c>
      <c r="K224" s="3">
        <v>1754.68</v>
      </c>
      <c r="L224" s="3">
        <v>1</v>
      </c>
      <c r="M224" s="3" t="s">
        <v>91</v>
      </c>
      <c r="N224" s="3" t="s">
        <v>94</v>
      </c>
      <c r="O224" s="3" t="str" cm="1">
        <f t="array" ref="O224">_xlfn.IFS(
  I224 &lt;= $Q$2, "Low",
  I224 &lt;= $Q$3, "Mid-Low",
  I224 &lt;= $Q$4, "Mid-High",
  TRUE,                 "High"
)</f>
        <v>Low</v>
      </c>
      <c r="P224" s="3" t="s">
        <v>121</v>
      </c>
      <c r="Q224" s="3"/>
      <c r="R224" s="3"/>
      <c r="S224" s="3"/>
      <c r="T224" s="3"/>
      <c r="U224" s="3"/>
    </row>
    <row r="225" spans="1:21" x14ac:dyDescent="0.2">
      <c r="A225" s="3">
        <v>224</v>
      </c>
      <c r="B225" s="3">
        <v>66</v>
      </c>
      <c r="C225" s="3" t="s">
        <v>16</v>
      </c>
      <c r="D225" s="3">
        <v>57</v>
      </c>
      <c r="E225" s="3">
        <v>51.62</v>
      </c>
      <c r="F225" s="3" t="s">
        <v>20</v>
      </c>
      <c r="G225" s="3" t="s">
        <v>24</v>
      </c>
      <c r="H225" s="3">
        <v>0</v>
      </c>
      <c r="I225" s="3">
        <v>83.2</v>
      </c>
      <c r="J225" s="3">
        <v>10</v>
      </c>
      <c r="K225" s="3">
        <v>2992.87</v>
      </c>
      <c r="L225" s="3">
        <v>1</v>
      </c>
      <c r="M225" s="3" t="s">
        <v>89</v>
      </c>
      <c r="N225" s="3" t="s">
        <v>97</v>
      </c>
      <c r="O225" s="3" t="str" cm="1">
        <f t="array" ref="O225">_xlfn.IFS(
  I225 &lt;= $Q$2, "Low",
  I225 &lt;= $Q$3, "Mid-Low",
  I225 &lt;= $Q$4, "Mid-High",
  TRUE,                 "High"
)</f>
        <v>High</v>
      </c>
      <c r="P225" s="3" t="s">
        <v>122</v>
      </c>
      <c r="Q225" s="3"/>
      <c r="R225" s="3"/>
      <c r="S225" s="3"/>
      <c r="T225" s="3"/>
      <c r="U225" s="3"/>
    </row>
    <row r="226" spans="1:21" x14ac:dyDescent="0.2">
      <c r="A226" s="3">
        <v>225</v>
      </c>
      <c r="B226" s="3">
        <v>54</v>
      </c>
      <c r="C226" s="3" t="s">
        <v>15</v>
      </c>
      <c r="D226" s="3">
        <v>12</v>
      </c>
      <c r="E226" s="3">
        <v>78.83</v>
      </c>
      <c r="F226" s="3" t="s">
        <v>18</v>
      </c>
      <c r="G226" s="3" t="s">
        <v>22</v>
      </c>
      <c r="H226" s="3">
        <v>1</v>
      </c>
      <c r="I226" s="3">
        <v>24.9</v>
      </c>
      <c r="J226" s="3">
        <v>3</v>
      </c>
      <c r="K226" s="3">
        <v>969.57</v>
      </c>
      <c r="L226" s="3">
        <v>0</v>
      </c>
      <c r="M226" s="3" t="s">
        <v>93</v>
      </c>
      <c r="N226" s="3" t="s">
        <v>94</v>
      </c>
      <c r="O226" s="3" t="str" cm="1">
        <f t="array" ref="O226">_xlfn.IFS(
  I226 &lt;= $Q$2, "Low",
  I226 &lt;= $Q$3, "Mid-Low",
  I226 &lt;= $Q$4, "Mid-High",
  TRUE,                 "High"
)</f>
        <v>Low</v>
      </c>
      <c r="P226" s="3" t="s">
        <v>75</v>
      </c>
      <c r="Q226" s="3"/>
      <c r="R226" s="3"/>
      <c r="S226" s="3"/>
      <c r="T226" s="3"/>
      <c r="U226" s="3"/>
    </row>
    <row r="227" spans="1:21" x14ac:dyDescent="0.2">
      <c r="A227" s="3">
        <v>226</v>
      </c>
      <c r="B227" s="3">
        <v>66</v>
      </c>
      <c r="C227" s="3" t="s">
        <v>15</v>
      </c>
      <c r="D227" s="3">
        <v>16</v>
      </c>
      <c r="E227" s="3">
        <v>88.3</v>
      </c>
      <c r="F227" s="3" t="s">
        <v>20</v>
      </c>
      <c r="G227" s="3" t="s">
        <v>24</v>
      </c>
      <c r="H227" s="3">
        <v>4</v>
      </c>
      <c r="I227" s="3">
        <v>41</v>
      </c>
      <c r="J227" s="3">
        <v>9</v>
      </c>
      <c r="K227" s="3">
        <v>1291.8</v>
      </c>
      <c r="L227" s="3">
        <v>0</v>
      </c>
      <c r="M227" s="3" t="s">
        <v>91</v>
      </c>
      <c r="N227" s="3" t="s">
        <v>97</v>
      </c>
      <c r="O227" s="3" t="str" cm="1">
        <f t="array" ref="O227">_xlfn.IFS(
  I227 &lt;= $Q$2, "Low",
  I227 &lt;= $Q$3, "Mid-Low",
  I227 &lt;= $Q$4, "Mid-High",
  TRUE,                 "High"
)</f>
        <v>Mid-Low</v>
      </c>
      <c r="P227" s="3" t="s">
        <v>75</v>
      </c>
      <c r="Q227" s="3"/>
      <c r="R227" s="3"/>
      <c r="S227" s="3"/>
      <c r="T227" s="3"/>
      <c r="U227" s="3"/>
    </row>
    <row r="228" spans="1:21" x14ac:dyDescent="0.2">
      <c r="A228" s="3">
        <v>227</v>
      </c>
      <c r="B228" s="3">
        <v>34</v>
      </c>
      <c r="C228" s="3" t="s">
        <v>16</v>
      </c>
      <c r="D228" s="3">
        <v>24</v>
      </c>
      <c r="E228" s="3">
        <v>65.19</v>
      </c>
      <c r="F228" s="3" t="s">
        <v>20</v>
      </c>
      <c r="G228" s="3" t="s">
        <v>23</v>
      </c>
      <c r="H228" s="3">
        <v>0</v>
      </c>
      <c r="I228" s="3">
        <v>97.5</v>
      </c>
      <c r="J228" s="3">
        <v>7</v>
      </c>
      <c r="K228" s="3">
        <v>1621.7</v>
      </c>
      <c r="L228" s="3">
        <v>1</v>
      </c>
      <c r="M228" s="3" t="s">
        <v>91</v>
      </c>
      <c r="N228" s="3" t="s">
        <v>96</v>
      </c>
      <c r="O228" s="3" t="str" cm="1">
        <f t="array" ref="O228">_xlfn.IFS(
  I228 &lt;= $Q$2, "Low",
  I228 &lt;= $Q$3, "Mid-Low",
  I228 &lt;= $Q$4, "Mid-High",
  TRUE,                 "High"
)</f>
        <v>High</v>
      </c>
      <c r="P228" s="3" t="s">
        <v>122</v>
      </c>
      <c r="Q228" s="3"/>
      <c r="R228" s="3"/>
      <c r="S228" s="3"/>
      <c r="T228" s="3"/>
      <c r="U228" s="3"/>
    </row>
    <row r="229" spans="1:21" x14ac:dyDescent="0.2">
      <c r="A229" s="3">
        <v>228</v>
      </c>
      <c r="B229" s="3">
        <v>66</v>
      </c>
      <c r="C229" s="3" t="s">
        <v>16</v>
      </c>
      <c r="D229" s="3">
        <v>28</v>
      </c>
      <c r="E229" s="3">
        <v>91.38</v>
      </c>
      <c r="F229" s="3" t="s">
        <v>20</v>
      </c>
      <c r="G229" s="3" t="s">
        <v>24</v>
      </c>
      <c r="H229" s="3">
        <v>0</v>
      </c>
      <c r="I229" s="3">
        <v>37</v>
      </c>
      <c r="J229" s="3">
        <v>2</v>
      </c>
      <c r="K229" s="3">
        <v>2426.58</v>
      </c>
      <c r="L229" s="3">
        <v>0</v>
      </c>
      <c r="M229" s="3" t="s">
        <v>89</v>
      </c>
      <c r="N229" s="3" t="s">
        <v>94</v>
      </c>
      <c r="O229" s="3" t="str" cm="1">
        <f t="array" ref="O229">_xlfn.IFS(
  I229 &lt;= $Q$2, "Low",
  I229 &lt;= $Q$3, "Mid-Low",
  I229 &lt;= $Q$4, "Mid-High",
  TRUE,                 "High"
)</f>
        <v>Mid-Low</v>
      </c>
      <c r="P229" s="3" t="s">
        <v>75</v>
      </c>
      <c r="Q229" s="3"/>
      <c r="R229" s="3"/>
      <c r="S229" s="3"/>
      <c r="T229" s="3"/>
      <c r="U229" s="3"/>
    </row>
    <row r="230" spans="1:21" x14ac:dyDescent="0.2">
      <c r="A230" s="3">
        <v>229</v>
      </c>
      <c r="B230" s="3">
        <v>19</v>
      </c>
      <c r="C230" s="3" t="s">
        <v>15</v>
      </c>
      <c r="D230" s="3">
        <v>8</v>
      </c>
      <c r="E230" s="3">
        <v>109.97</v>
      </c>
      <c r="F230" s="3" t="s">
        <v>20</v>
      </c>
      <c r="G230" s="3" t="s">
        <v>23</v>
      </c>
      <c r="H230" s="3">
        <v>1</v>
      </c>
      <c r="I230" s="3">
        <v>33.200000000000003</v>
      </c>
      <c r="J230" s="3">
        <v>9</v>
      </c>
      <c r="K230" s="3">
        <v>917.41</v>
      </c>
      <c r="L230" s="3">
        <v>1</v>
      </c>
      <c r="M230" s="3" t="s">
        <v>93</v>
      </c>
      <c r="N230" s="3" t="s">
        <v>97</v>
      </c>
      <c r="O230" s="3" t="str" cm="1">
        <f t="array" ref="O230">_xlfn.IFS(
  I230 &lt;= $Q$2, "Low",
  I230 &lt;= $Q$3, "Mid-Low",
  I230 &lt;= $Q$4, "Mid-High",
  TRUE,                 "High"
)</f>
        <v>Mid-Low</v>
      </c>
      <c r="P230" s="3" t="s">
        <v>121</v>
      </c>
      <c r="Q230" s="3"/>
      <c r="R230" s="3"/>
      <c r="S230" s="3"/>
      <c r="T230" s="3"/>
      <c r="U230" s="3"/>
    </row>
    <row r="231" spans="1:21" x14ac:dyDescent="0.2">
      <c r="A231" s="3">
        <v>230</v>
      </c>
      <c r="B231" s="3">
        <v>19</v>
      </c>
      <c r="C231" s="3" t="s">
        <v>16</v>
      </c>
      <c r="D231" s="3">
        <v>36</v>
      </c>
      <c r="E231" s="3">
        <v>82.41</v>
      </c>
      <c r="F231" s="3" t="s">
        <v>20</v>
      </c>
      <c r="G231" s="3" t="s">
        <v>22</v>
      </c>
      <c r="H231" s="3">
        <v>2</v>
      </c>
      <c r="I231" s="3">
        <v>92.2</v>
      </c>
      <c r="J231" s="3">
        <v>10</v>
      </c>
      <c r="K231" s="3">
        <v>3158.14</v>
      </c>
      <c r="L231" s="3">
        <v>1</v>
      </c>
      <c r="M231" s="3" t="s">
        <v>89</v>
      </c>
      <c r="N231" s="3" t="s">
        <v>97</v>
      </c>
      <c r="O231" s="3" t="str" cm="1">
        <f t="array" ref="O231">_xlfn.IFS(
  I231 &lt;= $Q$2, "Low",
  I231 &lt;= $Q$3, "Mid-Low",
  I231 &lt;= $Q$4, "Mid-High",
  TRUE,                 "High"
)</f>
        <v>High</v>
      </c>
      <c r="P231" s="3" t="s">
        <v>75</v>
      </c>
      <c r="Q231" s="3"/>
      <c r="R231" s="3"/>
      <c r="S231" s="3"/>
      <c r="T231" s="3"/>
      <c r="U231" s="3"/>
    </row>
    <row r="232" spans="1:21" x14ac:dyDescent="0.2">
      <c r="A232" s="3">
        <v>231</v>
      </c>
      <c r="B232" s="3">
        <v>45</v>
      </c>
      <c r="C232" s="3" t="s">
        <v>15</v>
      </c>
      <c r="D232" s="3">
        <v>8</v>
      </c>
      <c r="E232" s="3">
        <v>73.98</v>
      </c>
      <c r="F232" s="3" t="s">
        <v>19</v>
      </c>
      <c r="G232" s="3" t="s">
        <v>23</v>
      </c>
      <c r="H232" s="3">
        <v>1</v>
      </c>
      <c r="I232" s="3">
        <v>15.5</v>
      </c>
      <c r="J232" s="3">
        <v>2</v>
      </c>
      <c r="K232" s="3">
        <v>627.82000000000005</v>
      </c>
      <c r="L232" s="3">
        <v>0</v>
      </c>
      <c r="M232" s="3" t="s">
        <v>93</v>
      </c>
      <c r="N232" s="3" t="s">
        <v>94</v>
      </c>
      <c r="O232" s="3" t="str" cm="1">
        <f t="array" ref="O232">_xlfn.IFS(
  I232 &lt;= $Q$2, "Low",
  I232 &lt;= $Q$3, "Mid-Low",
  I232 &lt;= $Q$4, "Mid-High",
  TRUE,                 "High"
)</f>
        <v>Low</v>
      </c>
      <c r="P232" s="3" t="s">
        <v>75</v>
      </c>
      <c r="Q232" s="3"/>
      <c r="R232" s="3"/>
      <c r="S232" s="3"/>
      <c r="T232" s="3"/>
      <c r="U232" s="3"/>
    </row>
    <row r="233" spans="1:21" x14ac:dyDescent="0.2">
      <c r="A233" s="3">
        <v>232</v>
      </c>
      <c r="B233" s="3">
        <v>40</v>
      </c>
      <c r="C233" s="3" t="s">
        <v>16</v>
      </c>
      <c r="D233" s="3">
        <v>58</v>
      </c>
      <c r="E233" s="3">
        <v>63.87</v>
      </c>
      <c r="F233" s="3" t="s">
        <v>20</v>
      </c>
      <c r="G233" s="3" t="s">
        <v>24</v>
      </c>
      <c r="H233" s="3">
        <v>3</v>
      </c>
      <c r="I233" s="3">
        <v>77.2</v>
      </c>
      <c r="J233" s="3">
        <v>3</v>
      </c>
      <c r="K233" s="3">
        <v>3743.36</v>
      </c>
      <c r="L233" s="3">
        <v>0</v>
      </c>
      <c r="M233" s="3" t="s">
        <v>89</v>
      </c>
      <c r="N233" s="3" t="s">
        <v>94</v>
      </c>
      <c r="O233" s="3" t="str" cm="1">
        <f t="array" ref="O233">_xlfn.IFS(
  I233 &lt;= $Q$2, "Low",
  I233 &lt;= $Q$3, "Mid-Low",
  I233 &lt;= $Q$4, "Mid-High",
  TRUE,                 "High"
)</f>
        <v>High</v>
      </c>
      <c r="P233" s="3" t="s">
        <v>122</v>
      </c>
      <c r="Q233" s="3"/>
      <c r="R233" s="3"/>
      <c r="S233" s="3"/>
      <c r="T233" s="3"/>
      <c r="U233" s="3"/>
    </row>
    <row r="234" spans="1:21" x14ac:dyDescent="0.2">
      <c r="A234" s="3">
        <v>233</v>
      </c>
      <c r="B234" s="3">
        <v>54</v>
      </c>
      <c r="C234" s="3" t="s">
        <v>15</v>
      </c>
      <c r="D234" s="3">
        <v>60</v>
      </c>
      <c r="E234" s="3">
        <v>77.75</v>
      </c>
      <c r="F234" s="3" t="s">
        <v>20</v>
      </c>
      <c r="G234" s="3" t="s">
        <v>24</v>
      </c>
      <c r="H234" s="3">
        <v>4</v>
      </c>
      <c r="I234" s="3">
        <v>98.9</v>
      </c>
      <c r="J234" s="3">
        <v>10</v>
      </c>
      <c r="K234" s="3">
        <v>4683.82</v>
      </c>
      <c r="L234" s="3">
        <v>0</v>
      </c>
      <c r="M234" s="3" t="s">
        <v>89</v>
      </c>
      <c r="N234" s="3" t="s">
        <v>97</v>
      </c>
      <c r="O234" s="3" t="str" cm="1">
        <f t="array" ref="O234">_xlfn.IFS(
  I234 &lt;= $Q$2, "Low",
  I234 &lt;= $Q$3, "Mid-Low",
  I234 &lt;= $Q$4, "Mid-High",
  TRUE,                 "High"
)</f>
        <v>High</v>
      </c>
      <c r="P234" s="3" t="s">
        <v>75</v>
      </c>
      <c r="Q234" s="3"/>
      <c r="R234" s="3"/>
      <c r="S234" s="3"/>
      <c r="T234" s="3"/>
      <c r="U234" s="3"/>
    </row>
    <row r="235" spans="1:21" x14ac:dyDescent="0.2">
      <c r="A235" s="3">
        <v>234</v>
      </c>
      <c r="B235" s="3">
        <v>49</v>
      </c>
      <c r="C235" s="3" t="s">
        <v>15</v>
      </c>
      <c r="D235" s="3">
        <v>50</v>
      </c>
      <c r="E235" s="3">
        <v>55.54</v>
      </c>
      <c r="F235" s="3" t="s">
        <v>20</v>
      </c>
      <c r="G235" s="3" t="s">
        <v>24</v>
      </c>
      <c r="H235" s="3">
        <v>2</v>
      </c>
      <c r="I235" s="3">
        <v>90.6</v>
      </c>
      <c r="J235" s="3">
        <v>2</v>
      </c>
      <c r="K235" s="3">
        <v>2578.65</v>
      </c>
      <c r="L235" s="3">
        <v>1</v>
      </c>
      <c r="M235" s="3" t="s">
        <v>89</v>
      </c>
      <c r="N235" s="3" t="s">
        <v>94</v>
      </c>
      <c r="O235" s="3" t="str" cm="1">
        <f t="array" ref="O235">_xlfn.IFS(
  I235 &lt;= $Q$2, "Low",
  I235 &lt;= $Q$3, "Mid-Low",
  I235 &lt;= $Q$4, "Mid-High",
  TRUE,                 "High"
)</f>
        <v>High</v>
      </c>
      <c r="P235" s="3" t="s">
        <v>122</v>
      </c>
      <c r="Q235" s="3"/>
      <c r="R235" s="3"/>
      <c r="S235" s="3"/>
      <c r="T235" s="3"/>
      <c r="U235" s="3"/>
    </row>
    <row r="236" spans="1:21" x14ac:dyDescent="0.2">
      <c r="A236" s="3">
        <v>235</v>
      </c>
      <c r="B236" s="3">
        <v>50</v>
      </c>
      <c r="C236" s="3" t="s">
        <v>15</v>
      </c>
      <c r="D236" s="3">
        <v>28</v>
      </c>
      <c r="E236" s="3">
        <v>59.15</v>
      </c>
      <c r="F236" s="3" t="s">
        <v>18</v>
      </c>
      <c r="G236" s="3" t="s">
        <v>22</v>
      </c>
      <c r="H236" s="3">
        <v>3</v>
      </c>
      <c r="I236" s="3">
        <v>66.900000000000006</v>
      </c>
      <c r="J236" s="3">
        <v>3</v>
      </c>
      <c r="K236" s="3">
        <v>1747.41</v>
      </c>
      <c r="L236" s="3">
        <v>1</v>
      </c>
      <c r="M236" s="3" t="s">
        <v>89</v>
      </c>
      <c r="N236" s="3" t="s">
        <v>94</v>
      </c>
      <c r="O236" s="3" t="str" cm="1">
        <f t="array" ref="O236">_xlfn.IFS(
  I236 &lt;= $Q$2, "Low",
  I236 &lt;= $Q$3, "Mid-Low",
  I236 &lt;= $Q$4, "Mid-High",
  TRUE,                 "High"
)</f>
        <v>Mid-High</v>
      </c>
      <c r="P236" s="3" t="s">
        <v>122</v>
      </c>
      <c r="Q236" s="3"/>
      <c r="R236" s="3"/>
      <c r="S236" s="3"/>
      <c r="T236" s="3"/>
      <c r="U236" s="3"/>
    </row>
    <row r="237" spans="1:21" x14ac:dyDescent="0.2">
      <c r="A237" s="3">
        <v>236</v>
      </c>
      <c r="B237" s="3">
        <v>18</v>
      </c>
      <c r="C237" s="3" t="s">
        <v>15</v>
      </c>
      <c r="D237" s="3">
        <v>41</v>
      </c>
      <c r="E237" s="3">
        <v>73.19</v>
      </c>
      <c r="F237" s="3" t="s">
        <v>19</v>
      </c>
      <c r="G237" s="3" t="s">
        <v>22</v>
      </c>
      <c r="H237" s="3">
        <v>0</v>
      </c>
      <c r="I237" s="3">
        <v>34.799999999999997</v>
      </c>
      <c r="J237" s="3">
        <v>6</v>
      </c>
      <c r="K237" s="3">
        <v>2863.6</v>
      </c>
      <c r="L237" s="3">
        <v>0</v>
      </c>
      <c r="M237" s="3" t="s">
        <v>89</v>
      </c>
      <c r="N237" s="3" t="s">
        <v>95</v>
      </c>
      <c r="O237" s="3" t="str" cm="1">
        <f t="array" ref="O237">_xlfn.IFS(
  I237 &lt;= $Q$2, "Low",
  I237 &lt;= $Q$3, "Mid-Low",
  I237 &lt;= $Q$4, "Mid-High",
  TRUE,                 "High"
)</f>
        <v>Mid-Low</v>
      </c>
      <c r="P237" s="3" t="s">
        <v>122</v>
      </c>
      <c r="Q237" s="3"/>
      <c r="R237" s="3"/>
      <c r="S237" s="3"/>
      <c r="T237" s="3"/>
      <c r="U237" s="3"/>
    </row>
    <row r="238" spans="1:21" x14ac:dyDescent="0.2">
      <c r="A238" s="3">
        <v>237</v>
      </c>
      <c r="B238" s="3">
        <v>36</v>
      </c>
      <c r="C238" s="3" t="s">
        <v>15</v>
      </c>
      <c r="D238" s="3">
        <v>64</v>
      </c>
      <c r="E238" s="3">
        <v>26.66</v>
      </c>
      <c r="F238" s="3" t="s">
        <v>18</v>
      </c>
      <c r="G238" s="3" t="s">
        <v>24</v>
      </c>
      <c r="H238" s="3">
        <v>2</v>
      </c>
      <c r="I238" s="3">
        <v>29.2</v>
      </c>
      <c r="J238" s="3">
        <v>9</v>
      </c>
      <c r="K238" s="3">
        <v>1705.11</v>
      </c>
      <c r="L238" s="3">
        <v>0</v>
      </c>
      <c r="M238" s="3" t="s">
        <v>89</v>
      </c>
      <c r="N238" s="3" t="s">
        <v>97</v>
      </c>
      <c r="O238" s="3" t="str" cm="1">
        <f t="array" ref="O238">_xlfn.IFS(
  I238 &lt;= $Q$2, "Low",
  I238 &lt;= $Q$3, "Mid-Low",
  I238 &lt;= $Q$4, "Mid-High",
  TRUE,                 "High"
)</f>
        <v>Mid-Low</v>
      </c>
      <c r="P238" s="3" t="s">
        <v>73</v>
      </c>
      <c r="Q238" s="3"/>
      <c r="R238" s="3"/>
      <c r="S238" s="3"/>
      <c r="T238" s="3"/>
      <c r="U238" s="3"/>
    </row>
    <row r="239" spans="1:21" x14ac:dyDescent="0.2">
      <c r="A239" s="3">
        <v>238</v>
      </c>
      <c r="B239" s="3">
        <v>19</v>
      </c>
      <c r="C239" s="3" t="s">
        <v>15</v>
      </c>
      <c r="D239" s="3">
        <v>27</v>
      </c>
      <c r="E239" s="3">
        <v>42.9</v>
      </c>
      <c r="F239" s="3" t="s">
        <v>18</v>
      </c>
      <c r="G239" s="3" t="s">
        <v>23</v>
      </c>
      <c r="H239" s="3">
        <v>2</v>
      </c>
      <c r="I239" s="3">
        <v>82.8</v>
      </c>
      <c r="J239" s="3">
        <v>9</v>
      </c>
      <c r="K239" s="3">
        <v>1108.32</v>
      </c>
      <c r="L239" s="3">
        <v>0</v>
      </c>
      <c r="M239" s="3" t="s">
        <v>89</v>
      </c>
      <c r="N239" s="3" t="s">
        <v>97</v>
      </c>
      <c r="O239" s="3" t="str" cm="1">
        <f t="array" ref="O239">_xlfn.IFS(
  I239 &lt;= $Q$2, "Low",
  I239 &lt;= $Q$3, "Mid-Low",
  I239 &lt;= $Q$4, "Mid-High",
  TRUE,                 "High"
)</f>
        <v>High</v>
      </c>
      <c r="P239" s="3" t="s">
        <v>73</v>
      </c>
      <c r="Q239" s="3"/>
      <c r="R239" s="3"/>
      <c r="S239" s="3"/>
      <c r="T239" s="3"/>
      <c r="U239" s="3"/>
    </row>
    <row r="240" spans="1:21" x14ac:dyDescent="0.2">
      <c r="A240" s="3">
        <v>239</v>
      </c>
      <c r="B240" s="3">
        <v>61</v>
      </c>
      <c r="C240" s="3" t="s">
        <v>16</v>
      </c>
      <c r="D240" s="3">
        <v>63</v>
      </c>
      <c r="E240" s="3">
        <v>74.28</v>
      </c>
      <c r="F240" s="3" t="s">
        <v>20</v>
      </c>
      <c r="G240" s="3" t="s">
        <v>22</v>
      </c>
      <c r="H240" s="3">
        <v>1</v>
      </c>
      <c r="I240" s="3">
        <v>88.6</v>
      </c>
      <c r="J240" s="3">
        <v>7</v>
      </c>
      <c r="K240" s="3">
        <v>4336.93</v>
      </c>
      <c r="L240" s="3">
        <v>1</v>
      </c>
      <c r="M240" s="3" t="s">
        <v>89</v>
      </c>
      <c r="N240" s="3" t="s">
        <v>96</v>
      </c>
      <c r="O240" s="3" t="str" cm="1">
        <f t="array" ref="O240">_xlfn.IFS(
  I240 &lt;= $Q$2, "Low",
  I240 &lt;= $Q$3, "Mid-Low",
  I240 &lt;= $Q$4, "Mid-High",
  TRUE,                 "High"
)</f>
        <v>High</v>
      </c>
      <c r="P240" s="3" t="s">
        <v>75</v>
      </c>
      <c r="Q240" s="3"/>
      <c r="R240" s="3"/>
      <c r="S240" s="3"/>
      <c r="T240" s="3"/>
      <c r="U240" s="3"/>
    </row>
    <row r="241" spans="1:21" x14ac:dyDescent="0.2">
      <c r="A241" s="3">
        <v>240</v>
      </c>
      <c r="B241" s="3">
        <v>43</v>
      </c>
      <c r="C241" s="3" t="s">
        <v>16</v>
      </c>
      <c r="D241" s="3">
        <v>17</v>
      </c>
      <c r="E241" s="3">
        <v>63.15</v>
      </c>
      <c r="F241" s="3" t="s">
        <v>20</v>
      </c>
      <c r="G241" s="3" t="s">
        <v>24</v>
      </c>
      <c r="H241" s="3">
        <v>2</v>
      </c>
      <c r="I241" s="3">
        <v>54.9</v>
      </c>
      <c r="J241" s="3">
        <v>3</v>
      </c>
      <c r="K241" s="3">
        <v>1101.3699999999999</v>
      </c>
      <c r="L241" s="3">
        <v>0</v>
      </c>
      <c r="M241" s="3" t="s">
        <v>91</v>
      </c>
      <c r="N241" s="3" t="s">
        <v>94</v>
      </c>
      <c r="O241" s="3" t="str" cm="1">
        <f t="array" ref="O241">_xlfn.IFS(
  I241 &lt;= $Q$2, "Low",
  I241 &lt;= $Q$3, "Mid-Low",
  I241 &lt;= $Q$4, "Mid-High",
  TRUE,                 "High"
)</f>
        <v>Mid-High</v>
      </c>
      <c r="P241" s="3" t="s">
        <v>122</v>
      </c>
      <c r="Q241" s="3"/>
      <c r="R241" s="3"/>
      <c r="S241" s="3"/>
      <c r="T241" s="3"/>
      <c r="U241" s="3"/>
    </row>
    <row r="242" spans="1:21" x14ac:dyDescent="0.2">
      <c r="A242" s="3">
        <v>241</v>
      </c>
      <c r="B242" s="3">
        <v>49</v>
      </c>
      <c r="C242" s="3" t="s">
        <v>16</v>
      </c>
      <c r="D242" s="3">
        <v>33</v>
      </c>
      <c r="E242" s="3">
        <v>53.28</v>
      </c>
      <c r="F242" s="3" t="s">
        <v>19</v>
      </c>
      <c r="G242" s="3" t="s">
        <v>24</v>
      </c>
      <c r="H242" s="3">
        <v>2</v>
      </c>
      <c r="I242" s="3">
        <v>28.2</v>
      </c>
      <c r="J242" s="3">
        <v>4</v>
      </c>
      <c r="K242" s="3">
        <v>1601.52</v>
      </c>
      <c r="L242" s="3">
        <v>1</v>
      </c>
      <c r="M242" s="3" t="s">
        <v>89</v>
      </c>
      <c r="N242" s="3" t="s">
        <v>94</v>
      </c>
      <c r="O242" s="3" t="str" cm="1">
        <f t="array" ref="O242">_xlfn.IFS(
  I242 &lt;= $Q$2, "Low",
  I242 &lt;= $Q$3, "Mid-Low",
  I242 &lt;= $Q$4, "Mid-High",
  TRUE,                 "High"
)</f>
        <v>Mid-Low</v>
      </c>
      <c r="P242" s="3" t="s">
        <v>122</v>
      </c>
      <c r="Q242" s="3"/>
      <c r="R242" s="3"/>
      <c r="S242" s="3"/>
      <c r="T242" s="3"/>
      <c r="U242" s="3"/>
    </row>
    <row r="243" spans="1:21" x14ac:dyDescent="0.2">
      <c r="A243" s="3">
        <v>242</v>
      </c>
      <c r="B243" s="3">
        <v>23</v>
      </c>
      <c r="C243" s="3" t="s">
        <v>15</v>
      </c>
      <c r="D243" s="3">
        <v>29</v>
      </c>
      <c r="E243" s="3">
        <v>93.05</v>
      </c>
      <c r="F243" s="3" t="s">
        <v>18</v>
      </c>
      <c r="G243" s="3" t="s">
        <v>22</v>
      </c>
      <c r="H243" s="3">
        <v>2</v>
      </c>
      <c r="I243" s="3">
        <v>15.7</v>
      </c>
      <c r="J243" s="3">
        <v>6</v>
      </c>
      <c r="K243" s="3">
        <v>2832.64</v>
      </c>
      <c r="L243" s="3">
        <v>1</v>
      </c>
      <c r="M243" s="3" t="s">
        <v>89</v>
      </c>
      <c r="N243" s="3" t="s">
        <v>95</v>
      </c>
      <c r="O243" s="3" t="str" cm="1">
        <f t="array" ref="O243">_xlfn.IFS(
  I243 &lt;= $Q$2, "Low",
  I243 &lt;= $Q$3, "Mid-Low",
  I243 &lt;= $Q$4, "Mid-High",
  TRUE,                 "High"
)</f>
        <v>Low</v>
      </c>
      <c r="P243" s="3" t="s">
        <v>75</v>
      </c>
      <c r="Q243" s="3"/>
      <c r="R243" s="3"/>
      <c r="S243" s="3"/>
      <c r="T243" s="3"/>
      <c r="U243" s="3"/>
    </row>
    <row r="244" spans="1:21" x14ac:dyDescent="0.2">
      <c r="A244" s="3">
        <v>243</v>
      </c>
      <c r="B244" s="3">
        <v>49</v>
      </c>
      <c r="C244" s="3" t="s">
        <v>15</v>
      </c>
      <c r="D244" s="3">
        <v>13</v>
      </c>
      <c r="E244" s="3">
        <v>89.37</v>
      </c>
      <c r="F244" s="3" t="s">
        <v>18</v>
      </c>
      <c r="G244" s="3" t="s">
        <v>22</v>
      </c>
      <c r="H244" s="3">
        <v>1</v>
      </c>
      <c r="I244" s="3">
        <v>13.3</v>
      </c>
      <c r="J244" s="3">
        <v>5</v>
      </c>
      <c r="K244" s="3">
        <v>1119.42</v>
      </c>
      <c r="L244" s="3">
        <v>0</v>
      </c>
      <c r="M244" s="3" t="s">
        <v>91</v>
      </c>
      <c r="N244" s="3" t="s">
        <v>95</v>
      </c>
      <c r="O244" s="3" t="str" cm="1">
        <f t="array" ref="O244">_xlfn.IFS(
  I244 &lt;= $Q$2, "Low",
  I244 &lt;= $Q$3, "Mid-Low",
  I244 &lt;= $Q$4, "Mid-High",
  TRUE,                 "High"
)</f>
        <v>Low</v>
      </c>
      <c r="P244" s="3" t="s">
        <v>75</v>
      </c>
      <c r="Q244" s="3"/>
      <c r="R244" s="3"/>
      <c r="S244" s="3"/>
      <c r="T244" s="3"/>
      <c r="U244" s="3"/>
    </row>
    <row r="245" spans="1:21" x14ac:dyDescent="0.2">
      <c r="A245" s="3">
        <v>244</v>
      </c>
      <c r="B245" s="3">
        <v>21</v>
      </c>
      <c r="C245" s="3" t="s">
        <v>15</v>
      </c>
      <c r="D245" s="3">
        <v>46</v>
      </c>
      <c r="E245" s="3">
        <v>36.67</v>
      </c>
      <c r="F245" s="3" t="s">
        <v>18</v>
      </c>
      <c r="G245" s="3" t="s">
        <v>22</v>
      </c>
      <c r="H245" s="3">
        <v>3</v>
      </c>
      <c r="I245" s="3">
        <v>73.3</v>
      </c>
      <c r="J245" s="3">
        <v>2</v>
      </c>
      <c r="K245" s="3">
        <v>1518.18</v>
      </c>
      <c r="L245" s="3">
        <v>1</v>
      </c>
      <c r="M245" s="3" t="s">
        <v>89</v>
      </c>
      <c r="N245" s="3" t="s">
        <v>94</v>
      </c>
      <c r="O245" s="3" t="str" cm="1">
        <f t="array" ref="O245">_xlfn.IFS(
  I245 &lt;= $Q$2, "Low",
  I245 &lt;= $Q$3, "Mid-Low",
  I245 &lt;= $Q$4, "Mid-High",
  TRUE,                 "High"
)</f>
        <v>Mid-High</v>
      </c>
      <c r="P245" s="3" t="s">
        <v>73</v>
      </c>
      <c r="Q245" s="3"/>
      <c r="R245" s="3"/>
      <c r="S245" s="3"/>
      <c r="T245" s="3"/>
      <c r="U245" s="3"/>
    </row>
    <row r="246" spans="1:21" x14ac:dyDescent="0.2">
      <c r="A246" s="3">
        <v>245</v>
      </c>
      <c r="B246" s="3">
        <v>28</v>
      </c>
      <c r="C246" s="3" t="s">
        <v>15</v>
      </c>
      <c r="D246" s="3">
        <v>35</v>
      </c>
      <c r="E246" s="3">
        <v>107.86</v>
      </c>
      <c r="F246" s="3" t="s">
        <v>18</v>
      </c>
      <c r="G246" s="3" t="s">
        <v>23</v>
      </c>
      <c r="H246" s="3">
        <v>4</v>
      </c>
      <c r="I246" s="3">
        <v>44.9</v>
      </c>
      <c r="J246" s="3">
        <v>6</v>
      </c>
      <c r="K246" s="3">
        <v>3783.5</v>
      </c>
      <c r="L246" s="3">
        <v>0</v>
      </c>
      <c r="M246" s="3" t="s">
        <v>89</v>
      </c>
      <c r="N246" s="3" t="s">
        <v>95</v>
      </c>
      <c r="O246" s="3" t="str" cm="1">
        <f t="array" ref="O246">_xlfn.IFS(
  I246 &lt;= $Q$2, "Low",
  I246 &lt;= $Q$3, "Mid-Low",
  I246 &lt;= $Q$4, "Mid-High",
  TRUE,                 "High"
)</f>
        <v>Mid-Low</v>
      </c>
      <c r="P246" s="3" t="s">
        <v>121</v>
      </c>
      <c r="Q246" s="3"/>
      <c r="R246" s="3"/>
      <c r="S246" s="3"/>
      <c r="T246" s="3"/>
      <c r="U246" s="3"/>
    </row>
    <row r="247" spans="1:21" x14ac:dyDescent="0.2">
      <c r="A247" s="3">
        <v>246</v>
      </c>
      <c r="B247" s="3">
        <v>34</v>
      </c>
      <c r="C247" s="3" t="s">
        <v>16</v>
      </c>
      <c r="D247" s="3">
        <v>6</v>
      </c>
      <c r="E247" s="3">
        <v>69.540000000000006</v>
      </c>
      <c r="F247" s="3" t="s">
        <v>18</v>
      </c>
      <c r="G247" s="3" t="s">
        <v>23</v>
      </c>
      <c r="H247" s="3">
        <v>2</v>
      </c>
      <c r="I247" s="3">
        <v>91</v>
      </c>
      <c r="J247" s="3">
        <v>3</v>
      </c>
      <c r="K247" s="3">
        <v>379.43</v>
      </c>
      <c r="L247" s="3">
        <v>1</v>
      </c>
      <c r="M247" s="3" t="s">
        <v>92</v>
      </c>
      <c r="N247" s="3" t="s">
        <v>94</v>
      </c>
      <c r="O247" s="3" t="str" cm="1">
        <f t="array" ref="O247">_xlfn.IFS(
  I247 &lt;= $Q$2, "Low",
  I247 &lt;= $Q$3, "Mid-Low",
  I247 &lt;= $Q$4, "Mid-High",
  TRUE,                 "High"
)</f>
        <v>High</v>
      </c>
      <c r="P247" s="3" t="s">
        <v>122</v>
      </c>
      <c r="Q247" s="3"/>
      <c r="R247" s="3"/>
      <c r="S247" s="3"/>
      <c r="T247" s="3"/>
      <c r="U247" s="3"/>
    </row>
    <row r="248" spans="1:21" x14ac:dyDescent="0.2">
      <c r="A248" s="3">
        <v>247</v>
      </c>
      <c r="B248" s="3">
        <v>55</v>
      </c>
      <c r="C248" s="3" t="s">
        <v>16</v>
      </c>
      <c r="D248" s="3">
        <v>69</v>
      </c>
      <c r="E248" s="3">
        <v>94.15</v>
      </c>
      <c r="F248" s="3" t="s">
        <v>19</v>
      </c>
      <c r="G248" s="3" t="s">
        <v>24</v>
      </c>
      <c r="H248" s="3">
        <v>3</v>
      </c>
      <c r="I248" s="3">
        <v>75.3</v>
      </c>
      <c r="J248" s="3">
        <v>8</v>
      </c>
      <c r="K248" s="3">
        <v>6205.53</v>
      </c>
      <c r="L248" s="3">
        <v>1</v>
      </c>
      <c r="M248" s="3" t="s">
        <v>89</v>
      </c>
      <c r="N248" s="3" t="s">
        <v>96</v>
      </c>
      <c r="O248" s="3" t="str" cm="1">
        <f t="array" ref="O248">_xlfn.IFS(
  I248 &lt;= $Q$2, "Low",
  I248 &lt;= $Q$3, "Mid-Low",
  I248 &lt;= $Q$4, "Mid-High",
  TRUE,                 "High"
)</f>
        <v>Mid-High</v>
      </c>
      <c r="P248" s="3" t="s">
        <v>75</v>
      </c>
      <c r="Q248" s="3"/>
      <c r="R248" s="3"/>
      <c r="S248" s="3"/>
      <c r="T248" s="3"/>
      <c r="U248" s="3"/>
    </row>
    <row r="249" spans="1:21" x14ac:dyDescent="0.2">
      <c r="A249" s="3">
        <v>248</v>
      </c>
      <c r="B249" s="3">
        <v>41</v>
      </c>
      <c r="C249" s="3" t="s">
        <v>15</v>
      </c>
      <c r="D249" s="3">
        <v>47</v>
      </c>
      <c r="E249" s="3">
        <v>77.319999999999993</v>
      </c>
      <c r="F249" s="3" t="s">
        <v>19</v>
      </c>
      <c r="G249" s="3" t="s">
        <v>22</v>
      </c>
      <c r="H249" s="3">
        <v>3</v>
      </c>
      <c r="I249" s="3">
        <v>23.2</v>
      </c>
      <c r="J249" s="3">
        <v>2</v>
      </c>
      <c r="K249" s="3">
        <v>3784.47</v>
      </c>
      <c r="L249" s="3">
        <v>1</v>
      </c>
      <c r="M249" s="3" t="s">
        <v>89</v>
      </c>
      <c r="N249" s="3" t="s">
        <v>94</v>
      </c>
      <c r="O249" s="3" t="str" cm="1">
        <f t="array" ref="O249">_xlfn.IFS(
  I249 &lt;= $Q$2, "Low",
  I249 &lt;= $Q$3, "Mid-Low",
  I249 &lt;= $Q$4, "Mid-High",
  TRUE,                 "High"
)</f>
        <v>Low</v>
      </c>
      <c r="P249" s="3" t="s">
        <v>75</v>
      </c>
      <c r="Q249" s="3"/>
      <c r="R249" s="3"/>
      <c r="S249" s="3"/>
      <c r="T249" s="3"/>
      <c r="U249" s="3"/>
    </row>
    <row r="250" spans="1:21" x14ac:dyDescent="0.2">
      <c r="A250" s="3">
        <v>249</v>
      </c>
      <c r="B250" s="3">
        <v>22</v>
      </c>
      <c r="C250" s="3" t="s">
        <v>16</v>
      </c>
      <c r="D250" s="3">
        <v>25</v>
      </c>
      <c r="E250" s="3">
        <v>119.77</v>
      </c>
      <c r="F250" s="3" t="s">
        <v>18</v>
      </c>
      <c r="G250" s="3" t="s">
        <v>23</v>
      </c>
      <c r="H250" s="3">
        <v>3</v>
      </c>
      <c r="I250" s="3">
        <v>63.3</v>
      </c>
      <c r="J250" s="3">
        <v>1</v>
      </c>
      <c r="K250" s="3">
        <v>2732.37</v>
      </c>
      <c r="L250" s="3">
        <v>1</v>
      </c>
      <c r="M250" s="3" t="s">
        <v>89</v>
      </c>
      <c r="N250" s="3" t="s">
        <v>94</v>
      </c>
      <c r="O250" s="3" t="str" cm="1">
        <f t="array" ref="O250">_xlfn.IFS(
  I250 &lt;= $Q$2, "Low",
  I250 &lt;= $Q$3, "Mid-Low",
  I250 &lt;= $Q$4, "Mid-High",
  TRUE,                 "High"
)</f>
        <v>Mid-High</v>
      </c>
      <c r="P250" s="3" t="s">
        <v>121</v>
      </c>
      <c r="Q250" s="3"/>
      <c r="R250" s="3"/>
      <c r="S250" s="3"/>
      <c r="T250" s="3"/>
      <c r="U250" s="3"/>
    </row>
    <row r="251" spans="1:21" x14ac:dyDescent="0.2">
      <c r="A251" s="3">
        <v>250</v>
      </c>
      <c r="B251" s="3">
        <v>69</v>
      </c>
      <c r="C251" s="3" t="s">
        <v>16</v>
      </c>
      <c r="D251" s="3">
        <v>66</v>
      </c>
      <c r="E251" s="3">
        <v>95.24</v>
      </c>
      <c r="F251" s="3" t="s">
        <v>18</v>
      </c>
      <c r="G251" s="3" t="s">
        <v>22</v>
      </c>
      <c r="H251" s="3">
        <v>5</v>
      </c>
      <c r="I251" s="3">
        <v>46.4</v>
      </c>
      <c r="J251" s="3">
        <v>9</v>
      </c>
      <c r="K251" s="3">
        <v>6712.45</v>
      </c>
      <c r="L251" s="3">
        <v>0</v>
      </c>
      <c r="M251" s="3" t="s">
        <v>89</v>
      </c>
      <c r="N251" s="3" t="s">
        <v>97</v>
      </c>
      <c r="O251" s="3" t="str" cm="1">
        <f t="array" ref="O251">_xlfn.IFS(
  I251 &lt;= $Q$2, "Low",
  I251 &lt;= $Q$3, "Mid-Low",
  I251 &lt;= $Q$4, "Mid-High",
  TRUE,                 "High"
)</f>
        <v>Mid-Low</v>
      </c>
      <c r="P251" s="3" t="s">
        <v>121</v>
      </c>
      <c r="Q251" s="3"/>
      <c r="R251" s="3"/>
      <c r="S251" s="3"/>
      <c r="T251" s="3"/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3D453-8E2E-B243-85CB-B297F8FE1FF9}">
  <dimension ref="A1:AD251"/>
  <sheetViews>
    <sheetView topLeftCell="V1" workbookViewId="0">
      <selection sqref="A1:B133"/>
    </sheetView>
  </sheetViews>
  <sheetFormatPr baseColWidth="10" defaultRowHeight="15" x14ac:dyDescent="0.2"/>
  <cols>
    <col min="18" max="18" width="14.1640625" bestFit="1" customWidth="1"/>
    <col min="19" max="19" width="17.33203125" bestFit="1" customWidth="1"/>
    <col min="20" max="20" width="14.33203125" bestFit="1" customWidth="1"/>
    <col min="25" max="25" width="16.6640625" customWidth="1"/>
    <col min="27" max="27" width="14.6640625" customWidth="1"/>
    <col min="30" max="30" width="11.6640625" customWidth="1"/>
  </cols>
  <sheetData>
    <row r="1" spans="1:30" x14ac:dyDescent="0.2">
      <c r="A1" s="3" t="s">
        <v>5</v>
      </c>
      <c r="B1" s="3" t="s">
        <v>6</v>
      </c>
      <c r="C1" s="3" t="s">
        <v>14</v>
      </c>
      <c r="D1" s="3" t="s">
        <v>7</v>
      </c>
      <c r="E1" s="3" t="s">
        <v>8</v>
      </c>
      <c r="F1" s="3" t="s">
        <v>17</v>
      </c>
      <c r="G1" s="3" t="s">
        <v>21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86</v>
      </c>
      <c r="N1" s="3" t="s">
        <v>87</v>
      </c>
      <c r="O1" s="3" t="s">
        <v>88</v>
      </c>
      <c r="P1" s="3" t="s">
        <v>120</v>
      </c>
      <c r="R1" s="22" t="s">
        <v>82</v>
      </c>
      <c r="S1" t="s">
        <v>102</v>
      </c>
      <c r="T1" t="s">
        <v>101</v>
      </c>
      <c r="W1" t="s">
        <v>105</v>
      </c>
      <c r="Y1" t="s">
        <v>104</v>
      </c>
      <c r="AB1" t="s">
        <v>105</v>
      </c>
      <c r="AD1" t="s">
        <v>104</v>
      </c>
    </row>
    <row r="2" spans="1:30" x14ac:dyDescent="0.2">
      <c r="A2" s="3">
        <v>1</v>
      </c>
      <c r="B2" s="3">
        <v>56</v>
      </c>
      <c r="C2" s="3" t="s">
        <v>15</v>
      </c>
      <c r="D2" s="3">
        <v>58</v>
      </c>
      <c r="E2" s="3">
        <v>28.27</v>
      </c>
      <c r="F2" s="3" t="s">
        <v>18</v>
      </c>
      <c r="G2" s="3" t="s">
        <v>23</v>
      </c>
      <c r="H2" s="3">
        <v>2</v>
      </c>
      <c r="I2" s="3">
        <v>52.7</v>
      </c>
      <c r="J2" s="3">
        <v>6</v>
      </c>
      <c r="K2" s="3">
        <v>1614.09</v>
      </c>
      <c r="L2" s="3">
        <v>1</v>
      </c>
      <c r="M2" s="3" t="s">
        <v>89</v>
      </c>
      <c r="N2" s="3" t="s">
        <v>95</v>
      </c>
      <c r="O2" s="3" t="s">
        <v>100</v>
      </c>
      <c r="P2" s="3" t="s">
        <v>73</v>
      </c>
      <c r="R2" s="23" t="s">
        <v>18</v>
      </c>
      <c r="S2">
        <v>72</v>
      </c>
      <c r="T2" s="25">
        <v>0.41666666666666669</v>
      </c>
      <c r="V2" t="s">
        <v>98</v>
      </c>
      <c r="W2" s="25">
        <v>0.6</v>
      </c>
      <c r="X2" t="s">
        <v>98</v>
      </c>
      <c r="Y2">
        <v>1.28</v>
      </c>
      <c r="AA2" t="s">
        <v>125</v>
      </c>
      <c r="AB2" s="25">
        <v>0.42</v>
      </c>
      <c r="AC2" t="s">
        <v>125</v>
      </c>
      <c r="AD2">
        <v>0.88</v>
      </c>
    </row>
    <row r="3" spans="1:30" x14ac:dyDescent="0.2">
      <c r="A3" s="3">
        <v>2</v>
      </c>
      <c r="B3" s="3">
        <v>69</v>
      </c>
      <c r="C3" s="3" t="s">
        <v>15</v>
      </c>
      <c r="D3" s="3">
        <v>63</v>
      </c>
      <c r="E3" s="3">
        <v>107.67</v>
      </c>
      <c r="F3" s="3" t="s">
        <v>18</v>
      </c>
      <c r="G3" s="3" t="s">
        <v>23</v>
      </c>
      <c r="H3" s="3">
        <v>1</v>
      </c>
      <c r="I3" s="3">
        <v>16.8</v>
      </c>
      <c r="J3" s="3">
        <v>1</v>
      </c>
      <c r="K3" s="3">
        <v>6505.15</v>
      </c>
      <c r="L3" s="3">
        <v>1</v>
      </c>
      <c r="M3" s="3" t="s">
        <v>89</v>
      </c>
      <c r="N3" s="3" t="s">
        <v>94</v>
      </c>
      <c r="O3" s="3" t="s">
        <v>99</v>
      </c>
      <c r="P3" s="3" t="s">
        <v>121</v>
      </c>
      <c r="R3" s="23" t="s">
        <v>19</v>
      </c>
      <c r="S3">
        <v>33</v>
      </c>
      <c r="T3" s="25">
        <v>0.42424242424242425</v>
      </c>
      <c r="V3" t="s">
        <v>100</v>
      </c>
      <c r="W3" s="25">
        <v>0.5</v>
      </c>
      <c r="X3" t="s">
        <v>100</v>
      </c>
      <c r="Y3">
        <v>1.06</v>
      </c>
      <c r="AA3" t="s">
        <v>126</v>
      </c>
      <c r="AB3" s="25">
        <v>0.42</v>
      </c>
      <c r="AC3" t="s">
        <v>126</v>
      </c>
      <c r="AD3">
        <v>0.9</v>
      </c>
    </row>
    <row r="4" spans="1:30" x14ac:dyDescent="0.2">
      <c r="A4" s="3">
        <v>3</v>
      </c>
      <c r="B4" s="3">
        <v>46</v>
      </c>
      <c r="C4" s="3" t="s">
        <v>15</v>
      </c>
      <c r="D4" s="3">
        <v>62</v>
      </c>
      <c r="E4" s="3">
        <v>75.16</v>
      </c>
      <c r="F4" s="3" t="s">
        <v>20</v>
      </c>
      <c r="G4" s="3" t="s">
        <v>22</v>
      </c>
      <c r="H4" s="3">
        <v>1</v>
      </c>
      <c r="I4" s="3">
        <v>41.6</v>
      </c>
      <c r="J4" s="3">
        <v>5</v>
      </c>
      <c r="K4" s="3">
        <v>4646.87</v>
      </c>
      <c r="L4" s="3">
        <v>0</v>
      </c>
      <c r="M4" s="3" t="s">
        <v>89</v>
      </c>
      <c r="N4" s="3" t="s">
        <v>95</v>
      </c>
      <c r="O4" s="3" t="s">
        <v>124</v>
      </c>
      <c r="P4" s="3" t="s">
        <v>75</v>
      </c>
      <c r="R4" s="23" t="s">
        <v>20</v>
      </c>
      <c r="S4">
        <v>145</v>
      </c>
      <c r="T4" s="25">
        <v>0.51034482758620692</v>
      </c>
      <c r="V4" t="s">
        <v>124</v>
      </c>
      <c r="W4" s="25">
        <v>0.35</v>
      </c>
      <c r="X4" t="s">
        <v>124</v>
      </c>
      <c r="Y4">
        <v>0.74</v>
      </c>
      <c r="AA4" t="s">
        <v>81</v>
      </c>
      <c r="AB4" s="25">
        <v>0.51</v>
      </c>
      <c r="AC4" t="s">
        <v>127</v>
      </c>
      <c r="AD4">
        <v>1.08</v>
      </c>
    </row>
    <row r="5" spans="1:30" x14ac:dyDescent="0.2">
      <c r="A5" s="3">
        <v>4</v>
      </c>
      <c r="B5" s="3">
        <v>32</v>
      </c>
      <c r="C5" s="3" t="s">
        <v>16</v>
      </c>
      <c r="D5" s="3">
        <v>22</v>
      </c>
      <c r="E5" s="3">
        <v>36.479999999999997</v>
      </c>
      <c r="F5" s="3" t="s">
        <v>20</v>
      </c>
      <c r="G5" s="3" t="s">
        <v>24</v>
      </c>
      <c r="H5" s="3">
        <v>1</v>
      </c>
      <c r="I5" s="3">
        <v>66.099999999999994</v>
      </c>
      <c r="J5" s="3">
        <v>3</v>
      </c>
      <c r="K5" s="3">
        <v>814.95</v>
      </c>
      <c r="L5" s="3">
        <v>1</v>
      </c>
      <c r="M5" s="3" t="s">
        <v>91</v>
      </c>
      <c r="N5" s="3" t="s">
        <v>94</v>
      </c>
      <c r="O5" s="3" t="s">
        <v>100</v>
      </c>
      <c r="P5" s="3" t="s">
        <v>73</v>
      </c>
      <c r="R5" s="23" t="s">
        <v>83</v>
      </c>
      <c r="S5">
        <v>250</v>
      </c>
      <c r="T5">
        <v>0.47199999999999998</v>
      </c>
      <c r="V5" t="s">
        <v>99</v>
      </c>
      <c r="W5" s="25">
        <v>0.43</v>
      </c>
      <c r="X5" t="s">
        <v>99</v>
      </c>
      <c r="Y5">
        <v>0.92</v>
      </c>
    </row>
    <row r="6" spans="1:30" x14ac:dyDescent="0.2">
      <c r="A6" s="3">
        <v>5</v>
      </c>
      <c r="B6" s="3">
        <v>60</v>
      </c>
      <c r="C6" s="3" t="s">
        <v>16</v>
      </c>
      <c r="D6" s="3">
        <v>58</v>
      </c>
      <c r="E6" s="3">
        <v>61.13</v>
      </c>
      <c r="F6" s="3" t="s">
        <v>18</v>
      </c>
      <c r="G6" s="3" t="s">
        <v>22</v>
      </c>
      <c r="H6" s="3">
        <v>3</v>
      </c>
      <c r="I6" s="3">
        <v>79.099999999999994</v>
      </c>
      <c r="J6" s="3">
        <v>1</v>
      </c>
      <c r="K6" s="3">
        <v>3222</v>
      </c>
      <c r="L6" s="3">
        <v>1</v>
      </c>
      <c r="M6" s="3" t="s">
        <v>89</v>
      </c>
      <c r="N6" s="3" t="s">
        <v>94</v>
      </c>
      <c r="O6" s="3" t="s">
        <v>98</v>
      </c>
      <c r="P6" s="3" t="s">
        <v>122</v>
      </c>
    </row>
    <row r="7" spans="1:30" x14ac:dyDescent="0.2">
      <c r="A7" s="3">
        <v>6</v>
      </c>
      <c r="B7" s="3">
        <v>25</v>
      </c>
      <c r="C7" s="3" t="s">
        <v>15</v>
      </c>
      <c r="D7" s="3">
        <v>58</v>
      </c>
      <c r="E7" s="3">
        <v>97.76</v>
      </c>
      <c r="F7" s="3" t="s">
        <v>20</v>
      </c>
      <c r="G7" s="3" t="s">
        <v>24</v>
      </c>
      <c r="H7" s="3">
        <v>2</v>
      </c>
      <c r="I7" s="3">
        <v>25.6</v>
      </c>
      <c r="J7" s="3">
        <v>4</v>
      </c>
      <c r="K7" s="3">
        <v>5242.5600000000004</v>
      </c>
      <c r="L7" s="3">
        <v>1</v>
      </c>
      <c r="M7" s="3" t="s">
        <v>89</v>
      </c>
      <c r="N7" s="3" t="s">
        <v>94</v>
      </c>
      <c r="O7" s="3" t="s">
        <v>99</v>
      </c>
      <c r="P7" s="3" t="s">
        <v>121</v>
      </c>
    </row>
    <row r="8" spans="1:30" x14ac:dyDescent="0.2">
      <c r="A8" s="3">
        <v>7</v>
      </c>
      <c r="B8" s="3">
        <v>38</v>
      </c>
      <c r="C8" s="3" t="s">
        <v>15</v>
      </c>
      <c r="D8" s="3">
        <v>49</v>
      </c>
      <c r="E8" s="3">
        <v>68.040000000000006</v>
      </c>
      <c r="F8" s="3" t="s">
        <v>18</v>
      </c>
      <c r="G8" s="3" t="s">
        <v>23</v>
      </c>
      <c r="H8" s="3">
        <v>2</v>
      </c>
      <c r="I8" s="3">
        <v>18.100000000000001</v>
      </c>
      <c r="J8" s="3">
        <v>2</v>
      </c>
      <c r="K8" s="3">
        <v>3373.06</v>
      </c>
      <c r="L8" s="3">
        <v>1</v>
      </c>
      <c r="M8" s="3" t="s">
        <v>89</v>
      </c>
      <c r="N8" s="3" t="s">
        <v>94</v>
      </c>
      <c r="O8" s="3" t="s">
        <v>99</v>
      </c>
      <c r="P8" s="3" t="s">
        <v>122</v>
      </c>
    </row>
    <row r="9" spans="1:30" x14ac:dyDescent="0.2">
      <c r="A9" s="3">
        <v>8</v>
      </c>
      <c r="B9" s="3">
        <v>56</v>
      </c>
      <c r="C9" s="3" t="s">
        <v>16</v>
      </c>
      <c r="D9" s="3">
        <v>52</v>
      </c>
      <c r="E9" s="3">
        <v>118.53</v>
      </c>
      <c r="F9" s="3" t="s">
        <v>20</v>
      </c>
      <c r="G9" s="3" t="s">
        <v>24</v>
      </c>
      <c r="H9" s="3">
        <v>3</v>
      </c>
      <c r="I9" s="3">
        <v>68</v>
      </c>
      <c r="J9" s="3">
        <v>2</v>
      </c>
      <c r="K9" s="3">
        <v>5970.23</v>
      </c>
      <c r="L9" s="3">
        <v>0</v>
      </c>
      <c r="M9" s="3" t="s">
        <v>89</v>
      </c>
      <c r="N9" s="3" t="s">
        <v>94</v>
      </c>
      <c r="O9" s="3" t="s">
        <v>100</v>
      </c>
      <c r="P9" s="3" t="s">
        <v>121</v>
      </c>
      <c r="R9" s="50" t="s">
        <v>123</v>
      </c>
      <c r="S9" s="50" t="s">
        <v>111</v>
      </c>
      <c r="T9" s="50" t="s">
        <v>69</v>
      </c>
      <c r="U9" s="50" t="s">
        <v>105</v>
      </c>
      <c r="V9" s="50" t="s">
        <v>113</v>
      </c>
      <c r="W9" s="50" t="s">
        <v>104</v>
      </c>
      <c r="Y9" s="50" t="s">
        <v>17</v>
      </c>
      <c r="Z9" s="50" t="s">
        <v>111</v>
      </c>
      <c r="AA9" s="50" t="s">
        <v>69</v>
      </c>
      <c r="AB9" s="50" t="s">
        <v>105</v>
      </c>
      <c r="AC9" s="50" t="s">
        <v>113</v>
      </c>
      <c r="AD9" s="50" t="s">
        <v>104</v>
      </c>
    </row>
    <row r="10" spans="1:30" x14ac:dyDescent="0.2">
      <c r="A10" s="3">
        <v>9</v>
      </c>
      <c r="B10" s="3">
        <v>36</v>
      </c>
      <c r="C10" s="3" t="s">
        <v>16</v>
      </c>
      <c r="D10" s="3">
        <v>42</v>
      </c>
      <c r="E10" s="3">
        <v>57.67</v>
      </c>
      <c r="F10" s="3" t="s">
        <v>20</v>
      </c>
      <c r="G10" s="3" t="s">
        <v>22</v>
      </c>
      <c r="H10" s="3">
        <v>0</v>
      </c>
      <c r="I10" s="3">
        <v>5.2</v>
      </c>
      <c r="J10" s="3">
        <v>3</v>
      </c>
      <c r="K10" s="3">
        <v>2533.16</v>
      </c>
      <c r="L10" s="3">
        <v>1</v>
      </c>
      <c r="M10" s="3" t="s">
        <v>89</v>
      </c>
      <c r="N10" s="3" t="s">
        <v>94</v>
      </c>
      <c r="O10" s="3" t="s">
        <v>99</v>
      </c>
      <c r="P10" s="3" t="s">
        <v>122</v>
      </c>
      <c r="R10" s="33" t="s">
        <v>98</v>
      </c>
      <c r="S10" s="34">
        <v>63</v>
      </c>
      <c r="T10" s="34" t="e">
        <f>S10*U10</f>
        <v>#REF!</v>
      </c>
      <c r="U10" s="35" t="e">
        <f>GETPIVOTDATA("Average of Churn",$R$1,"UsageBand","High")</f>
        <v>#REF!</v>
      </c>
      <c r="V10" s="35" t="e">
        <f>T10/$T$14</f>
        <v>#REF!</v>
      </c>
      <c r="W10" s="36" t="e">
        <f>U10/$U$14</f>
        <v>#REF!</v>
      </c>
      <c r="Y10" s="34" t="s">
        <v>125</v>
      </c>
      <c r="Z10" s="34">
        <v>72</v>
      </c>
      <c r="AA10" s="34">
        <f>Z10*AB10</f>
        <v>30</v>
      </c>
      <c r="AB10" s="35">
        <f>GETPIVOTDATA("Average of Churn",$R$1,"ContractType","1-Year")</f>
        <v>0.41666666666666669</v>
      </c>
      <c r="AC10" s="35">
        <f>AA10/$AA$13</f>
        <v>0.25423728813559321</v>
      </c>
      <c r="AD10" s="49">
        <f>AB10/$AB$13</f>
        <v>0.88276836158192096</v>
      </c>
    </row>
    <row r="11" spans="1:30" x14ac:dyDescent="0.2">
      <c r="A11" s="3">
        <v>10</v>
      </c>
      <c r="B11" s="3">
        <v>40</v>
      </c>
      <c r="C11" s="3" t="s">
        <v>15</v>
      </c>
      <c r="D11" s="3">
        <v>70</v>
      </c>
      <c r="E11" s="3">
        <v>94.96</v>
      </c>
      <c r="F11" s="3" t="s">
        <v>20</v>
      </c>
      <c r="G11" s="3" t="s">
        <v>23</v>
      </c>
      <c r="H11" s="3">
        <v>5</v>
      </c>
      <c r="I11" s="3">
        <v>21.9</v>
      </c>
      <c r="J11" s="3">
        <v>8</v>
      </c>
      <c r="K11" s="3">
        <v>6849.66</v>
      </c>
      <c r="L11" s="3">
        <v>0</v>
      </c>
      <c r="M11" s="3" t="s">
        <v>89</v>
      </c>
      <c r="N11" s="3" t="s">
        <v>96</v>
      </c>
      <c r="O11" s="3" t="s">
        <v>99</v>
      </c>
      <c r="P11" s="3" t="s">
        <v>75</v>
      </c>
      <c r="R11" s="33" t="s">
        <v>100</v>
      </c>
      <c r="S11" s="34">
        <v>62</v>
      </c>
      <c r="T11" s="34" t="e">
        <f t="shared" ref="T11:T13" si="0">S11*U11</f>
        <v>#REF!</v>
      </c>
      <c r="U11" s="35" t="e">
        <f>GETPIVOTDATA("Average of Churn",$R$1,"UsageBand","Mid-High")</f>
        <v>#REF!</v>
      </c>
      <c r="V11" s="35" t="e">
        <f t="shared" ref="V11:V14" si="1">T11/$T$14</f>
        <v>#REF!</v>
      </c>
      <c r="W11" s="36" t="e">
        <f t="shared" ref="W11:W13" si="2">U11/$U$14</f>
        <v>#REF!</v>
      </c>
      <c r="Y11" s="34" t="s">
        <v>126</v>
      </c>
      <c r="Z11" s="34">
        <v>33</v>
      </c>
      <c r="AA11" s="34">
        <f t="shared" ref="AA11:AA12" si="3">Z11*AB11</f>
        <v>14</v>
      </c>
      <c r="AB11" s="35">
        <f>GETPIVOTDATA("Average of Churn",$R$1,"ContractType","2-Year")</f>
        <v>0.42424242424242425</v>
      </c>
      <c r="AC11" s="35">
        <f t="shared" ref="AC11:AC12" si="4">AA11/$AA$13</f>
        <v>0.11864406779661017</v>
      </c>
      <c r="AD11" s="49">
        <f t="shared" ref="AD11" si="5">AB11/$AB$13</f>
        <v>0.89881869542886494</v>
      </c>
    </row>
    <row r="12" spans="1:30" x14ac:dyDescent="0.2">
      <c r="A12" s="3">
        <v>11</v>
      </c>
      <c r="B12" s="3">
        <v>28</v>
      </c>
      <c r="C12" s="3" t="s">
        <v>16</v>
      </c>
      <c r="D12" s="3">
        <v>15</v>
      </c>
      <c r="E12" s="3">
        <v>59.3</v>
      </c>
      <c r="F12" s="3" t="s">
        <v>20</v>
      </c>
      <c r="G12" s="3" t="s">
        <v>22</v>
      </c>
      <c r="H12" s="3">
        <v>1</v>
      </c>
      <c r="I12" s="3">
        <v>7.8</v>
      </c>
      <c r="J12" s="3">
        <v>8</v>
      </c>
      <c r="K12" s="3">
        <v>950.98</v>
      </c>
      <c r="L12" s="3">
        <v>0</v>
      </c>
      <c r="M12" s="3" t="s">
        <v>91</v>
      </c>
      <c r="N12" s="3" t="s">
        <v>96</v>
      </c>
      <c r="O12" s="3" t="s">
        <v>99</v>
      </c>
      <c r="P12" s="3" t="s">
        <v>122</v>
      </c>
      <c r="R12" s="33" t="s">
        <v>124</v>
      </c>
      <c r="S12" s="34">
        <v>60</v>
      </c>
      <c r="T12" s="34" t="e">
        <f t="shared" si="0"/>
        <v>#REF!</v>
      </c>
      <c r="U12" s="35" t="e">
        <f>GETPIVOTDATA("Average of Churn",$R$1,"UsageBand","Mid-Low")</f>
        <v>#REF!</v>
      </c>
      <c r="V12" s="35" t="e">
        <f t="shared" si="1"/>
        <v>#REF!</v>
      </c>
      <c r="W12" s="36" t="e">
        <f t="shared" si="2"/>
        <v>#REF!</v>
      </c>
      <c r="Y12" s="34" t="s">
        <v>81</v>
      </c>
      <c r="Z12" s="34">
        <v>145</v>
      </c>
      <c r="AA12" s="34">
        <f t="shared" si="3"/>
        <v>74</v>
      </c>
      <c r="AB12" s="35">
        <f>GETPIVOTDATA("Average of Churn",$R$1,"ContractType","Month-to-Month")</f>
        <v>0.51034482758620692</v>
      </c>
      <c r="AC12" s="35">
        <f t="shared" si="4"/>
        <v>0.6271186440677966</v>
      </c>
      <c r="AD12" s="49">
        <f>AB12/$AB$13</f>
        <v>1.0812390414962012</v>
      </c>
    </row>
    <row r="13" spans="1:30" x14ac:dyDescent="0.2">
      <c r="A13" s="3">
        <v>12</v>
      </c>
      <c r="B13" s="3">
        <v>28</v>
      </c>
      <c r="C13" s="3" t="s">
        <v>15</v>
      </c>
      <c r="D13" s="3">
        <v>54</v>
      </c>
      <c r="E13" s="3">
        <v>102.92</v>
      </c>
      <c r="F13" s="3" t="s">
        <v>18</v>
      </c>
      <c r="G13" s="3" t="s">
        <v>22</v>
      </c>
      <c r="H13" s="3">
        <v>3</v>
      </c>
      <c r="I13" s="3">
        <v>20.9</v>
      </c>
      <c r="J13" s="3">
        <v>7</v>
      </c>
      <c r="K13" s="3">
        <v>5771.64</v>
      </c>
      <c r="L13" s="3">
        <v>0</v>
      </c>
      <c r="M13" s="3" t="s">
        <v>89</v>
      </c>
      <c r="N13" s="3" t="s">
        <v>96</v>
      </c>
      <c r="O13" s="3" t="s">
        <v>99</v>
      </c>
      <c r="P13" s="3" t="s">
        <v>121</v>
      </c>
      <c r="R13" s="33" t="s">
        <v>99</v>
      </c>
      <c r="S13" s="34">
        <v>65</v>
      </c>
      <c r="T13" s="34" t="e">
        <f t="shared" si="0"/>
        <v>#REF!</v>
      </c>
      <c r="U13" s="35" t="e">
        <f>GETPIVOTDATA("Average of Churn",$R$1,"UsageBand","Low")</f>
        <v>#REF!</v>
      </c>
      <c r="V13" s="35" t="e">
        <f t="shared" si="1"/>
        <v>#REF!</v>
      </c>
      <c r="W13" s="36" t="e">
        <f t="shared" si="2"/>
        <v>#REF!</v>
      </c>
      <c r="Y13" s="34" t="s">
        <v>47</v>
      </c>
      <c r="Z13" s="34">
        <f>SUM(Z10:Z12)</f>
        <v>250</v>
      </c>
      <c r="AA13" s="34">
        <f>SUM(AA10:AA12)</f>
        <v>118</v>
      </c>
      <c r="AB13" s="35">
        <f>GETPIVOTDATA("Average of Churn",$R$1)</f>
        <v>0.47199999999999998</v>
      </c>
      <c r="AC13" s="35">
        <f>AA13/AA13</f>
        <v>1</v>
      </c>
      <c r="AD13" s="49">
        <f>AB13/AB13</f>
        <v>1</v>
      </c>
    </row>
    <row r="14" spans="1:30" x14ac:dyDescent="0.2">
      <c r="A14" s="3">
        <v>13</v>
      </c>
      <c r="B14" s="3">
        <v>41</v>
      </c>
      <c r="C14" s="3" t="s">
        <v>15</v>
      </c>
      <c r="D14" s="3">
        <v>60</v>
      </c>
      <c r="E14" s="3">
        <v>76.91</v>
      </c>
      <c r="F14" s="3" t="s">
        <v>20</v>
      </c>
      <c r="G14" s="3" t="s">
        <v>24</v>
      </c>
      <c r="H14" s="3">
        <v>0</v>
      </c>
      <c r="I14" s="3">
        <v>22.2</v>
      </c>
      <c r="J14" s="3">
        <v>6</v>
      </c>
      <c r="K14" s="3">
        <v>4549.93</v>
      </c>
      <c r="L14" s="3">
        <v>0</v>
      </c>
      <c r="M14" s="3" t="s">
        <v>89</v>
      </c>
      <c r="N14" s="3" t="s">
        <v>95</v>
      </c>
      <c r="O14" s="3" t="s">
        <v>99</v>
      </c>
      <c r="P14" s="3" t="s">
        <v>75</v>
      </c>
      <c r="R14" s="33" t="s">
        <v>47</v>
      </c>
      <c r="S14" s="34">
        <f>SUM(S10:S13)</f>
        <v>250</v>
      </c>
      <c r="T14" s="34" t="e">
        <f>SUM(T10:T13)</f>
        <v>#REF!</v>
      </c>
      <c r="U14" s="35">
        <v>0.47</v>
      </c>
      <c r="V14" s="35" t="e">
        <f t="shared" si="1"/>
        <v>#REF!</v>
      </c>
      <c r="W14" s="36">
        <f>U14/U14</f>
        <v>1</v>
      </c>
    </row>
    <row r="15" spans="1:30" x14ac:dyDescent="0.2">
      <c r="A15" s="3">
        <v>14</v>
      </c>
      <c r="B15" s="3">
        <v>53</v>
      </c>
      <c r="C15" s="3" t="s">
        <v>16</v>
      </c>
      <c r="D15" s="3">
        <v>8</v>
      </c>
      <c r="E15" s="3">
        <v>26.35</v>
      </c>
      <c r="F15" s="3" t="s">
        <v>20</v>
      </c>
      <c r="G15" s="3" t="s">
        <v>22</v>
      </c>
      <c r="H15" s="3">
        <v>1</v>
      </c>
      <c r="I15" s="3">
        <v>41.8</v>
      </c>
      <c r="J15" s="3">
        <v>9</v>
      </c>
      <c r="K15" s="3">
        <v>218.09</v>
      </c>
      <c r="L15" s="3">
        <v>1</v>
      </c>
      <c r="M15" s="3" t="s">
        <v>93</v>
      </c>
      <c r="N15" s="3" t="s">
        <v>97</v>
      </c>
      <c r="O15" s="3" t="s">
        <v>124</v>
      </c>
      <c r="P15" s="3" t="s">
        <v>73</v>
      </c>
    </row>
    <row r="16" spans="1:30" x14ac:dyDescent="0.2">
      <c r="A16" s="3">
        <v>15</v>
      </c>
      <c r="B16" s="3">
        <v>57</v>
      </c>
      <c r="C16" s="3" t="s">
        <v>16</v>
      </c>
      <c r="D16" s="3">
        <v>53</v>
      </c>
      <c r="E16" s="3">
        <v>23.68</v>
      </c>
      <c r="F16" s="3" t="s">
        <v>20</v>
      </c>
      <c r="G16" s="3" t="s">
        <v>24</v>
      </c>
      <c r="H16" s="3">
        <v>1</v>
      </c>
      <c r="I16" s="3">
        <v>43.2</v>
      </c>
      <c r="J16" s="3">
        <v>4</v>
      </c>
      <c r="K16" s="3">
        <v>1198.6600000000001</v>
      </c>
      <c r="L16" s="3">
        <v>0</v>
      </c>
      <c r="M16" s="3" t="s">
        <v>89</v>
      </c>
      <c r="N16" s="3" t="s">
        <v>94</v>
      </c>
      <c r="O16" s="3" t="s">
        <v>124</v>
      </c>
      <c r="P16" s="3" t="s">
        <v>73</v>
      </c>
    </row>
    <row r="17" spans="1:16" x14ac:dyDescent="0.2">
      <c r="A17" s="3">
        <v>16</v>
      </c>
      <c r="B17" s="3">
        <v>41</v>
      </c>
      <c r="C17" s="3" t="s">
        <v>15</v>
      </c>
      <c r="D17" s="3">
        <v>60</v>
      </c>
      <c r="E17" s="3">
        <v>33.39</v>
      </c>
      <c r="F17" s="3" t="s">
        <v>20</v>
      </c>
      <c r="G17" s="3" t="s">
        <v>23</v>
      </c>
      <c r="H17" s="3">
        <v>3</v>
      </c>
      <c r="I17" s="3">
        <v>88.1</v>
      </c>
      <c r="J17" s="3">
        <v>1</v>
      </c>
      <c r="K17" s="3">
        <v>1925.79</v>
      </c>
      <c r="L17" s="3">
        <v>1</v>
      </c>
      <c r="M17" s="3" t="s">
        <v>89</v>
      </c>
      <c r="N17" s="3" t="s">
        <v>94</v>
      </c>
      <c r="O17" s="3" t="s">
        <v>98</v>
      </c>
      <c r="P17" s="3" t="s">
        <v>73</v>
      </c>
    </row>
    <row r="18" spans="1:16" x14ac:dyDescent="0.2">
      <c r="A18" s="3">
        <v>17</v>
      </c>
      <c r="B18" s="3">
        <v>20</v>
      </c>
      <c r="C18" s="3" t="s">
        <v>15</v>
      </c>
      <c r="D18" s="3">
        <v>5</v>
      </c>
      <c r="E18" s="3">
        <v>21.37</v>
      </c>
      <c r="F18" s="3" t="s">
        <v>18</v>
      </c>
      <c r="G18" s="3" t="s">
        <v>24</v>
      </c>
      <c r="H18" s="3">
        <v>3</v>
      </c>
      <c r="I18" s="3">
        <v>53.5</v>
      </c>
      <c r="J18" s="3">
        <v>8</v>
      </c>
      <c r="K18" s="3">
        <v>113.03</v>
      </c>
      <c r="L18" s="3">
        <v>0</v>
      </c>
      <c r="M18" s="3" t="s">
        <v>92</v>
      </c>
      <c r="N18" s="3" t="s">
        <v>96</v>
      </c>
      <c r="O18" s="3" t="s">
        <v>100</v>
      </c>
      <c r="P18" s="3" t="s">
        <v>73</v>
      </c>
    </row>
    <row r="19" spans="1:16" x14ac:dyDescent="0.2">
      <c r="A19" s="3">
        <v>18</v>
      </c>
      <c r="B19" s="3">
        <v>39</v>
      </c>
      <c r="C19" s="3" t="s">
        <v>16</v>
      </c>
      <c r="D19" s="3">
        <v>68</v>
      </c>
      <c r="E19" s="3">
        <v>27.54</v>
      </c>
      <c r="F19" s="3" t="s">
        <v>20</v>
      </c>
      <c r="G19" s="3" t="s">
        <v>23</v>
      </c>
      <c r="H19" s="3">
        <v>2</v>
      </c>
      <c r="I19" s="3">
        <v>73.7</v>
      </c>
      <c r="J19" s="3">
        <v>7</v>
      </c>
      <c r="K19" s="3">
        <v>1852.65</v>
      </c>
      <c r="L19" s="3">
        <v>0</v>
      </c>
      <c r="M19" s="3" t="s">
        <v>89</v>
      </c>
      <c r="N19" s="3" t="s">
        <v>96</v>
      </c>
      <c r="O19" s="3" t="s">
        <v>100</v>
      </c>
      <c r="P19" s="3" t="s">
        <v>73</v>
      </c>
    </row>
    <row r="20" spans="1:16" x14ac:dyDescent="0.2">
      <c r="A20" s="3">
        <v>19</v>
      </c>
      <c r="B20" s="3">
        <v>19</v>
      </c>
      <c r="C20" s="3" t="s">
        <v>15</v>
      </c>
      <c r="D20" s="3">
        <v>6</v>
      </c>
      <c r="E20" s="3">
        <v>89.17</v>
      </c>
      <c r="F20" s="3" t="s">
        <v>20</v>
      </c>
      <c r="G20" s="3" t="s">
        <v>24</v>
      </c>
      <c r="H20" s="3">
        <v>6</v>
      </c>
      <c r="I20" s="3">
        <v>14.9</v>
      </c>
      <c r="J20" s="3">
        <v>7</v>
      </c>
      <c r="K20" s="3">
        <v>566.95000000000005</v>
      </c>
      <c r="L20" s="3">
        <v>1</v>
      </c>
      <c r="M20" s="3" t="s">
        <v>92</v>
      </c>
      <c r="N20" s="3" t="s">
        <v>96</v>
      </c>
      <c r="O20" s="3" t="s">
        <v>99</v>
      </c>
      <c r="P20" s="3" t="s">
        <v>75</v>
      </c>
    </row>
    <row r="21" spans="1:16" x14ac:dyDescent="0.2">
      <c r="A21" s="3">
        <v>20</v>
      </c>
      <c r="B21" s="3">
        <v>41</v>
      </c>
      <c r="C21" s="3" t="s">
        <v>16</v>
      </c>
      <c r="D21" s="3">
        <v>47</v>
      </c>
      <c r="E21" s="3">
        <v>73.430000000000007</v>
      </c>
      <c r="F21" s="3" t="s">
        <v>20</v>
      </c>
      <c r="G21" s="3" t="s">
        <v>22</v>
      </c>
      <c r="H21" s="3">
        <v>3</v>
      </c>
      <c r="I21" s="3">
        <v>26.4</v>
      </c>
      <c r="J21" s="3">
        <v>3</v>
      </c>
      <c r="K21" s="3">
        <v>3673.76</v>
      </c>
      <c r="L21" s="3">
        <v>1</v>
      </c>
      <c r="M21" s="3" t="s">
        <v>89</v>
      </c>
      <c r="N21" s="3" t="s">
        <v>94</v>
      </c>
      <c r="O21" s="3" t="s">
        <v>99</v>
      </c>
      <c r="P21" s="3" t="s">
        <v>122</v>
      </c>
    </row>
    <row r="22" spans="1:16" x14ac:dyDescent="0.2">
      <c r="A22" s="3">
        <v>21</v>
      </c>
      <c r="B22" s="3">
        <v>61</v>
      </c>
      <c r="C22" s="3" t="s">
        <v>15</v>
      </c>
      <c r="D22" s="3">
        <v>55</v>
      </c>
      <c r="E22" s="3">
        <v>94.99</v>
      </c>
      <c r="F22" s="3" t="s">
        <v>18</v>
      </c>
      <c r="G22" s="3" t="s">
        <v>24</v>
      </c>
      <c r="H22" s="3">
        <v>4</v>
      </c>
      <c r="I22" s="3">
        <v>71.8</v>
      </c>
      <c r="J22" s="3">
        <v>4</v>
      </c>
      <c r="K22" s="3">
        <v>5598.06</v>
      </c>
      <c r="L22" s="3">
        <v>0</v>
      </c>
      <c r="M22" s="3" t="s">
        <v>89</v>
      </c>
      <c r="N22" s="3" t="s">
        <v>94</v>
      </c>
      <c r="O22" s="3" t="s">
        <v>100</v>
      </c>
      <c r="P22" s="3" t="s">
        <v>75</v>
      </c>
    </row>
    <row r="23" spans="1:16" x14ac:dyDescent="0.2">
      <c r="A23" s="3">
        <v>22</v>
      </c>
      <c r="B23" s="3">
        <v>47</v>
      </c>
      <c r="C23" s="3" t="s">
        <v>16</v>
      </c>
      <c r="D23" s="3">
        <v>40</v>
      </c>
      <c r="E23" s="3">
        <v>111.32</v>
      </c>
      <c r="F23" s="3" t="s">
        <v>20</v>
      </c>
      <c r="G23" s="3" t="s">
        <v>24</v>
      </c>
      <c r="H23" s="3">
        <v>1</v>
      </c>
      <c r="I23" s="3">
        <v>10</v>
      </c>
      <c r="J23" s="3">
        <v>10</v>
      </c>
      <c r="K23" s="3">
        <v>4823.84</v>
      </c>
      <c r="L23" s="3">
        <v>1</v>
      </c>
      <c r="M23" s="3" t="s">
        <v>89</v>
      </c>
      <c r="N23" s="3" t="s">
        <v>97</v>
      </c>
      <c r="O23" s="3" t="s">
        <v>99</v>
      </c>
      <c r="P23" s="3" t="s">
        <v>121</v>
      </c>
    </row>
    <row r="24" spans="1:16" x14ac:dyDescent="0.2">
      <c r="A24" s="3">
        <v>23</v>
      </c>
      <c r="B24" s="3">
        <v>55</v>
      </c>
      <c r="C24" s="3" t="s">
        <v>16</v>
      </c>
      <c r="D24" s="3">
        <v>52</v>
      </c>
      <c r="E24" s="3">
        <v>78.510000000000005</v>
      </c>
      <c r="F24" s="3" t="s">
        <v>18</v>
      </c>
      <c r="G24" s="3" t="s">
        <v>23</v>
      </c>
      <c r="H24" s="3">
        <v>0</v>
      </c>
      <c r="I24" s="3">
        <v>51.2</v>
      </c>
      <c r="J24" s="3">
        <v>9</v>
      </c>
      <c r="K24" s="3">
        <v>4026.17</v>
      </c>
      <c r="L24" s="3">
        <v>1</v>
      </c>
      <c r="M24" s="3" t="s">
        <v>89</v>
      </c>
      <c r="N24" s="3" t="s">
        <v>97</v>
      </c>
      <c r="O24" s="3" t="s">
        <v>100</v>
      </c>
      <c r="P24" s="3" t="s">
        <v>75</v>
      </c>
    </row>
    <row r="25" spans="1:16" x14ac:dyDescent="0.2">
      <c r="A25" s="3">
        <v>24</v>
      </c>
      <c r="B25" s="3">
        <v>19</v>
      </c>
      <c r="C25" s="3" t="s">
        <v>16</v>
      </c>
      <c r="D25" s="3">
        <v>16</v>
      </c>
      <c r="E25" s="3">
        <v>92.61</v>
      </c>
      <c r="F25" s="3" t="s">
        <v>19</v>
      </c>
      <c r="G25" s="3" t="s">
        <v>22</v>
      </c>
      <c r="H25" s="3">
        <v>1</v>
      </c>
      <c r="I25" s="3">
        <v>61.9</v>
      </c>
      <c r="J25" s="3">
        <v>6</v>
      </c>
      <c r="K25" s="3">
        <v>1428.08</v>
      </c>
      <c r="L25" s="3">
        <v>0</v>
      </c>
      <c r="M25" s="3" t="s">
        <v>91</v>
      </c>
      <c r="N25" s="3" t="s">
        <v>95</v>
      </c>
      <c r="O25" s="3" t="s">
        <v>100</v>
      </c>
      <c r="P25" s="3" t="s">
        <v>75</v>
      </c>
    </row>
    <row r="26" spans="1:16" x14ac:dyDescent="0.2">
      <c r="A26" s="3">
        <v>25</v>
      </c>
      <c r="B26" s="3">
        <v>38</v>
      </c>
      <c r="C26" s="3" t="s">
        <v>15</v>
      </c>
      <c r="D26" s="3">
        <v>13</v>
      </c>
      <c r="E26" s="3">
        <v>95.71</v>
      </c>
      <c r="F26" s="3" t="s">
        <v>20</v>
      </c>
      <c r="G26" s="3" t="s">
        <v>24</v>
      </c>
      <c r="H26" s="3">
        <v>1</v>
      </c>
      <c r="I26" s="3">
        <v>62.2</v>
      </c>
      <c r="J26" s="3">
        <v>5</v>
      </c>
      <c r="K26" s="3">
        <v>1264.68</v>
      </c>
      <c r="L26" s="3">
        <v>0</v>
      </c>
      <c r="M26" s="3" t="s">
        <v>91</v>
      </c>
      <c r="N26" s="3" t="s">
        <v>95</v>
      </c>
      <c r="O26" s="3" t="s">
        <v>100</v>
      </c>
      <c r="P26" s="3" t="s">
        <v>121</v>
      </c>
    </row>
    <row r="27" spans="1:16" x14ac:dyDescent="0.2">
      <c r="A27" s="3">
        <v>26</v>
      </c>
      <c r="B27" s="3">
        <v>50</v>
      </c>
      <c r="C27" s="3" t="s">
        <v>15</v>
      </c>
      <c r="D27" s="3">
        <v>30</v>
      </c>
      <c r="E27" s="3">
        <v>57.79</v>
      </c>
      <c r="F27" s="3" t="s">
        <v>20</v>
      </c>
      <c r="G27" s="3" t="s">
        <v>22</v>
      </c>
      <c r="H27" s="3">
        <v>4</v>
      </c>
      <c r="I27" s="3">
        <v>7.2</v>
      </c>
      <c r="J27" s="3">
        <v>3</v>
      </c>
      <c r="K27" s="3">
        <v>1689.03</v>
      </c>
      <c r="L27" s="3">
        <v>0</v>
      </c>
      <c r="M27" s="3" t="s">
        <v>89</v>
      </c>
      <c r="N27" s="3" t="s">
        <v>94</v>
      </c>
      <c r="O27" s="3" t="s">
        <v>99</v>
      </c>
      <c r="P27" s="3" t="s">
        <v>122</v>
      </c>
    </row>
    <row r="28" spans="1:16" x14ac:dyDescent="0.2">
      <c r="A28" s="3">
        <v>27</v>
      </c>
      <c r="B28" s="3">
        <v>29</v>
      </c>
      <c r="C28" s="3" t="s">
        <v>16</v>
      </c>
      <c r="D28" s="3">
        <v>19</v>
      </c>
      <c r="E28" s="3">
        <v>44.11</v>
      </c>
      <c r="F28" s="3" t="s">
        <v>20</v>
      </c>
      <c r="G28" s="3" t="s">
        <v>24</v>
      </c>
      <c r="H28" s="3">
        <v>1</v>
      </c>
      <c r="I28" s="3">
        <v>35.6</v>
      </c>
      <c r="J28" s="3">
        <v>9</v>
      </c>
      <c r="K28" s="3">
        <v>855.03</v>
      </c>
      <c r="L28" s="3">
        <v>0</v>
      </c>
      <c r="M28" s="3" t="s">
        <v>91</v>
      </c>
      <c r="N28" s="3" t="s">
        <v>97</v>
      </c>
      <c r="O28" s="3" t="s">
        <v>124</v>
      </c>
      <c r="P28" s="3" t="s">
        <v>73</v>
      </c>
    </row>
    <row r="29" spans="1:16" x14ac:dyDescent="0.2">
      <c r="A29" s="3">
        <v>28</v>
      </c>
      <c r="B29" s="3">
        <v>39</v>
      </c>
      <c r="C29" s="3" t="s">
        <v>15</v>
      </c>
      <c r="D29" s="3">
        <v>17</v>
      </c>
      <c r="E29" s="3">
        <v>40.5</v>
      </c>
      <c r="F29" s="3" t="s">
        <v>20</v>
      </c>
      <c r="G29" s="3" t="s">
        <v>24</v>
      </c>
      <c r="H29" s="3">
        <v>2</v>
      </c>
      <c r="I29" s="3">
        <v>65.5</v>
      </c>
      <c r="J29" s="3">
        <v>5</v>
      </c>
      <c r="K29" s="3">
        <v>716.81</v>
      </c>
      <c r="L29" s="3">
        <v>0</v>
      </c>
      <c r="M29" s="3" t="s">
        <v>91</v>
      </c>
      <c r="N29" s="3" t="s">
        <v>95</v>
      </c>
      <c r="O29" s="3" t="s">
        <v>100</v>
      </c>
      <c r="P29" s="3" t="s">
        <v>73</v>
      </c>
    </row>
    <row r="30" spans="1:16" x14ac:dyDescent="0.2">
      <c r="A30" s="3">
        <v>29</v>
      </c>
      <c r="B30" s="3">
        <v>61</v>
      </c>
      <c r="C30" s="3" t="s">
        <v>16</v>
      </c>
      <c r="D30" s="3">
        <v>63</v>
      </c>
      <c r="E30" s="3">
        <v>45.14</v>
      </c>
      <c r="F30" s="3" t="s">
        <v>18</v>
      </c>
      <c r="G30" s="3" t="s">
        <v>22</v>
      </c>
      <c r="H30" s="3">
        <v>1</v>
      </c>
      <c r="I30" s="3">
        <v>19.2</v>
      </c>
      <c r="J30" s="3">
        <v>5</v>
      </c>
      <c r="K30" s="3">
        <v>2950.98</v>
      </c>
      <c r="L30" s="3">
        <v>0</v>
      </c>
      <c r="M30" s="3" t="s">
        <v>89</v>
      </c>
      <c r="N30" s="3" t="s">
        <v>95</v>
      </c>
      <c r="O30" s="3" t="s">
        <v>99</v>
      </c>
      <c r="P30" s="3" t="s">
        <v>73</v>
      </c>
    </row>
    <row r="31" spans="1:16" x14ac:dyDescent="0.2">
      <c r="A31" s="3">
        <v>30</v>
      </c>
      <c r="B31" s="3">
        <v>42</v>
      </c>
      <c r="C31" s="3" t="s">
        <v>16</v>
      </c>
      <c r="D31" s="3">
        <v>19</v>
      </c>
      <c r="E31" s="3">
        <v>47.47</v>
      </c>
      <c r="F31" s="3" t="s">
        <v>19</v>
      </c>
      <c r="G31" s="3" t="s">
        <v>24</v>
      </c>
      <c r="H31" s="3">
        <v>1</v>
      </c>
      <c r="I31" s="3">
        <v>71.099999999999994</v>
      </c>
      <c r="J31" s="3">
        <v>4</v>
      </c>
      <c r="K31" s="3">
        <v>879.3</v>
      </c>
      <c r="L31" s="3">
        <v>1</v>
      </c>
      <c r="M31" s="3" t="s">
        <v>91</v>
      </c>
      <c r="N31" s="3" t="s">
        <v>94</v>
      </c>
      <c r="O31" s="3" t="s">
        <v>100</v>
      </c>
      <c r="P31" s="3" t="s">
        <v>73</v>
      </c>
    </row>
    <row r="32" spans="1:16" x14ac:dyDescent="0.2">
      <c r="A32" s="3">
        <v>31</v>
      </c>
      <c r="B32" s="3">
        <v>66</v>
      </c>
      <c r="C32" s="3" t="s">
        <v>15</v>
      </c>
      <c r="D32" s="3">
        <v>58</v>
      </c>
      <c r="E32" s="3">
        <v>40.72</v>
      </c>
      <c r="F32" s="3" t="s">
        <v>20</v>
      </c>
      <c r="G32" s="3" t="s">
        <v>22</v>
      </c>
      <c r="H32" s="3">
        <v>2</v>
      </c>
      <c r="I32" s="3">
        <v>75.900000000000006</v>
      </c>
      <c r="J32" s="3">
        <v>4</v>
      </c>
      <c r="K32" s="3">
        <v>2204.4</v>
      </c>
      <c r="L32" s="3">
        <v>1</v>
      </c>
      <c r="M32" s="3" t="s">
        <v>89</v>
      </c>
      <c r="N32" s="3" t="s">
        <v>94</v>
      </c>
      <c r="O32" s="3" t="s">
        <v>98</v>
      </c>
      <c r="P32" s="3" t="s">
        <v>73</v>
      </c>
    </row>
    <row r="33" spans="1:16" x14ac:dyDescent="0.2">
      <c r="A33" s="3">
        <v>32</v>
      </c>
      <c r="B33" s="3">
        <v>44</v>
      </c>
      <c r="C33" s="3" t="s">
        <v>15</v>
      </c>
      <c r="D33" s="3">
        <v>55</v>
      </c>
      <c r="E33" s="3">
        <v>107.82</v>
      </c>
      <c r="F33" s="3" t="s">
        <v>20</v>
      </c>
      <c r="G33" s="3" t="s">
        <v>24</v>
      </c>
      <c r="H33" s="3">
        <v>2</v>
      </c>
      <c r="I33" s="3">
        <v>98.3</v>
      </c>
      <c r="J33" s="3">
        <v>1</v>
      </c>
      <c r="K33" s="3">
        <v>5847.71</v>
      </c>
      <c r="L33" s="3">
        <v>0</v>
      </c>
      <c r="M33" s="3" t="s">
        <v>89</v>
      </c>
      <c r="N33" s="3" t="s">
        <v>94</v>
      </c>
      <c r="O33" s="3" t="s">
        <v>98</v>
      </c>
      <c r="P33" s="3" t="s">
        <v>121</v>
      </c>
    </row>
    <row r="34" spans="1:16" x14ac:dyDescent="0.2">
      <c r="A34" s="3">
        <v>33</v>
      </c>
      <c r="B34" s="3">
        <v>59</v>
      </c>
      <c r="C34" s="3" t="s">
        <v>16</v>
      </c>
      <c r="D34" s="3">
        <v>62</v>
      </c>
      <c r="E34" s="3">
        <v>95.7</v>
      </c>
      <c r="F34" s="3" t="s">
        <v>20</v>
      </c>
      <c r="G34" s="3" t="s">
        <v>23</v>
      </c>
      <c r="H34" s="3">
        <v>4</v>
      </c>
      <c r="I34" s="3">
        <v>24.9</v>
      </c>
      <c r="J34" s="3">
        <v>7</v>
      </c>
      <c r="K34" s="3">
        <v>5509.27</v>
      </c>
      <c r="L34" s="3">
        <v>0</v>
      </c>
      <c r="M34" s="3" t="s">
        <v>89</v>
      </c>
      <c r="N34" s="3" t="s">
        <v>96</v>
      </c>
      <c r="O34" s="3" t="s">
        <v>99</v>
      </c>
      <c r="P34" s="3" t="s">
        <v>121</v>
      </c>
    </row>
    <row r="35" spans="1:16" x14ac:dyDescent="0.2">
      <c r="A35" s="3">
        <v>34</v>
      </c>
      <c r="B35" s="3">
        <v>45</v>
      </c>
      <c r="C35" s="3" t="s">
        <v>15</v>
      </c>
      <c r="D35" s="3">
        <v>23</v>
      </c>
      <c r="E35" s="3">
        <v>24.69</v>
      </c>
      <c r="F35" s="3" t="s">
        <v>18</v>
      </c>
      <c r="G35" s="3" t="s">
        <v>22</v>
      </c>
      <c r="H35" s="3">
        <v>5</v>
      </c>
      <c r="I35" s="3">
        <v>83.4</v>
      </c>
      <c r="J35" s="3">
        <v>9</v>
      </c>
      <c r="K35" s="3">
        <v>612.16999999999996</v>
      </c>
      <c r="L35" s="3">
        <v>1</v>
      </c>
      <c r="M35" s="3" t="s">
        <v>91</v>
      </c>
      <c r="N35" s="3" t="s">
        <v>97</v>
      </c>
      <c r="O35" s="3" t="s">
        <v>98</v>
      </c>
      <c r="P35" s="3" t="s">
        <v>73</v>
      </c>
    </row>
    <row r="36" spans="1:16" x14ac:dyDescent="0.2">
      <c r="A36" s="3">
        <v>35</v>
      </c>
      <c r="B36" s="3">
        <v>33</v>
      </c>
      <c r="C36" s="3" t="s">
        <v>15</v>
      </c>
      <c r="D36" s="3">
        <v>9</v>
      </c>
      <c r="E36" s="3">
        <v>46.87</v>
      </c>
      <c r="F36" s="3" t="s">
        <v>20</v>
      </c>
      <c r="G36" s="3" t="s">
        <v>24</v>
      </c>
      <c r="H36" s="3">
        <v>0</v>
      </c>
      <c r="I36" s="3">
        <v>54.4</v>
      </c>
      <c r="J36" s="3">
        <v>3</v>
      </c>
      <c r="K36" s="3">
        <v>408.83</v>
      </c>
      <c r="L36" s="3">
        <v>1</v>
      </c>
      <c r="M36" s="3" t="s">
        <v>93</v>
      </c>
      <c r="N36" s="3" t="s">
        <v>94</v>
      </c>
      <c r="O36" s="3" t="s">
        <v>100</v>
      </c>
      <c r="P36" s="3" t="s">
        <v>73</v>
      </c>
    </row>
    <row r="37" spans="1:16" x14ac:dyDescent="0.2">
      <c r="A37" s="3">
        <v>36</v>
      </c>
      <c r="B37" s="3">
        <v>32</v>
      </c>
      <c r="C37" s="3" t="s">
        <v>16</v>
      </c>
      <c r="D37" s="3">
        <v>12</v>
      </c>
      <c r="E37" s="3">
        <v>22.22</v>
      </c>
      <c r="F37" s="3" t="s">
        <v>20</v>
      </c>
      <c r="G37" s="3" t="s">
        <v>24</v>
      </c>
      <c r="H37" s="3">
        <v>1</v>
      </c>
      <c r="I37" s="3">
        <v>40.5</v>
      </c>
      <c r="J37" s="3">
        <v>2</v>
      </c>
      <c r="K37" s="3">
        <v>248.21</v>
      </c>
      <c r="L37" s="3">
        <v>0</v>
      </c>
      <c r="M37" s="3" t="s">
        <v>93</v>
      </c>
      <c r="N37" s="3" t="s">
        <v>94</v>
      </c>
      <c r="O37" s="3" t="s">
        <v>124</v>
      </c>
      <c r="P37" s="3" t="s">
        <v>73</v>
      </c>
    </row>
    <row r="38" spans="1:16" x14ac:dyDescent="0.2">
      <c r="A38" s="3">
        <v>37</v>
      </c>
      <c r="B38" s="3">
        <v>64</v>
      </c>
      <c r="C38" s="3" t="s">
        <v>16</v>
      </c>
      <c r="D38" s="3">
        <v>1</v>
      </c>
      <c r="E38" s="3">
        <v>69.819999999999993</v>
      </c>
      <c r="F38" s="3" t="s">
        <v>19</v>
      </c>
      <c r="G38" s="3" t="s">
        <v>23</v>
      </c>
      <c r="H38" s="3">
        <v>1</v>
      </c>
      <c r="I38" s="3">
        <v>16.600000000000001</v>
      </c>
      <c r="J38" s="3">
        <v>3</v>
      </c>
      <c r="K38" s="3">
        <v>63.19</v>
      </c>
      <c r="L38" s="3">
        <v>0</v>
      </c>
      <c r="M38" s="3" t="s">
        <v>90</v>
      </c>
      <c r="N38" s="3" t="s">
        <v>94</v>
      </c>
      <c r="O38" s="3" t="s">
        <v>99</v>
      </c>
      <c r="P38" s="3" t="s">
        <v>122</v>
      </c>
    </row>
    <row r="39" spans="1:16" x14ac:dyDescent="0.2">
      <c r="A39" s="3">
        <v>38</v>
      </c>
      <c r="B39" s="3">
        <v>68</v>
      </c>
      <c r="C39" s="3" t="s">
        <v>15</v>
      </c>
      <c r="D39" s="3">
        <v>58</v>
      </c>
      <c r="E39" s="3">
        <v>67.62</v>
      </c>
      <c r="F39" s="3" t="s">
        <v>18</v>
      </c>
      <c r="G39" s="3" t="s">
        <v>22</v>
      </c>
      <c r="H39" s="3">
        <v>3</v>
      </c>
      <c r="I39" s="3">
        <v>74.900000000000006</v>
      </c>
      <c r="J39" s="3">
        <v>1</v>
      </c>
      <c r="K39" s="3">
        <v>4036.34</v>
      </c>
      <c r="L39" s="3">
        <v>0</v>
      </c>
      <c r="M39" s="3" t="s">
        <v>89</v>
      </c>
      <c r="N39" s="3" t="s">
        <v>94</v>
      </c>
      <c r="O39" s="3" t="s">
        <v>100</v>
      </c>
      <c r="P39" s="3" t="s">
        <v>122</v>
      </c>
    </row>
    <row r="40" spans="1:16" x14ac:dyDescent="0.2">
      <c r="A40" s="3">
        <v>39</v>
      </c>
      <c r="B40" s="3">
        <v>61</v>
      </c>
      <c r="C40" s="3" t="s">
        <v>16</v>
      </c>
      <c r="D40" s="3">
        <v>1</v>
      </c>
      <c r="E40" s="3">
        <v>103.14</v>
      </c>
      <c r="F40" s="3" t="s">
        <v>20</v>
      </c>
      <c r="G40" s="3" t="s">
        <v>24</v>
      </c>
      <c r="H40" s="3">
        <v>2</v>
      </c>
      <c r="I40" s="3">
        <v>27.4</v>
      </c>
      <c r="J40" s="3">
        <v>6</v>
      </c>
      <c r="K40" s="3">
        <v>105.96</v>
      </c>
      <c r="L40" s="3">
        <v>1</v>
      </c>
      <c r="M40" s="3" t="s">
        <v>90</v>
      </c>
      <c r="N40" s="3" t="s">
        <v>95</v>
      </c>
      <c r="O40" s="3" t="s">
        <v>124</v>
      </c>
      <c r="P40" s="3" t="s">
        <v>121</v>
      </c>
    </row>
    <row r="41" spans="1:16" x14ac:dyDescent="0.2">
      <c r="A41" s="3">
        <v>40</v>
      </c>
      <c r="B41" s="3">
        <v>69</v>
      </c>
      <c r="C41" s="3" t="s">
        <v>16</v>
      </c>
      <c r="D41" s="3">
        <v>34</v>
      </c>
      <c r="E41" s="3">
        <v>50.78</v>
      </c>
      <c r="F41" s="3" t="s">
        <v>18</v>
      </c>
      <c r="G41" s="3" t="s">
        <v>23</v>
      </c>
      <c r="H41" s="3">
        <v>2</v>
      </c>
      <c r="I41" s="3">
        <v>40.299999999999997</v>
      </c>
      <c r="J41" s="3">
        <v>7</v>
      </c>
      <c r="K41" s="3">
        <v>1671.48</v>
      </c>
      <c r="L41" s="3">
        <v>0</v>
      </c>
      <c r="M41" s="3" t="s">
        <v>89</v>
      </c>
      <c r="N41" s="3" t="s">
        <v>96</v>
      </c>
      <c r="O41" s="3" t="s">
        <v>124</v>
      </c>
      <c r="P41" s="3" t="s">
        <v>73</v>
      </c>
    </row>
    <row r="42" spans="1:16" x14ac:dyDescent="0.2">
      <c r="A42" s="3">
        <v>41</v>
      </c>
      <c r="B42" s="3">
        <v>20</v>
      </c>
      <c r="C42" s="3" t="s">
        <v>15</v>
      </c>
      <c r="D42" s="3">
        <v>48</v>
      </c>
      <c r="E42" s="3">
        <v>101.64</v>
      </c>
      <c r="F42" s="3" t="s">
        <v>18</v>
      </c>
      <c r="G42" s="3" t="s">
        <v>24</v>
      </c>
      <c r="H42" s="3">
        <v>3</v>
      </c>
      <c r="I42" s="3">
        <v>10.9</v>
      </c>
      <c r="J42" s="3">
        <v>2</v>
      </c>
      <c r="K42" s="3">
        <v>4460.82</v>
      </c>
      <c r="L42" s="3">
        <v>1</v>
      </c>
      <c r="M42" s="3" t="s">
        <v>89</v>
      </c>
      <c r="N42" s="3" t="s">
        <v>94</v>
      </c>
      <c r="O42" s="3" t="s">
        <v>99</v>
      </c>
      <c r="P42" s="3" t="s">
        <v>121</v>
      </c>
    </row>
    <row r="43" spans="1:16" x14ac:dyDescent="0.2">
      <c r="A43" s="3">
        <v>42</v>
      </c>
      <c r="B43" s="3">
        <v>54</v>
      </c>
      <c r="C43" s="3" t="s">
        <v>16</v>
      </c>
      <c r="D43" s="3">
        <v>1</v>
      </c>
      <c r="E43" s="3">
        <v>116.8</v>
      </c>
      <c r="F43" s="3" t="s">
        <v>20</v>
      </c>
      <c r="G43" s="3" t="s">
        <v>22</v>
      </c>
      <c r="H43" s="3">
        <v>0</v>
      </c>
      <c r="I43" s="3">
        <v>81.099999999999994</v>
      </c>
      <c r="J43" s="3">
        <v>8</v>
      </c>
      <c r="K43" s="3">
        <v>114.69</v>
      </c>
      <c r="L43" s="3">
        <v>1</v>
      </c>
      <c r="M43" s="3" t="s">
        <v>90</v>
      </c>
      <c r="N43" s="3" t="s">
        <v>96</v>
      </c>
      <c r="O43" s="3" t="s">
        <v>98</v>
      </c>
      <c r="P43" s="3" t="s">
        <v>121</v>
      </c>
    </row>
    <row r="44" spans="1:16" x14ac:dyDescent="0.2">
      <c r="A44" s="3">
        <v>43</v>
      </c>
      <c r="B44" s="3">
        <v>68</v>
      </c>
      <c r="C44" s="3" t="s">
        <v>16</v>
      </c>
      <c r="D44" s="3">
        <v>16</v>
      </c>
      <c r="E44" s="3">
        <v>28.84</v>
      </c>
      <c r="F44" s="3" t="s">
        <v>20</v>
      </c>
      <c r="G44" s="3" t="s">
        <v>24</v>
      </c>
      <c r="H44" s="3">
        <v>2</v>
      </c>
      <c r="I44" s="3">
        <v>77.8</v>
      </c>
      <c r="J44" s="3">
        <v>6</v>
      </c>
      <c r="K44" s="3">
        <v>444.02</v>
      </c>
      <c r="L44" s="3">
        <v>1</v>
      </c>
      <c r="M44" s="3" t="s">
        <v>91</v>
      </c>
      <c r="N44" s="3" t="s">
        <v>95</v>
      </c>
      <c r="O44" s="3" t="s">
        <v>98</v>
      </c>
      <c r="P44" s="3" t="s">
        <v>73</v>
      </c>
    </row>
    <row r="45" spans="1:16" x14ac:dyDescent="0.2">
      <c r="A45" s="3">
        <v>44</v>
      </c>
      <c r="B45" s="3">
        <v>24</v>
      </c>
      <c r="C45" s="3" t="s">
        <v>15</v>
      </c>
      <c r="D45" s="3">
        <v>61</v>
      </c>
      <c r="E45" s="3">
        <v>99.18</v>
      </c>
      <c r="F45" s="3" t="s">
        <v>20</v>
      </c>
      <c r="G45" s="3" t="s">
        <v>24</v>
      </c>
      <c r="H45" s="3">
        <v>4</v>
      </c>
      <c r="I45" s="3">
        <v>74.7</v>
      </c>
      <c r="J45" s="3">
        <v>4</v>
      </c>
      <c r="K45" s="3">
        <v>6264.3</v>
      </c>
      <c r="L45" s="3">
        <v>0</v>
      </c>
      <c r="M45" s="3" t="s">
        <v>89</v>
      </c>
      <c r="N45" s="3" t="s">
        <v>94</v>
      </c>
      <c r="O45" s="3" t="s">
        <v>100</v>
      </c>
      <c r="P45" s="3" t="s">
        <v>121</v>
      </c>
    </row>
    <row r="46" spans="1:16" x14ac:dyDescent="0.2">
      <c r="A46" s="3">
        <v>45</v>
      </c>
      <c r="B46" s="3">
        <v>38</v>
      </c>
      <c r="C46" s="3" t="s">
        <v>15</v>
      </c>
      <c r="D46" s="3">
        <v>64</v>
      </c>
      <c r="E46" s="3">
        <v>79</v>
      </c>
      <c r="F46" s="3" t="s">
        <v>20</v>
      </c>
      <c r="G46" s="3" t="s">
        <v>24</v>
      </c>
      <c r="H46" s="3">
        <v>5</v>
      </c>
      <c r="I46" s="3">
        <v>33.4</v>
      </c>
      <c r="J46" s="3">
        <v>5</v>
      </c>
      <c r="K46" s="3">
        <v>5162.96</v>
      </c>
      <c r="L46" s="3">
        <v>1</v>
      </c>
      <c r="M46" s="3" t="s">
        <v>89</v>
      </c>
      <c r="N46" s="3" t="s">
        <v>95</v>
      </c>
      <c r="O46" s="3" t="s">
        <v>124</v>
      </c>
      <c r="P46" s="3" t="s">
        <v>75</v>
      </c>
    </row>
    <row r="47" spans="1:16" x14ac:dyDescent="0.2">
      <c r="A47" s="3">
        <v>46</v>
      </c>
      <c r="B47" s="3">
        <v>26</v>
      </c>
      <c r="C47" s="3" t="s">
        <v>16</v>
      </c>
      <c r="D47" s="3">
        <v>63</v>
      </c>
      <c r="E47" s="3">
        <v>68</v>
      </c>
      <c r="F47" s="3" t="s">
        <v>18</v>
      </c>
      <c r="G47" s="3" t="s">
        <v>24</v>
      </c>
      <c r="H47" s="3">
        <v>4</v>
      </c>
      <c r="I47" s="3">
        <v>21.5</v>
      </c>
      <c r="J47" s="3">
        <v>8</v>
      </c>
      <c r="K47" s="3">
        <v>4167.9799999999996</v>
      </c>
      <c r="L47" s="3">
        <v>0</v>
      </c>
      <c r="M47" s="3" t="s">
        <v>89</v>
      </c>
      <c r="N47" s="3" t="s">
        <v>96</v>
      </c>
      <c r="O47" s="3" t="s">
        <v>99</v>
      </c>
      <c r="P47" s="3" t="s">
        <v>122</v>
      </c>
    </row>
    <row r="48" spans="1:16" x14ac:dyDescent="0.2">
      <c r="A48" s="3">
        <v>47</v>
      </c>
      <c r="B48" s="3">
        <v>56</v>
      </c>
      <c r="C48" s="3" t="s">
        <v>16</v>
      </c>
      <c r="D48" s="3">
        <v>69</v>
      </c>
      <c r="E48" s="3">
        <v>62.05</v>
      </c>
      <c r="F48" s="3" t="s">
        <v>19</v>
      </c>
      <c r="G48" s="3" t="s">
        <v>23</v>
      </c>
      <c r="H48" s="3">
        <v>0</v>
      </c>
      <c r="I48" s="3">
        <v>65.599999999999994</v>
      </c>
      <c r="J48" s="3">
        <v>3</v>
      </c>
      <c r="K48" s="3">
        <v>4039.88</v>
      </c>
      <c r="L48" s="3">
        <v>0</v>
      </c>
      <c r="M48" s="3" t="s">
        <v>89</v>
      </c>
      <c r="N48" s="3" t="s">
        <v>94</v>
      </c>
      <c r="O48" s="3" t="s">
        <v>100</v>
      </c>
      <c r="P48" s="3" t="s">
        <v>122</v>
      </c>
    </row>
    <row r="49" spans="1:16" x14ac:dyDescent="0.2">
      <c r="A49" s="3">
        <v>48</v>
      </c>
      <c r="B49" s="3">
        <v>35</v>
      </c>
      <c r="C49" s="3" t="s">
        <v>15</v>
      </c>
      <c r="D49" s="3">
        <v>22</v>
      </c>
      <c r="E49" s="3">
        <v>98.47</v>
      </c>
      <c r="F49" s="3" t="s">
        <v>20</v>
      </c>
      <c r="G49" s="3" t="s">
        <v>23</v>
      </c>
      <c r="H49" s="3">
        <v>1</v>
      </c>
      <c r="I49" s="3">
        <v>52.1</v>
      </c>
      <c r="J49" s="3">
        <v>3</v>
      </c>
      <c r="K49" s="3">
        <v>2377.79</v>
      </c>
      <c r="L49" s="3">
        <v>1</v>
      </c>
      <c r="M49" s="3" t="s">
        <v>91</v>
      </c>
      <c r="N49" s="3" t="s">
        <v>94</v>
      </c>
      <c r="O49" s="3" t="s">
        <v>100</v>
      </c>
      <c r="P49" s="3" t="s">
        <v>121</v>
      </c>
    </row>
    <row r="50" spans="1:16" x14ac:dyDescent="0.2">
      <c r="A50" s="3">
        <v>49</v>
      </c>
      <c r="B50" s="3">
        <v>21</v>
      </c>
      <c r="C50" s="3" t="s">
        <v>15</v>
      </c>
      <c r="D50" s="3">
        <v>67</v>
      </c>
      <c r="E50" s="3">
        <v>83.94</v>
      </c>
      <c r="F50" s="3" t="s">
        <v>20</v>
      </c>
      <c r="G50" s="3" t="s">
        <v>22</v>
      </c>
      <c r="H50" s="3">
        <v>3</v>
      </c>
      <c r="I50" s="3">
        <v>21.9</v>
      </c>
      <c r="J50" s="3">
        <v>4</v>
      </c>
      <c r="K50" s="3">
        <v>5572.24</v>
      </c>
      <c r="L50" s="3">
        <v>0</v>
      </c>
      <c r="M50" s="3" t="s">
        <v>89</v>
      </c>
      <c r="N50" s="3" t="s">
        <v>94</v>
      </c>
      <c r="O50" s="3" t="s">
        <v>99</v>
      </c>
      <c r="P50" s="3" t="s">
        <v>75</v>
      </c>
    </row>
    <row r="51" spans="1:16" x14ac:dyDescent="0.2">
      <c r="A51" s="3">
        <v>50</v>
      </c>
      <c r="B51" s="3">
        <v>42</v>
      </c>
      <c r="C51" s="3" t="s">
        <v>15</v>
      </c>
      <c r="D51" s="3">
        <v>26</v>
      </c>
      <c r="E51" s="3">
        <v>100.5</v>
      </c>
      <c r="F51" s="3" t="s">
        <v>20</v>
      </c>
      <c r="G51" s="3" t="s">
        <v>23</v>
      </c>
      <c r="H51" s="3">
        <v>2</v>
      </c>
      <c r="I51" s="3">
        <v>70.2</v>
      </c>
      <c r="J51" s="3">
        <v>1</v>
      </c>
      <c r="K51" s="3">
        <v>2711.39</v>
      </c>
      <c r="L51" s="3">
        <v>1</v>
      </c>
      <c r="M51" s="3" t="s">
        <v>89</v>
      </c>
      <c r="N51" s="3" t="s">
        <v>94</v>
      </c>
      <c r="O51" s="3" t="s">
        <v>100</v>
      </c>
      <c r="P51" s="3" t="s">
        <v>121</v>
      </c>
    </row>
    <row r="52" spans="1:16" x14ac:dyDescent="0.2">
      <c r="A52" s="3">
        <v>51</v>
      </c>
      <c r="B52" s="3">
        <v>31</v>
      </c>
      <c r="C52" s="3" t="s">
        <v>15</v>
      </c>
      <c r="D52" s="3">
        <v>16</v>
      </c>
      <c r="E52" s="3">
        <v>110.32</v>
      </c>
      <c r="F52" s="3" t="s">
        <v>20</v>
      </c>
      <c r="G52" s="3" t="s">
        <v>23</v>
      </c>
      <c r="H52" s="3">
        <v>3</v>
      </c>
      <c r="I52" s="3">
        <v>99.2</v>
      </c>
      <c r="J52" s="3">
        <v>9</v>
      </c>
      <c r="K52" s="3">
        <v>1638.23</v>
      </c>
      <c r="L52" s="3">
        <v>0</v>
      </c>
      <c r="M52" s="3" t="s">
        <v>91</v>
      </c>
      <c r="N52" s="3" t="s">
        <v>97</v>
      </c>
      <c r="O52" s="3" t="s">
        <v>98</v>
      </c>
      <c r="P52" s="3" t="s">
        <v>121</v>
      </c>
    </row>
    <row r="53" spans="1:16" x14ac:dyDescent="0.2">
      <c r="A53" s="3">
        <v>52</v>
      </c>
      <c r="B53" s="3">
        <v>67</v>
      </c>
      <c r="C53" s="3" t="s">
        <v>16</v>
      </c>
      <c r="D53" s="3">
        <v>51</v>
      </c>
      <c r="E53" s="3">
        <v>81.73</v>
      </c>
      <c r="F53" s="3" t="s">
        <v>18</v>
      </c>
      <c r="G53" s="3" t="s">
        <v>22</v>
      </c>
      <c r="H53" s="3">
        <v>1</v>
      </c>
      <c r="I53" s="3">
        <v>76</v>
      </c>
      <c r="J53" s="3">
        <v>8</v>
      </c>
      <c r="K53" s="3">
        <v>4156.22</v>
      </c>
      <c r="L53" s="3">
        <v>0</v>
      </c>
      <c r="M53" s="3" t="s">
        <v>89</v>
      </c>
      <c r="N53" s="3" t="s">
        <v>96</v>
      </c>
      <c r="O53" s="3" t="s">
        <v>98</v>
      </c>
      <c r="P53" s="3" t="s">
        <v>75</v>
      </c>
    </row>
    <row r="54" spans="1:16" x14ac:dyDescent="0.2">
      <c r="A54" s="3">
        <v>53</v>
      </c>
      <c r="B54" s="3">
        <v>26</v>
      </c>
      <c r="C54" s="3" t="s">
        <v>15</v>
      </c>
      <c r="D54" s="3">
        <v>57</v>
      </c>
      <c r="E54" s="3">
        <v>118.05</v>
      </c>
      <c r="F54" s="3" t="s">
        <v>20</v>
      </c>
      <c r="G54" s="3" t="s">
        <v>23</v>
      </c>
      <c r="H54" s="3">
        <v>2</v>
      </c>
      <c r="I54" s="3">
        <v>75.3</v>
      </c>
      <c r="J54" s="3">
        <v>8</v>
      </c>
      <c r="K54" s="3">
        <v>6093.02</v>
      </c>
      <c r="L54" s="3">
        <v>0</v>
      </c>
      <c r="M54" s="3" t="s">
        <v>89</v>
      </c>
      <c r="N54" s="3" t="s">
        <v>96</v>
      </c>
      <c r="O54" s="3" t="s">
        <v>100</v>
      </c>
      <c r="P54" s="3" t="s">
        <v>121</v>
      </c>
    </row>
    <row r="55" spans="1:16" x14ac:dyDescent="0.2">
      <c r="A55" s="3">
        <v>54</v>
      </c>
      <c r="B55" s="3">
        <v>43</v>
      </c>
      <c r="C55" s="3" t="s">
        <v>15</v>
      </c>
      <c r="D55" s="3">
        <v>29</v>
      </c>
      <c r="E55" s="3">
        <v>80.81</v>
      </c>
      <c r="F55" s="3" t="s">
        <v>20</v>
      </c>
      <c r="G55" s="3" t="s">
        <v>23</v>
      </c>
      <c r="H55" s="3">
        <v>1</v>
      </c>
      <c r="I55" s="3">
        <v>95.3</v>
      </c>
      <c r="J55" s="3">
        <v>10</v>
      </c>
      <c r="K55" s="3">
        <v>2346.0500000000002</v>
      </c>
      <c r="L55" s="3">
        <v>0</v>
      </c>
      <c r="M55" s="3" t="s">
        <v>89</v>
      </c>
      <c r="N55" s="3" t="s">
        <v>97</v>
      </c>
      <c r="O55" s="3" t="s">
        <v>98</v>
      </c>
      <c r="P55" s="3" t="s">
        <v>75</v>
      </c>
    </row>
    <row r="56" spans="1:16" x14ac:dyDescent="0.2">
      <c r="A56" s="3">
        <v>55</v>
      </c>
      <c r="B56" s="3">
        <v>19</v>
      </c>
      <c r="C56" s="3" t="s">
        <v>16</v>
      </c>
      <c r="D56" s="3">
        <v>69</v>
      </c>
      <c r="E56" s="3">
        <v>83.66</v>
      </c>
      <c r="F56" s="3" t="s">
        <v>20</v>
      </c>
      <c r="G56" s="3" t="s">
        <v>22</v>
      </c>
      <c r="H56" s="3">
        <v>1</v>
      </c>
      <c r="I56" s="3">
        <v>24.3</v>
      </c>
      <c r="J56" s="3">
        <v>6</v>
      </c>
      <c r="K56" s="3">
        <v>6308.25</v>
      </c>
      <c r="L56" s="3">
        <v>1</v>
      </c>
      <c r="M56" s="3" t="s">
        <v>89</v>
      </c>
      <c r="N56" s="3" t="s">
        <v>95</v>
      </c>
      <c r="O56" s="3" t="s">
        <v>99</v>
      </c>
      <c r="P56" s="3" t="s">
        <v>75</v>
      </c>
    </row>
    <row r="57" spans="1:16" x14ac:dyDescent="0.2">
      <c r="A57" s="3">
        <v>56</v>
      </c>
      <c r="B57" s="3">
        <v>37</v>
      </c>
      <c r="C57" s="3" t="s">
        <v>15</v>
      </c>
      <c r="D57" s="3">
        <v>47</v>
      </c>
      <c r="E57" s="3">
        <v>75.48</v>
      </c>
      <c r="F57" s="3" t="s">
        <v>18</v>
      </c>
      <c r="G57" s="3" t="s">
        <v>22</v>
      </c>
      <c r="H57" s="3">
        <v>1</v>
      </c>
      <c r="I57" s="3">
        <v>58.7</v>
      </c>
      <c r="J57" s="3">
        <v>7</v>
      </c>
      <c r="K57" s="3">
        <v>3465.4</v>
      </c>
      <c r="L57" s="3">
        <v>1</v>
      </c>
      <c r="M57" s="3" t="s">
        <v>89</v>
      </c>
      <c r="N57" s="3" t="s">
        <v>96</v>
      </c>
      <c r="O57" s="3" t="s">
        <v>100</v>
      </c>
      <c r="P57" s="3" t="s">
        <v>75</v>
      </c>
    </row>
    <row r="58" spans="1:16" x14ac:dyDescent="0.2">
      <c r="A58" s="3">
        <v>57</v>
      </c>
      <c r="B58" s="3">
        <v>45</v>
      </c>
      <c r="C58" s="3" t="s">
        <v>16</v>
      </c>
      <c r="D58" s="3">
        <v>62</v>
      </c>
      <c r="E58" s="3">
        <v>29.1</v>
      </c>
      <c r="F58" s="3" t="s">
        <v>20</v>
      </c>
      <c r="G58" s="3" t="s">
        <v>22</v>
      </c>
      <c r="H58" s="3">
        <v>3</v>
      </c>
      <c r="I58" s="3">
        <v>98.1</v>
      </c>
      <c r="J58" s="3">
        <v>6</v>
      </c>
      <c r="K58" s="3">
        <v>1637.85</v>
      </c>
      <c r="L58" s="3">
        <v>0</v>
      </c>
      <c r="M58" s="3" t="s">
        <v>89</v>
      </c>
      <c r="N58" s="3" t="s">
        <v>95</v>
      </c>
      <c r="O58" s="3" t="s">
        <v>98</v>
      </c>
      <c r="P58" s="3" t="s">
        <v>73</v>
      </c>
    </row>
    <row r="59" spans="1:16" x14ac:dyDescent="0.2">
      <c r="A59" s="3">
        <v>58</v>
      </c>
      <c r="B59" s="3">
        <v>64</v>
      </c>
      <c r="C59" s="3" t="s">
        <v>15</v>
      </c>
      <c r="D59" s="3">
        <v>69</v>
      </c>
      <c r="E59" s="3">
        <v>92.64</v>
      </c>
      <c r="F59" s="3" t="s">
        <v>18</v>
      </c>
      <c r="G59" s="3" t="s">
        <v>24</v>
      </c>
      <c r="H59" s="3">
        <v>5</v>
      </c>
      <c r="I59" s="3">
        <v>20.7</v>
      </c>
      <c r="J59" s="3">
        <v>9</v>
      </c>
      <c r="K59" s="3">
        <v>5792.52</v>
      </c>
      <c r="L59" s="3">
        <v>0</v>
      </c>
      <c r="M59" s="3" t="s">
        <v>89</v>
      </c>
      <c r="N59" s="3" t="s">
        <v>97</v>
      </c>
      <c r="O59" s="3" t="s">
        <v>99</v>
      </c>
      <c r="P59" s="3" t="s">
        <v>75</v>
      </c>
    </row>
    <row r="60" spans="1:16" x14ac:dyDescent="0.2">
      <c r="A60" s="3">
        <v>59</v>
      </c>
      <c r="B60" s="3">
        <v>24</v>
      </c>
      <c r="C60" s="3" t="s">
        <v>15</v>
      </c>
      <c r="D60" s="3">
        <v>16</v>
      </c>
      <c r="E60" s="3">
        <v>74.739999999999995</v>
      </c>
      <c r="F60" s="3" t="s">
        <v>20</v>
      </c>
      <c r="G60" s="3" t="s">
        <v>24</v>
      </c>
      <c r="H60" s="3">
        <v>2</v>
      </c>
      <c r="I60" s="3">
        <v>71.5</v>
      </c>
      <c r="J60" s="3">
        <v>3</v>
      </c>
      <c r="K60" s="3">
        <v>1169.05</v>
      </c>
      <c r="L60" s="3">
        <v>1</v>
      </c>
      <c r="M60" s="3" t="s">
        <v>91</v>
      </c>
      <c r="N60" s="3" t="s">
        <v>94</v>
      </c>
      <c r="O60" s="3" t="s">
        <v>100</v>
      </c>
      <c r="P60" s="3" t="s">
        <v>75</v>
      </c>
    </row>
    <row r="61" spans="1:16" x14ac:dyDescent="0.2">
      <c r="A61" s="3">
        <v>60</v>
      </c>
      <c r="B61" s="3">
        <v>61</v>
      </c>
      <c r="C61" s="3" t="s">
        <v>15</v>
      </c>
      <c r="D61" s="3">
        <v>48</v>
      </c>
      <c r="E61" s="3">
        <v>65.09</v>
      </c>
      <c r="F61" s="3" t="s">
        <v>18</v>
      </c>
      <c r="G61" s="3" t="s">
        <v>22</v>
      </c>
      <c r="H61" s="3">
        <v>3</v>
      </c>
      <c r="I61" s="3">
        <v>60.7</v>
      </c>
      <c r="J61" s="3">
        <v>3</v>
      </c>
      <c r="K61" s="3">
        <v>2911.88</v>
      </c>
      <c r="L61" s="3">
        <v>0</v>
      </c>
      <c r="M61" s="3" t="s">
        <v>89</v>
      </c>
      <c r="N61" s="3" t="s">
        <v>94</v>
      </c>
      <c r="O61" s="3" t="s">
        <v>100</v>
      </c>
      <c r="P61" s="3" t="s">
        <v>122</v>
      </c>
    </row>
    <row r="62" spans="1:16" x14ac:dyDescent="0.2">
      <c r="A62" s="3">
        <v>61</v>
      </c>
      <c r="B62" s="3">
        <v>25</v>
      </c>
      <c r="C62" s="3" t="s">
        <v>16</v>
      </c>
      <c r="D62" s="3">
        <v>39</v>
      </c>
      <c r="E62" s="3">
        <v>111.05</v>
      </c>
      <c r="F62" s="3" t="s">
        <v>18</v>
      </c>
      <c r="G62" s="3" t="s">
        <v>22</v>
      </c>
      <c r="H62" s="3">
        <v>3</v>
      </c>
      <c r="I62" s="3">
        <v>60.7</v>
      </c>
      <c r="J62" s="3">
        <v>3</v>
      </c>
      <c r="K62" s="3">
        <v>3918.08</v>
      </c>
      <c r="L62" s="3">
        <v>1</v>
      </c>
      <c r="M62" s="3" t="s">
        <v>89</v>
      </c>
      <c r="N62" s="3" t="s">
        <v>94</v>
      </c>
      <c r="O62" s="3" t="s">
        <v>100</v>
      </c>
      <c r="P62" s="3" t="s">
        <v>121</v>
      </c>
    </row>
    <row r="63" spans="1:16" x14ac:dyDescent="0.2">
      <c r="A63" s="3">
        <v>62</v>
      </c>
      <c r="B63" s="3">
        <v>64</v>
      </c>
      <c r="C63" s="3" t="s">
        <v>16</v>
      </c>
      <c r="D63" s="3">
        <v>33</v>
      </c>
      <c r="E63" s="3">
        <v>49.8</v>
      </c>
      <c r="F63" s="3" t="s">
        <v>20</v>
      </c>
      <c r="G63" s="3" t="s">
        <v>22</v>
      </c>
      <c r="H63" s="3">
        <v>3</v>
      </c>
      <c r="I63" s="3">
        <v>71.3</v>
      </c>
      <c r="J63" s="3">
        <v>10</v>
      </c>
      <c r="K63" s="3">
        <v>1727.61</v>
      </c>
      <c r="L63" s="3">
        <v>0</v>
      </c>
      <c r="M63" s="3" t="s">
        <v>89</v>
      </c>
      <c r="N63" s="3" t="s">
        <v>97</v>
      </c>
      <c r="O63" s="3" t="s">
        <v>100</v>
      </c>
      <c r="P63" s="3" t="s">
        <v>73</v>
      </c>
    </row>
    <row r="64" spans="1:16" x14ac:dyDescent="0.2">
      <c r="A64" s="3">
        <v>63</v>
      </c>
      <c r="B64" s="3">
        <v>52</v>
      </c>
      <c r="C64" s="3" t="s">
        <v>15</v>
      </c>
      <c r="D64" s="3">
        <v>23</v>
      </c>
      <c r="E64" s="3">
        <v>72.36</v>
      </c>
      <c r="F64" s="3" t="s">
        <v>20</v>
      </c>
      <c r="G64" s="3" t="s">
        <v>24</v>
      </c>
      <c r="H64" s="3">
        <v>3</v>
      </c>
      <c r="I64" s="3">
        <v>93.3</v>
      </c>
      <c r="J64" s="3">
        <v>3</v>
      </c>
      <c r="K64" s="3">
        <v>1650.47</v>
      </c>
      <c r="L64" s="3">
        <v>1</v>
      </c>
      <c r="M64" s="3" t="s">
        <v>91</v>
      </c>
      <c r="N64" s="3" t="s">
        <v>94</v>
      </c>
      <c r="O64" s="3" t="s">
        <v>98</v>
      </c>
      <c r="P64" s="3" t="s">
        <v>122</v>
      </c>
    </row>
    <row r="65" spans="1:16" x14ac:dyDescent="0.2">
      <c r="A65" s="3">
        <v>64</v>
      </c>
      <c r="B65" s="3">
        <v>31</v>
      </c>
      <c r="C65" s="3" t="s">
        <v>16</v>
      </c>
      <c r="D65" s="3">
        <v>10</v>
      </c>
      <c r="E65" s="3">
        <v>89.76</v>
      </c>
      <c r="F65" s="3" t="s">
        <v>19</v>
      </c>
      <c r="G65" s="3" t="s">
        <v>24</v>
      </c>
      <c r="H65" s="3">
        <v>2</v>
      </c>
      <c r="I65" s="3">
        <v>79.3</v>
      </c>
      <c r="J65" s="3">
        <v>9</v>
      </c>
      <c r="K65" s="3">
        <v>859.77</v>
      </c>
      <c r="L65" s="3">
        <v>0</v>
      </c>
      <c r="M65" s="3" t="s">
        <v>93</v>
      </c>
      <c r="N65" s="3" t="s">
        <v>97</v>
      </c>
      <c r="O65" s="3" t="s">
        <v>98</v>
      </c>
      <c r="P65" s="3" t="s">
        <v>75</v>
      </c>
    </row>
    <row r="66" spans="1:16" x14ac:dyDescent="0.2">
      <c r="A66" s="3">
        <v>65</v>
      </c>
      <c r="B66" s="3">
        <v>34</v>
      </c>
      <c r="C66" s="3" t="s">
        <v>16</v>
      </c>
      <c r="D66" s="3">
        <v>69</v>
      </c>
      <c r="E66" s="3">
        <v>99.65</v>
      </c>
      <c r="F66" s="3" t="s">
        <v>19</v>
      </c>
      <c r="G66" s="3" t="s">
        <v>23</v>
      </c>
      <c r="H66" s="3">
        <v>0</v>
      </c>
      <c r="I66" s="3">
        <v>10.3</v>
      </c>
      <c r="J66" s="3">
        <v>4</v>
      </c>
      <c r="K66" s="3">
        <v>7426.03</v>
      </c>
      <c r="L66" s="3">
        <v>1</v>
      </c>
      <c r="M66" s="3" t="s">
        <v>89</v>
      </c>
      <c r="N66" s="3" t="s">
        <v>94</v>
      </c>
      <c r="O66" s="3" t="s">
        <v>99</v>
      </c>
      <c r="P66" s="3" t="s">
        <v>121</v>
      </c>
    </row>
    <row r="67" spans="1:16" x14ac:dyDescent="0.2">
      <c r="A67" s="3">
        <v>66</v>
      </c>
      <c r="B67" s="3">
        <v>53</v>
      </c>
      <c r="C67" s="3" t="s">
        <v>16</v>
      </c>
      <c r="D67" s="3">
        <v>34</v>
      </c>
      <c r="E67" s="3">
        <v>65.930000000000007</v>
      </c>
      <c r="F67" s="3" t="s">
        <v>20</v>
      </c>
      <c r="G67" s="3" t="s">
        <v>23</v>
      </c>
      <c r="H67" s="3">
        <v>1</v>
      </c>
      <c r="I67" s="3">
        <v>86</v>
      </c>
      <c r="J67" s="3">
        <v>7</v>
      </c>
      <c r="K67" s="3">
        <v>2069.5300000000002</v>
      </c>
      <c r="L67" s="3">
        <v>1</v>
      </c>
      <c r="M67" s="3" t="s">
        <v>89</v>
      </c>
      <c r="N67" s="3" t="s">
        <v>96</v>
      </c>
      <c r="O67" s="3" t="s">
        <v>98</v>
      </c>
      <c r="P67" s="3" t="s">
        <v>122</v>
      </c>
    </row>
    <row r="68" spans="1:16" x14ac:dyDescent="0.2">
      <c r="A68" s="3">
        <v>67</v>
      </c>
      <c r="B68" s="3">
        <v>67</v>
      </c>
      <c r="C68" s="3" t="s">
        <v>16</v>
      </c>
      <c r="D68" s="3">
        <v>52</v>
      </c>
      <c r="E68" s="3">
        <v>104.21</v>
      </c>
      <c r="F68" s="3" t="s">
        <v>20</v>
      </c>
      <c r="G68" s="3" t="s">
        <v>22</v>
      </c>
      <c r="H68" s="3">
        <v>3</v>
      </c>
      <c r="I68" s="3">
        <v>26.4</v>
      </c>
      <c r="J68" s="3">
        <v>9</v>
      </c>
      <c r="K68" s="3">
        <v>5913.04</v>
      </c>
      <c r="L68" s="3">
        <v>1</v>
      </c>
      <c r="M68" s="3" t="s">
        <v>89</v>
      </c>
      <c r="N68" s="3" t="s">
        <v>97</v>
      </c>
      <c r="O68" s="3" t="s">
        <v>99</v>
      </c>
      <c r="P68" s="3" t="s">
        <v>121</v>
      </c>
    </row>
    <row r="69" spans="1:16" x14ac:dyDescent="0.2">
      <c r="A69" s="3">
        <v>68</v>
      </c>
      <c r="B69" s="3">
        <v>57</v>
      </c>
      <c r="C69" s="3" t="s">
        <v>16</v>
      </c>
      <c r="D69" s="3">
        <v>10</v>
      </c>
      <c r="E69" s="3">
        <v>96.89</v>
      </c>
      <c r="F69" s="3" t="s">
        <v>19</v>
      </c>
      <c r="G69" s="3" t="s">
        <v>24</v>
      </c>
      <c r="H69" s="3">
        <v>0</v>
      </c>
      <c r="I69" s="3">
        <v>40.799999999999997</v>
      </c>
      <c r="J69" s="3">
        <v>7</v>
      </c>
      <c r="K69" s="3">
        <v>932.85</v>
      </c>
      <c r="L69" s="3">
        <v>1</v>
      </c>
      <c r="M69" s="3" t="s">
        <v>93</v>
      </c>
      <c r="N69" s="3" t="s">
        <v>96</v>
      </c>
      <c r="O69" s="3" t="s">
        <v>124</v>
      </c>
      <c r="P69" s="3" t="s">
        <v>121</v>
      </c>
    </row>
    <row r="70" spans="1:16" x14ac:dyDescent="0.2">
      <c r="A70" s="3">
        <v>69</v>
      </c>
      <c r="B70" s="3">
        <v>21</v>
      </c>
      <c r="C70" s="3" t="s">
        <v>16</v>
      </c>
      <c r="D70" s="3">
        <v>19</v>
      </c>
      <c r="E70" s="3">
        <v>26.62</v>
      </c>
      <c r="F70" s="3" t="s">
        <v>20</v>
      </c>
      <c r="G70" s="3" t="s">
        <v>24</v>
      </c>
      <c r="H70" s="3">
        <v>2</v>
      </c>
      <c r="I70" s="3">
        <v>48.9</v>
      </c>
      <c r="J70" s="3">
        <v>9</v>
      </c>
      <c r="K70" s="3">
        <v>545.07000000000005</v>
      </c>
      <c r="L70" s="3">
        <v>0</v>
      </c>
      <c r="M70" s="3" t="s">
        <v>91</v>
      </c>
      <c r="N70" s="3" t="s">
        <v>97</v>
      </c>
      <c r="O70" s="3" t="s">
        <v>124</v>
      </c>
      <c r="P70" s="3" t="s">
        <v>73</v>
      </c>
    </row>
    <row r="71" spans="1:16" x14ac:dyDescent="0.2">
      <c r="A71" s="3">
        <v>70</v>
      </c>
      <c r="B71" s="3">
        <v>19</v>
      </c>
      <c r="C71" s="3" t="s">
        <v>15</v>
      </c>
      <c r="D71" s="3">
        <v>58</v>
      </c>
      <c r="E71" s="3">
        <v>24.59</v>
      </c>
      <c r="F71" s="3" t="s">
        <v>20</v>
      </c>
      <c r="G71" s="3" t="s">
        <v>24</v>
      </c>
      <c r="H71" s="3">
        <v>1</v>
      </c>
      <c r="I71" s="3">
        <v>50.7</v>
      </c>
      <c r="J71" s="3">
        <v>3</v>
      </c>
      <c r="K71" s="3">
        <v>1455.58</v>
      </c>
      <c r="L71" s="3">
        <v>1</v>
      </c>
      <c r="M71" s="3" t="s">
        <v>89</v>
      </c>
      <c r="N71" s="3" t="s">
        <v>94</v>
      </c>
      <c r="O71" s="3" t="s">
        <v>124</v>
      </c>
      <c r="P71" s="3" t="s">
        <v>73</v>
      </c>
    </row>
    <row r="72" spans="1:16" x14ac:dyDescent="0.2">
      <c r="A72" s="3">
        <v>71</v>
      </c>
      <c r="B72" s="3">
        <v>23</v>
      </c>
      <c r="C72" s="3" t="s">
        <v>15</v>
      </c>
      <c r="D72" s="3">
        <v>1</v>
      </c>
      <c r="E72" s="3">
        <v>82.08</v>
      </c>
      <c r="F72" s="3" t="s">
        <v>19</v>
      </c>
      <c r="G72" s="3" t="s">
        <v>22</v>
      </c>
      <c r="H72" s="3">
        <v>3</v>
      </c>
      <c r="I72" s="3">
        <v>46.3</v>
      </c>
      <c r="J72" s="3">
        <v>4</v>
      </c>
      <c r="K72" s="3">
        <v>87.44</v>
      </c>
      <c r="L72" s="3">
        <v>0</v>
      </c>
      <c r="M72" s="3" t="s">
        <v>90</v>
      </c>
      <c r="N72" s="3" t="s">
        <v>94</v>
      </c>
      <c r="O72" s="3" t="s">
        <v>124</v>
      </c>
      <c r="P72" s="3" t="s">
        <v>75</v>
      </c>
    </row>
    <row r="73" spans="1:16" x14ac:dyDescent="0.2">
      <c r="A73" s="3">
        <v>72</v>
      </c>
      <c r="B73" s="3">
        <v>59</v>
      </c>
      <c r="C73" s="3" t="s">
        <v>16</v>
      </c>
      <c r="D73" s="3">
        <v>69</v>
      </c>
      <c r="E73" s="3">
        <v>54.74</v>
      </c>
      <c r="F73" s="3" t="s">
        <v>20</v>
      </c>
      <c r="G73" s="3" t="s">
        <v>23</v>
      </c>
      <c r="H73" s="3">
        <v>2</v>
      </c>
      <c r="I73" s="3">
        <v>94</v>
      </c>
      <c r="J73" s="3">
        <v>8</v>
      </c>
      <c r="K73" s="3">
        <v>4142.6899999999996</v>
      </c>
      <c r="L73" s="3">
        <v>1</v>
      </c>
      <c r="M73" s="3" t="s">
        <v>89</v>
      </c>
      <c r="N73" s="3" t="s">
        <v>96</v>
      </c>
      <c r="O73" s="3" t="s">
        <v>98</v>
      </c>
      <c r="P73" s="3" t="s">
        <v>122</v>
      </c>
    </row>
    <row r="74" spans="1:16" x14ac:dyDescent="0.2">
      <c r="A74" s="3">
        <v>73</v>
      </c>
      <c r="B74" s="3">
        <v>21</v>
      </c>
      <c r="C74" s="3" t="s">
        <v>15</v>
      </c>
      <c r="D74" s="3">
        <v>4</v>
      </c>
      <c r="E74" s="3">
        <v>40.909999999999997</v>
      </c>
      <c r="F74" s="3" t="s">
        <v>20</v>
      </c>
      <c r="G74" s="3" t="s">
        <v>22</v>
      </c>
      <c r="H74" s="3">
        <v>2</v>
      </c>
      <c r="I74" s="3">
        <v>72.099999999999994</v>
      </c>
      <c r="J74" s="3">
        <v>6</v>
      </c>
      <c r="K74" s="3">
        <v>156.71</v>
      </c>
      <c r="L74" s="3">
        <v>1</v>
      </c>
      <c r="M74" s="3" t="s">
        <v>92</v>
      </c>
      <c r="N74" s="3" t="s">
        <v>95</v>
      </c>
      <c r="O74" s="3" t="s">
        <v>100</v>
      </c>
      <c r="P74" s="3" t="s">
        <v>73</v>
      </c>
    </row>
    <row r="75" spans="1:16" x14ac:dyDescent="0.2">
      <c r="A75" s="3">
        <v>74</v>
      </c>
      <c r="B75" s="3">
        <v>46</v>
      </c>
      <c r="C75" s="3" t="s">
        <v>15</v>
      </c>
      <c r="D75" s="3">
        <v>16</v>
      </c>
      <c r="E75" s="3">
        <v>77.959999999999994</v>
      </c>
      <c r="F75" s="3" t="s">
        <v>20</v>
      </c>
      <c r="G75" s="3" t="s">
        <v>23</v>
      </c>
      <c r="H75" s="3">
        <v>1</v>
      </c>
      <c r="I75" s="3">
        <v>65</v>
      </c>
      <c r="J75" s="3">
        <v>5</v>
      </c>
      <c r="K75" s="3">
        <v>1362.4</v>
      </c>
      <c r="L75" s="3">
        <v>1</v>
      </c>
      <c r="M75" s="3" t="s">
        <v>91</v>
      </c>
      <c r="N75" s="3" t="s">
        <v>95</v>
      </c>
      <c r="O75" s="3" t="s">
        <v>100</v>
      </c>
      <c r="P75" s="3" t="s">
        <v>75</v>
      </c>
    </row>
    <row r="76" spans="1:16" x14ac:dyDescent="0.2">
      <c r="A76" s="3">
        <v>75</v>
      </c>
      <c r="B76" s="3">
        <v>35</v>
      </c>
      <c r="C76" s="3" t="s">
        <v>15</v>
      </c>
      <c r="D76" s="3">
        <v>24</v>
      </c>
      <c r="E76" s="3">
        <v>54.16</v>
      </c>
      <c r="F76" s="3" t="s">
        <v>20</v>
      </c>
      <c r="G76" s="3" t="s">
        <v>23</v>
      </c>
      <c r="H76" s="3">
        <v>3</v>
      </c>
      <c r="I76" s="3">
        <v>9.6999999999999993</v>
      </c>
      <c r="J76" s="3">
        <v>4</v>
      </c>
      <c r="K76" s="3">
        <v>1271.1099999999999</v>
      </c>
      <c r="L76" s="3">
        <v>1</v>
      </c>
      <c r="M76" s="3" t="s">
        <v>91</v>
      </c>
      <c r="N76" s="3" t="s">
        <v>94</v>
      </c>
      <c r="O76" s="3" t="s">
        <v>99</v>
      </c>
      <c r="P76" s="3" t="s">
        <v>122</v>
      </c>
    </row>
    <row r="77" spans="1:16" x14ac:dyDescent="0.2">
      <c r="A77" s="3">
        <v>76</v>
      </c>
      <c r="B77" s="3">
        <v>43</v>
      </c>
      <c r="C77" s="3" t="s">
        <v>15</v>
      </c>
      <c r="D77" s="3">
        <v>2</v>
      </c>
      <c r="E77" s="3">
        <v>73.73</v>
      </c>
      <c r="F77" s="3" t="s">
        <v>20</v>
      </c>
      <c r="G77" s="3" t="s">
        <v>22</v>
      </c>
      <c r="H77" s="3">
        <v>2</v>
      </c>
      <c r="I77" s="3">
        <v>90.9</v>
      </c>
      <c r="J77" s="3">
        <v>8</v>
      </c>
      <c r="K77" s="3">
        <v>144.08000000000001</v>
      </c>
      <c r="L77" s="3">
        <v>1</v>
      </c>
      <c r="M77" s="3" t="s">
        <v>90</v>
      </c>
      <c r="N77" s="3" t="s">
        <v>96</v>
      </c>
      <c r="O77" s="3" t="s">
        <v>98</v>
      </c>
      <c r="P77" s="3" t="s">
        <v>75</v>
      </c>
    </row>
    <row r="78" spans="1:16" x14ac:dyDescent="0.2">
      <c r="A78" s="3">
        <v>77</v>
      </c>
      <c r="B78" s="3">
        <v>61</v>
      </c>
      <c r="C78" s="3" t="s">
        <v>16</v>
      </c>
      <c r="D78" s="3">
        <v>32</v>
      </c>
      <c r="E78" s="3">
        <v>66.010000000000005</v>
      </c>
      <c r="F78" s="3" t="s">
        <v>18</v>
      </c>
      <c r="G78" s="3" t="s">
        <v>23</v>
      </c>
      <c r="H78" s="3">
        <v>3</v>
      </c>
      <c r="I78" s="3">
        <v>91.4</v>
      </c>
      <c r="J78" s="3">
        <v>1</v>
      </c>
      <c r="K78" s="3">
        <v>2044.89</v>
      </c>
      <c r="L78" s="3">
        <v>0</v>
      </c>
      <c r="M78" s="3" t="s">
        <v>89</v>
      </c>
      <c r="N78" s="3" t="s">
        <v>94</v>
      </c>
      <c r="O78" s="3" t="s">
        <v>98</v>
      </c>
      <c r="P78" s="3" t="s">
        <v>122</v>
      </c>
    </row>
    <row r="79" spans="1:16" x14ac:dyDescent="0.2">
      <c r="A79" s="3">
        <v>78</v>
      </c>
      <c r="B79" s="3">
        <v>51</v>
      </c>
      <c r="C79" s="3" t="s">
        <v>15</v>
      </c>
      <c r="D79" s="3">
        <v>24</v>
      </c>
      <c r="E79" s="3">
        <v>78.48</v>
      </c>
      <c r="F79" s="3" t="s">
        <v>20</v>
      </c>
      <c r="G79" s="3" t="s">
        <v>23</v>
      </c>
      <c r="H79" s="3">
        <v>3</v>
      </c>
      <c r="I79" s="3">
        <v>79.099999999999994</v>
      </c>
      <c r="J79" s="3">
        <v>9</v>
      </c>
      <c r="K79" s="3">
        <v>1899.12</v>
      </c>
      <c r="L79" s="3">
        <v>0</v>
      </c>
      <c r="M79" s="3" t="s">
        <v>91</v>
      </c>
      <c r="N79" s="3" t="s">
        <v>97</v>
      </c>
      <c r="O79" s="3" t="s">
        <v>98</v>
      </c>
      <c r="P79" s="3" t="s">
        <v>75</v>
      </c>
    </row>
    <row r="80" spans="1:16" x14ac:dyDescent="0.2">
      <c r="A80" s="3">
        <v>79</v>
      </c>
      <c r="B80" s="3">
        <v>27</v>
      </c>
      <c r="C80" s="3" t="s">
        <v>15</v>
      </c>
      <c r="D80" s="3">
        <v>12</v>
      </c>
      <c r="E80" s="3">
        <v>60.03</v>
      </c>
      <c r="F80" s="3" t="s">
        <v>20</v>
      </c>
      <c r="G80" s="3" t="s">
        <v>24</v>
      </c>
      <c r="H80" s="3">
        <v>1</v>
      </c>
      <c r="I80" s="3">
        <v>5.7</v>
      </c>
      <c r="J80" s="3">
        <v>1</v>
      </c>
      <c r="K80" s="3">
        <v>670.53</v>
      </c>
      <c r="L80" s="3">
        <v>1</v>
      </c>
      <c r="M80" s="3" t="s">
        <v>93</v>
      </c>
      <c r="N80" s="3" t="s">
        <v>94</v>
      </c>
      <c r="O80" s="3" t="s">
        <v>99</v>
      </c>
      <c r="P80" s="3" t="s">
        <v>122</v>
      </c>
    </row>
    <row r="81" spans="1:16" x14ac:dyDescent="0.2">
      <c r="A81" s="3">
        <v>80</v>
      </c>
      <c r="B81" s="3">
        <v>53</v>
      </c>
      <c r="C81" s="3" t="s">
        <v>16</v>
      </c>
      <c r="D81" s="3">
        <v>50</v>
      </c>
      <c r="E81" s="3">
        <v>89.77</v>
      </c>
      <c r="F81" s="3" t="s">
        <v>20</v>
      </c>
      <c r="G81" s="3" t="s">
        <v>23</v>
      </c>
      <c r="H81" s="3">
        <v>1</v>
      </c>
      <c r="I81" s="3">
        <v>10.4</v>
      </c>
      <c r="J81" s="3">
        <v>8</v>
      </c>
      <c r="K81" s="3">
        <v>4536.72</v>
      </c>
      <c r="L81" s="3">
        <v>0</v>
      </c>
      <c r="M81" s="3" t="s">
        <v>89</v>
      </c>
      <c r="N81" s="3" t="s">
        <v>96</v>
      </c>
      <c r="O81" s="3" t="s">
        <v>99</v>
      </c>
      <c r="P81" s="3" t="s">
        <v>75</v>
      </c>
    </row>
    <row r="82" spans="1:16" x14ac:dyDescent="0.2">
      <c r="A82" s="3">
        <v>81</v>
      </c>
      <c r="B82" s="3">
        <v>31</v>
      </c>
      <c r="C82" s="3" t="s">
        <v>16</v>
      </c>
      <c r="D82" s="3">
        <v>35</v>
      </c>
      <c r="E82" s="3">
        <v>38.01</v>
      </c>
      <c r="F82" s="3" t="s">
        <v>20</v>
      </c>
      <c r="G82" s="3" t="s">
        <v>22</v>
      </c>
      <c r="H82" s="3">
        <v>2</v>
      </c>
      <c r="I82" s="3">
        <v>26.4</v>
      </c>
      <c r="J82" s="3">
        <v>4</v>
      </c>
      <c r="K82" s="3">
        <v>1341.45</v>
      </c>
      <c r="L82" s="3">
        <v>1</v>
      </c>
      <c r="M82" s="3" t="s">
        <v>89</v>
      </c>
      <c r="N82" s="3" t="s">
        <v>94</v>
      </c>
      <c r="O82" s="3" t="s">
        <v>99</v>
      </c>
      <c r="P82" s="3" t="s">
        <v>73</v>
      </c>
    </row>
    <row r="83" spans="1:16" x14ac:dyDescent="0.2">
      <c r="A83" s="3">
        <v>82</v>
      </c>
      <c r="B83" s="3">
        <v>48</v>
      </c>
      <c r="C83" s="3" t="s">
        <v>15</v>
      </c>
      <c r="D83" s="3">
        <v>33</v>
      </c>
      <c r="E83" s="3">
        <v>89.65</v>
      </c>
      <c r="F83" s="3" t="s">
        <v>19</v>
      </c>
      <c r="G83" s="3" t="s">
        <v>22</v>
      </c>
      <c r="H83" s="3">
        <v>0</v>
      </c>
      <c r="I83" s="3">
        <v>17.5</v>
      </c>
      <c r="J83" s="3">
        <v>9</v>
      </c>
      <c r="K83" s="3">
        <v>3113.41</v>
      </c>
      <c r="L83" s="3">
        <v>1</v>
      </c>
      <c r="M83" s="3" t="s">
        <v>89</v>
      </c>
      <c r="N83" s="3" t="s">
        <v>97</v>
      </c>
      <c r="O83" s="3" t="s">
        <v>99</v>
      </c>
      <c r="P83" s="3" t="s">
        <v>75</v>
      </c>
    </row>
    <row r="84" spans="1:16" x14ac:dyDescent="0.2">
      <c r="A84" s="3">
        <v>83</v>
      </c>
      <c r="B84" s="3">
        <v>65</v>
      </c>
      <c r="C84" s="3" t="s">
        <v>15</v>
      </c>
      <c r="D84" s="3">
        <v>33</v>
      </c>
      <c r="E84" s="3">
        <v>61.17</v>
      </c>
      <c r="F84" s="3" t="s">
        <v>20</v>
      </c>
      <c r="G84" s="3" t="s">
        <v>23</v>
      </c>
      <c r="H84" s="3">
        <v>0</v>
      </c>
      <c r="I84" s="3">
        <v>42.9</v>
      </c>
      <c r="J84" s="3">
        <v>5</v>
      </c>
      <c r="K84" s="3">
        <v>2153.31</v>
      </c>
      <c r="L84" s="3">
        <v>0</v>
      </c>
      <c r="M84" s="3" t="s">
        <v>89</v>
      </c>
      <c r="N84" s="3" t="s">
        <v>95</v>
      </c>
      <c r="O84" s="3" t="s">
        <v>124</v>
      </c>
      <c r="P84" s="3" t="s">
        <v>122</v>
      </c>
    </row>
    <row r="85" spans="1:16" x14ac:dyDescent="0.2">
      <c r="A85" s="3">
        <v>84</v>
      </c>
      <c r="B85" s="3">
        <v>32</v>
      </c>
      <c r="C85" s="3" t="s">
        <v>15</v>
      </c>
      <c r="D85" s="3">
        <v>61</v>
      </c>
      <c r="E85" s="3">
        <v>107.43</v>
      </c>
      <c r="F85" s="3" t="s">
        <v>20</v>
      </c>
      <c r="G85" s="3" t="s">
        <v>24</v>
      </c>
      <c r="H85" s="3">
        <v>3</v>
      </c>
      <c r="I85" s="3">
        <v>92.6</v>
      </c>
      <c r="J85" s="3">
        <v>3</v>
      </c>
      <c r="K85" s="3">
        <v>6475.17</v>
      </c>
      <c r="L85" s="3">
        <v>0</v>
      </c>
      <c r="M85" s="3" t="s">
        <v>89</v>
      </c>
      <c r="N85" s="3" t="s">
        <v>94</v>
      </c>
      <c r="O85" s="3" t="s">
        <v>98</v>
      </c>
      <c r="P85" s="3" t="s">
        <v>121</v>
      </c>
    </row>
    <row r="86" spans="1:16" x14ac:dyDescent="0.2">
      <c r="A86" s="3">
        <v>85</v>
      </c>
      <c r="B86" s="3">
        <v>25</v>
      </c>
      <c r="C86" s="3" t="s">
        <v>15</v>
      </c>
      <c r="D86" s="3">
        <v>51</v>
      </c>
      <c r="E86" s="3">
        <v>71.52</v>
      </c>
      <c r="F86" s="3" t="s">
        <v>19</v>
      </c>
      <c r="G86" s="3" t="s">
        <v>24</v>
      </c>
      <c r="H86" s="3">
        <v>1</v>
      </c>
      <c r="I86" s="3">
        <v>49.8</v>
      </c>
      <c r="J86" s="3">
        <v>9</v>
      </c>
      <c r="K86" s="3">
        <v>3503.32</v>
      </c>
      <c r="L86" s="3">
        <v>0</v>
      </c>
      <c r="M86" s="3" t="s">
        <v>89</v>
      </c>
      <c r="N86" s="3" t="s">
        <v>97</v>
      </c>
      <c r="O86" s="3" t="s">
        <v>124</v>
      </c>
      <c r="P86" s="3" t="s">
        <v>122</v>
      </c>
    </row>
    <row r="87" spans="1:16" x14ac:dyDescent="0.2">
      <c r="A87" s="3">
        <v>86</v>
      </c>
      <c r="B87" s="3">
        <v>31</v>
      </c>
      <c r="C87" s="3" t="s">
        <v>15</v>
      </c>
      <c r="D87" s="3">
        <v>43</v>
      </c>
      <c r="E87" s="3">
        <v>117.31</v>
      </c>
      <c r="F87" s="3" t="s">
        <v>20</v>
      </c>
      <c r="G87" s="3" t="s">
        <v>23</v>
      </c>
      <c r="H87" s="3">
        <v>3</v>
      </c>
      <c r="I87" s="3">
        <v>6.3</v>
      </c>
      <c r="J87" s="3">
        <v>9</v>
      </c>
      <c r="K87" s="3">
        <v>4801.53</v>
      </c>
      <c r="L87" s="3">
        <v>0</v>
      </c>
      <c r="M87" s="3" t="s">
        <v>89</v>
      </c>
      <c r="N87" s="3" t="s">
        <v>97</v>
      </c>
      <c r="O87" s="3" t="s">
        <v>99</v>
      </c>
      <c r="P87" s="3" t="s">
        <v>121</v>
      </c>
    </row>
    <row r="88" spans="1:16" x14ac:dyDescent="0.2">
      <c r="A88" s="3">
        <v>87</v>
      </c>
      <c r="B88" s="3">
        <v>40</v>
      </c>
      <c r="C88" s="3" t="s">
        <v>15</v>
      </c>
      <c r="D88" s="3">
        <v>12</v>
      </c>
      <c r="E88" s="3">
        <v>80.19</v>
      </c>
      <c r="F88" s="3" t="s">
        <v>20</v>
      </c>
      <c r="G88" s="3" t="s">
        <v>23</v>
      </c>
      <c r="H88" s="3">
        <v>2</v>
      </c>
      <c r="I88" s="3">
        <v>31.9</v>
      </c>
      <c r="J88" s="3">
        <v>4</v>
      </c>
      <c r="K88" s="3">
        <v>903.51</v>
      </c>
      <c r="L88" s="3">
        <v>1</v>
      </c>
      <c r="M88" s="3" t="s">
        <v>93</v>
      </c>
      <c r="N88" s="3" t="s">
        <v>94</v>
      </c>
      <c r="O88" s="3" t="s">
        <v>124</v>
      </c>
      <c r="P88" s="3" t="s">
        <v>75</v>
      </c>
    </row>
    <row r="89" spans="1:16" x14ac:dyDescent="0.2">
      <c r="A89" s="3">
        <v>88</v>
      </c>
      <c r="B89" s="3">
        <v>57</v>
      </c>
      <c r="C89" s="3" t="s">
        <v>16</v>
      </c>
      <c r="D89" s="3">
        <v>67</v>
      </c>
      <c r="E89" s="3">
        <v>42.38</v>
      </c>
      <c r="F89" s="3" t="s">
        <v>20</v>
      </c>
      <c r="G89" s="3" t="s">
        <v>22</v>
      </c>
      <c r="H89" s="3">
        <v>0</v>
      </c>
      <c r="I89" s="3">
        <v>9.1999999999999993</v>
      </c>
      <c r="J89" s="3">
        <v>4</v>
      </c>
      <c r="K89" s="3">
        <v>2588.25</v>
      </c>
      <c r="L89" s="3">
        <v>0</v>
      </c>
      <c r="M89" s="3" t="s">
        <v>89</v>
      </c>
      <c r="N89" s="3" t="s">
        <v>94</v>
      </c>
      <c r="O89" s="3" t="s">
        <v>99</v>
      </c>
      <c r="P89" s="3" t="s">
        <v>73</v>
      </c>
    </row>
    <row r="90" spans="1:16" x14ac:dyDescent="0.2">
      <c r="A90" s="3">
        <v>89</v>
      </c>
      <c r="B90" s="3">
        <v>38</v>
      </c>
      <c r="C90" s="3" t="s">
        <v>15</v>
      </c>
      <c r="D90" s="3">
        <v>65</v>
      </c>
      <c r="E90" s="3">
        <v>102.18</v>
      </c>
      <c r="F90" s="3" t="s">
        <v>20</v>
      </c>
      <c r="G90" s="3" t="s">
        <v>23</v>
      </c>
      <c r="H90" s="3">
        <v>0</v>
      </c>
      <c r="I90" s="3">
        <v>8.4</v>
      </c>
      <c r="J90" s="3">
        <v>8</v>
      </c>
      <c r="K90" s="3">
        <v>6432.42</v>
      </c>
      <c r="L90" s="3">
        <v>0</v>
      </c>
      <c r="M90" s="3" t="s">
        <v>89</v>
      </c>
      <c r="N90" s="3" t="s">
        <v>96</v>
      </c>
      <c r="O90" s="3" t="s">
        <v>99</v>
      </c>
      <c r="P90" s="3" t="s">
        <v>121</v>
      </c>
    </row>
    <row r="91" spans="1:16" x14ac:dyDescent="0.2">
      <c r="A91" s="3">
        <v>90</v>
      </c>
      <c r="B91" s="3">
        <v>33</v>
      </c>
      <c r="C91" s="3" t="s">
        <v>15</v>
      </c>
      <c r="D91" s="3">
        <v>33</v>
      </c>
      <c r="E91" s="3">
        <v>54.51</v>
      </c>
      <c r="F91" s="3" t="s">
        <v>20</v>
      </c>
      <c r="G91" s="3" t="s">
        <v>24</v>
      </c>
      <c r="H91" s="3">
        <v>1</v>
      </c>
      <c r="I91" s="3">
        <v>31.2</v>
      </c>
      <c r="J91" s="3">
        <v>2</v>
      </c>
      <c r="K91" s="3">
        <v>1716.17</v>
      </c>
      <c r="L91" s="3">
        <v>1</v>
      </c>
      <c r="M91" s="3" t="s">
        <v>89</v>
      </c>
      <c r="N91" s="3" t="s">
        <v>94</v>
      </c>
      <c r="O91" s="3" t="s">
        <v>124</v>
      </c>
      <c r="P91" s="3" t="s">
        <v>122</v>
      </c>
    </row>
    <row r="92" spans="1:16" x14ac:dyDescent="0.2">
      <c r="A92" s="3">
        <v>91</v>
      </c>
      <c r="B92" s="3">
        <v>62</v>
      </c>
      <c r="C92" s="3" t="s">
        <v>16</v>
      </c>
      <c r="D92" s="3">
        <v>40</v>
      </c>
      <c r="E92" s="3">
        <v>54.76</v>
      </c>
      <c r="F92" s="3" t="s">
        <v>20</v>
      </c>
      <c r="G92" s="3" t="s">
        <v>23</v>
      </c>
      <c r="H92" s="3">
        <v>1</v>
      </c>
      <c r="I92" s="3">
        <v>31.2</v>
      </c>
      <c r="J92" s="3">
        <v>9</v>
      </c>
      <c r="K92" s="3">
        <v>2394.73</v>
      </c>
      <c r="L92" s="3">
        <v>0</v>
      </c>
      <c r="M92" s="3" t="s">
        <v>89</v>
      </c>
      <c r="N92" s="3" t="s">
        <v>97</v>
      </c>
      <c r="O92" s="3" t="s">
        <v>124</v>
      </c>
      <c r="P92" s="3" t="s">
        <v>122</v>
      </c>
    </row>
    <row r="93" spans="1:16" x14ac:dyDescent="0.2">
      <c r="A93" s="3">
        <v>92</v>
      </c>
      <c r="B93" s="3">
        <v>35</v>
      </c>
      <c r="C93" s="3" t="s">
        <v>16</v>
      </c>
      <c r="D93" s="3">
        <v>43</v>
      </c>
      <c r="E93" s="3">
        <v>23.18</v>
      </c>
      <c r="F93" s="3" t="s">
        <v>18</v>
      </c>
      <c r="G93" s="3" t="s">
        <v>22</v>
      </c>
      <c r="H93" s="3">
        <v>2</v>
      </c>
      <c r="I93" s="3">
        <v>79.8</v>
      </c>
      <c r="J93" s="3">
        <v>6</v>
      </c>
      <c r="K93" s="3">
        <v>1008.24</v>
      </c>
      <c r="L93" s="3">
        <v>1</v>
      </c>
      <c r="M93" s="3" t="s">
        <v>89</v>
      </c>
      <c r="N93" s="3" t="s">
        <v>95</v>
      </c>
      <c r="O93" s="3" t="s">
        <v>98</v>
      </c>
      <c r="P93" s="3" t="s">
        <v>73</v>
      </c>
    </row>
    <row r="94" spans="1:16" x14ac:dyDescent="0.2">
      <c r="A94" s="3">
        <v>93</v>
      </c>
      <c r="B94" s="3">
        <v>64</v>
      </c>
      <c r="C94" s="3" t="s">
        <v>16</v>
      </c>
      <c r="D94" s="3">
        <v>44</v>
      </c>
      <c r="E94" s="3">
        <v>74.87</v>
      </c>
      <c r="F94" s="3" t="s">
        <v>20</v>
      </c>
      <c r="G94" s="3" t="s">
        <v>22</v>
      </c>
      <c r="H94" s="3">
        <v>2</v>
      </c>
      <c r="I94" s="3">
        <v>97.6</v>
      </c>
      <c r="J94" s="3">
        <v>9</v>
      </c>
      <c r="K94" s="3">
        <v>3193.66</v>
      </c>
      <c r="L94" s="3">
        <v>1</v>
      </c>
      <c r="M94" s="3" t="s">
        <v>89</v>
      </c>
      <c r="N94" s="3" t="s">
        <v>97</v>
      </c>
      <c r="O94" s="3" t="s">
        <v>98</v>
      </c>
      <c r="P94" s="3" t="s">
        <v>75</v>
      </c>
    </row>
    <row r="95" spans="1:16" x14ac:dyDescent="0.2">
      <c r="A95" s="3">
        <v>94</v>
      </c>
      <c r="B95" s="3">
        <v>41</v>
      </c>
      <c r="C95" s="3" t="s">
        <v>16</v>
      </c>
      <c r="D95" s="3">
        <v>29</v>
      </c>
      <c r="E95" s="3">
        <v>73.44</v>
      </c>
      <c r="F95" s="3" t="s">
        <v>20</v>
      </c>
      <c r="G95" s="3" t="s">
        <v>22</v>
      </c>
      <c r="H95" s="3">
        <v>3</v>
      </c>
      <c r="I95" s="3">
        <v>40.299999999999997</v>
      </c>
      <c r="J95" s="3">
        <v>8</v>
      </c>
      <c r="K95" s="3">
        <v>2164.04</v>
      </c>
      <c r="L95" s="3">
        <v>0</v>
      </c>
      <c r="M95" s="3" t="s">
        <v>89</v>
      </c>
      <c r="N95" s="3" t="s">
        <v>96</v>
      </c>
      <c r="O95" s="3" t="s">
        <v>124</v>
      </c>
      <c r="P95" s="3" t="s">
        <v>122</v>
      </c>
    </row>
    <row r="96" spans="1:16" x14ac:dyDescent="0.2">
      <c r="A96" s="3">
        <v>95</v>
      </c>
      <c r="B96" s="3">
        <v>43</v>
      </c>
      <c r="C96" s="3" t="s">
        <v>15</v>
      </c>
      <c r="D96" s="3">
        <v>13</v>
      </c>
      <c r="E96" s="3">
        <v>55.6</v>
      </c>
      <c r="F96" s="3" t="s">
        <v>18</v>
      </c>
      <c r="G96" s="3" t="s">
        <v>22</v>
      </c>
      <c r="H96" s="3">
        <v>3</v>
      </c>
      <c r="I96" s="3">
        <v>45.7</v>
      </c>
      <c r="J96" s="3">
        <v>7</v>
      </c>
      <c r="K96" s="3">
        <v>670.64</v>
      </c>
      <c r="L96" s="3">
        <v>0</v>
      </c>
      <c r="M96" s="3" t="s">
        <v>91</v>
      </c>
      <c r="N96" s="3" t="s">
        <v>96</v>
      </c>
      <c r="O96" s="3" t="s">
        <v>124</v>
      </c>
      <c r="P96" s="3" t="s">
        <v>122</v>
      </c>
    </row>
    <row r="97" spans="1:16" x14ac:dyDescent="0.2">
      <c r="A97" s="3">
        <v>96</v>
      </c>
      <c r="B97" s="3">
        <v>42</v>
      </c>
      <c r="C97" s="3" t="s">
        <v>15</v>
      </c>
      <c r="D97" s="3">
        <v>12</v>
      </c>
      <c r="E97" s="3">
        <v>109.42</v>
      </c>
      <c r="F97" s="3" t="s">
        <v>20</v>
      </c>
      <c r="G97" s="3" t="s">
        <v>22</v>
      </c>
      <c r="H97" s="3">
        <v>0</v>
      </c>
      <c r="I97" s="3">
        <v>85.3</v>
      </c>
      <c r="J97" s="3">
        <v>1</v>
      </c>
      <c r="K97" s="3">
        <v>1298.3499999999999</v>
      </c>
      <c r="L97" s="3">
        <v>1</v>
      </c>
      <c r="M97" s="3" t="s">
        <v>93</v>
      </c>
      <c r="N97" s="3" t="s">
        <v>94</v>
      </c>
      <c r="O97" s="3" t="s">
        <v>98</v>
      </c>
      <c r="P97" s="3" t="s">
        <v>121</v>
      </c>
    </row>
    <row r="98" spans="1:16" x14ac:dyDescent="0.2">
      <c r="A98" s="3">
        <v>97</v>
      </c>
      <c r="B98" s="3">
        <v>62</v>
      </c>
      <c r="C98" s="3" t="s">
        <v>15</v>
      </c>
      <c r="D98" s="3">
        <v>46</v>
      </c>
      <c r="E98" s="3">
        <v>32.869999999999997</v>
      </c>
      <c r="F98" s="3" t="s">
        <v>18</v>
      </c>
      <c r="G98" s="3" t="s">
        <v>23</v>
      </c>
      <c r="H98" s="3">
        <v>6</v>
      </c>
      <c r="I98" s="3">
        <v>30.5</v>
      </c>
      <c r="J98" s="3">
        <v>3</v>
      </c>
      <c r="K98" s="3">
        <v>1550.19</v>
      </c>
      <c r="L98" s="3">
        <v>1</v>
      </c>
      <c r="M98" s="3" t="s">
        <v>89</v>
      </c>
      <c r="N98" s="3" t="s">
        <v>94</v>
      </c>
      <c r="O98" s="3" t="s">
        <v>124</v>
      </c>
      <c r="P98" s="3" t="s">
        <v>73</v>
      </c>
    </row>
    <row r="99" spans="1:16" x14ac:dyDescent="0.2">
      <c r="A99" s="3">
        <v>98</v>
      </c>
      <c r="B99" s="3">
        <v>58</v>
      </c>
      <c r="C99" s="3" t="s">
        <v>15</v>
      </c>
      <c r="D99" s="3">
        <v>2</v>
      </c>
      <c r="E99" s="3">
        <v>53.01</v>
      </c>
      <c r="F99" s="3" t="s">
        <v>20</v>
      </c>
      <c r="G99" s="3" t="s">
        <v>23</v>
      </c>
      <c r="H99" s="3">
        <v>1</v>
      </c>
      <c r="I99" s="3">
        <v>19.899999999999999</v>
      </c>
      <c r="J99" s="3">
        <v>2</v>
      </c>
      <c r="K99" s="3">
        <v>105.78</v>
      </c>
      <c r="L99" s="3">
        <v>1</v>
      </c>
      <c r="M99" s="3" t="s">
        <v>90</v>
      </c>
      <c r="N99" s="3" t="s">
        <v>94</v>
      </c>
      <c r="O99" s="3" t="s">
        <v>99</v>
      </c>
      <c r="P99" s="3" t="s">
        <v>122</v>
      </c>
    </row>
    <row r="100" spans="1:16" x14ac:dyDescent="0.2">
      <c r="A100" s="3">
        <v>99</v>
      </c>
      <c r="B100" s="3">
        <v>46</v>
      </c>
      <c r="C100" s="3" t="s">
        <v>15</v>
      </c>
      <c r="D100" s="3">
        <v>35</v>
      </c>
      <c r="E100" s="3">
        <v>52.16</v>
      </c>
      <c r="F100" s="3" t="s">
        <v>20</v>
      </c>
      <c r="G100" s="3" t="s">
        <v>23</v>
      </c>
      <c r="H100" s="3">
        <v>4</v>
      </c>
      <c r="I100" s="3">
        <v>86</v>
      </c>
      <c r="J100" s="3">
        <v>5</v>
      </c>
      <c r="K100" s="3">
        <v>1789.74</v>
      </c>
      <c r="L100" s="3">
        <v>1</v>
      </c>
      <c r="M100" s="3" t="s">
        <v>89</v>
      </c>
      <c r="N100" s="3" t="s">
        <v>95</v>
      </c>
      <c r="O100" s="3" t="s">
        <v>98</v>
      </c>
      <c r="P100" s="3" t="s">
        <v>122</v>
      </c>
    </row>
    <row r="101" spans="1:16" x14ac:dyDescent="0.2">
      <c r="A101" s="3">
        <v>100</v>
      </c>
      <c r="B101" s="3">
        <v>32</v>
      </c>
      <c r="C101" s="3" t="s">
        <v>15</v>
      </c>
      <c r="D101" s="3">
        <v>8</v>
      </c>
      <c r="E101" s="3">
        <v>29.23</v>
      </c>
      <c r="F101" s="3" t="s">
        <v>18</v>
      </c>
      <c r="G101" s="3" t="s">
        <v>23</v>
      </c>
      <c r="H101" s="3">
        <v>0</v>
      </c>
      <c r="I101" s="3">
        <v>9.4</v>
      </c>
      <c r="J101" s="3">
        <v>5</v>
      </c>
      <c r="K101" s="3">
        <v>256.94</v>
      </c>
      <c r="L101" s="3">
        <v>0</v>
      </c>
      <c r="M101" s="3" t="s">
        <v>93</v>
      </c>
      <c r="N101" s="3" t="s">
        <v>95</v>
      </c>
      <c r="O101" s="3" t="s">
        <v>99</v>
      </c>
      <c r="P101" s="3" t="s">
        <v>73</v>
      </c>
    </row>
    <row r="102" spans="1:16" x14ac:dyDescent="0.2">
      <c r="A102" s="3">
        <v>101</v>
      </c>
      <c r="B102" s="3">
        <v>62</v>
      </c>
      <c r="C102" s="3" t="s">
        <v>16</v>
      </c>
      <c r="D102" s="3">
        <v>26</v>
      </c>
      <c r="E102" s="3">
        <v>68.11</v>
      </c>
      <c r="F102" s="3" t="s">
        <v>20</v>
      </c>
      <c r="G102" s="3" t="s">
        <v>22</v>
      </c>
      <c r="H102" s="3">
        <v>1</v>
      </c>
      <c r="I102" s="3">
        <v>63.9</v>
      </c>
      <c r="J102" s="3">
        <v>5</v>
      </c>
      <c r="K102" s="3">
        <v>1905.56</v>
      </c>
      <c r="L102" s="3">
        <v>0</v>
      </c>
      <c r="M102" s="3" t="s">
        <v>89</v>
      </c>
      <c r="N102" s="3" t="s">
        <v>95</v>
      </c>
      <c r="O102" s="3" t="s">
        <v>100</v>
      </c>
      <c r="P102" s="3" t="s">
        <v>122</v>
      </c>
    </row>
    <row r="103" spans="1:16" x14ac:dyDescent="0.2">
      <c r="A103" s="3">
        <v>102</v>
      </c>
      <c r="B103" s="3">
        <v>18</v>
      </c>
      <c r="C103" s="3" t="s">
        <v>15</v>
      </c>
      <c r="D103" s="3">
        <v>34</v>
      </c>
      <c r="E103" s="3">
        <v>88.78</v>
      </c>
      <c r="F103" s="3" t="s">
        <v>20</v>
      </c>
      <c r="G103" s="3" t="s">
        <v>24</v>
      </c>
      <c r="H103" s="3">
        <v>6</v>
      </c>
      <c r="I103" s="3">
        <v>58.4</v>
      </c>
      <c r="J103" s="3">
        <v>4</v>
      </c>
      <c r="K103" s="3">
        <v>3093.02</v>
      </c>
      <c r="L103" s="3">
        <v>1</v>
      </c>
      <c r="M103" s="3" t="s">
        <v>89</v>
      </c>
      <c r="N103" s="3" t="s">
        <v>94</v>
      </c>
      <c r="O103" s="3" t="s">
        <v>100</v>
      </c>
      <c r="P103" s="3" t="s">
        <v>75</v>
      </c>
    </row>
    <row r="104" spans="1:16" x14ac:dyDescent="0.2">
      <c r="A104" s="3">
        <v>103</v>
      </c>
      <c r="B104" s="3">
        <v>42</v>
      </c>
      <c r="C104" s="3" t="s">
        <v>16</v>
      </c>
      <c r="D104" s="3">
        <v>7</v>
      </c>
      <c r="E104" s="3">
        <v>71.17</v>
      </c>
      <c r="F104" s="3" t="s">
        <v>20</v>
      </c>
      <c r="G104" s="3" t="s">
        <v>23</v>
      </c>
      <c r="H104" s="3">
        <v>2</v>
      </c>
      <c r="I104" s="3">
        <v>37.9</v>
      </c>
      <c r="J104" s="3">
        <v>5</v>
      </c>
      <c r="K104" s="3">
        <v>505.1</v>
      </c>
      <c r="L104" s="3">
        <v>1</v>
      </c>
      <c r="M104" s="3" t="s">
        <v>93</v>
      </c>
      <c r="N104" s="3" t="s">
        <v>95</v>
      </c>
      <c r="O104" s="3" t="s">
        <v>124</v>
      </c>
      <c r="P104" s="3" t="s">
        <v>122</v>
      </c>
    </row>
    <row r="105" spans="1:16" x14ac:dyDescent="0.2">
      <c r="A105" s="3">
        <v>104</v>
      </c>
      <c r="B105" s="3">
        <v>24</v>
      </c>
      <c r="C105" s="3" t="s">
        <v>16</v>
      </c>
      <c r="D105" s="3">
        <v>68</v>
      </c>
      <c r="E105" s="3">
        <v>35.700000000000003</v>
      </c>
      <c r="F105" s="3" t="s">
        <v>20</v>
      </c>
      <c r="G105" s="3" t="s">
        <v>24</v>
      </c>
      <c r="H105" s="3">
        <v>2</v>
      </c>
      <c r="I105" s="3">
        <v>34.9</v>
      </c>
      <c r="J105" s="3">
        <v>3</v>
      </c>
      <c r="K105" s="3">
        <v>2486.1799999999998</v>
      </c>
      <c r="L105" s="3">
        <v>1</v>
      </c>
      <c r="M105" s="3" t="s">
        <v>89</v>
      </c>
      <c r="N105" s="3" t="s">
        <v>94</v>
      </c>
      <c r="O105" s="3" t="s">
        <v>124</v>
      </c>
      <c r="P105" s="3" t="s">
        <v>73</v>
      </c>
    </row>
    <row r="106" spans="1:16" x14ac:dyDescent="0.2">
      <c r="A106" s="3">
        <v>105</v>
      </c>
      <c r="B106" s="3">
        <v>26</v>
      </c>
      <c r="C106" s="3" t="s">
        <v>15</v>
      </c>
      <c r="D106" s="3">
        <v>58</v>
      </c>
      <c r="E106" s="3">
        <v>57.73</v>
      </c>
      <c r="F106" s="3" t="s">
        <v>18</v>
      </c>
      <c r="G106" s="3" t="s">
        <v>23</v>
      </c>
      <c r="H106" s="3">
        <v>2</v>
      </c>
      <c r="I106" s="3">
        <v>78.3</v>
      </c>
      <c r="J106" s="3">
        <v>1</v>
      </c>
      <c r="K106" s="3">
        <v>3148.32</v>
      </c>
      <c r="L106" s="3">
        <v>1</v>
      </c>
      <c r="M106" s="3" t="s">
        <v>89</v>
      </c>
      <c r="N106" s="3" t="s">
        <v>94</v>
      </c>
      <c r="O106" s="3" t="s">
        <v>98</v>
      </c>
      <c r="P106" s="3" t="s">
        <v>122</v>
      </c>
    </row>
    <row r="107" spans="1:16" x14ac:dyDescent="0.2">
      <c r="A107" s="3">
        <v>106</v>
      </c>
      <c r="B107" s="3">
        <v>41</v>
      </c>
      <c r="C107" s="3" t="s">
        <v>16</v>
      </c>
      <c r="D107" s="3">
        <v>29</v>
      </c>
      <c r="E107" s="3">
        <v>20.260000000000002</v>
      </c>
      <c r="F107" s="3" t="s">
        <v>20</v>
      </c>
      <c r="G107" s="3" t="s">
        <v>23</v>
      </c>
      <c r="H107" s="3">
        <v>3</v>
      </c>
      <c r="I107" s="3">
        <v>13.2</v>
      </c>
      <c r="J107" s="3">
        <v>5</v>
      </c>
      <c r="K107" s="3">
        <v>575.22</v>
      </c>
      <c r="L107" s="3">
        <v>0</v>
      </c>
      <c r="M107" s="3" t="s">
        <v>89</v>
      </c>
      <c r="N107" s="3" t="s">
        <v>95</v>
      </c>
      <c r="O107" s="3" t="s">
        <v>99</v>
      </c>
      <c r="P107" s="3" t="s">
        <v>73</v>
      </c>
    </row>
    <row r="108" spans="1:16" x14ac:dyDescent="0.2">
      <c r="A108" s="3">
        <v>107</v>
      </c>
      <c r="B108" s="3">
        <v>18</v>
      </c>
      <c r="C108" s="3" t="s">
        <v>15</v>
      </c>
      <c r="D108" s="3">
        <v>36</v>
      </c>
      <c r="E108" s="3">
        <v>106.83</v>
      </c>
      <c r="F108" s="3" t="s">
        <v>20</v>
      </c>
      <c r="G108" s="3" t="s">
        <v>24</v>
      </c>
      <c r="H108" s="3">
        <v>0</v>
      </c>
      <c r="I108" s="3">
        <v>27.5</v>
      </c>
      <c r="J108" s="3">
        <v>9</v>
      </c>
      <c r="K108" s="3">
        <v>3491.64</v>
      </c>
      <c r="L108" s="3">
        <v>0</v>
      </c>
      <c r="M108" s="3" t="s">
        <v>89</v>
      </c>
      <c r="N108" s="3" t="s">
        <v>97</v>
      </c>
      <c r="O108" s="3" t="s">
        <v>124</v>
      </c>
      <c r="P108" s="3" t="s">
        <v>121</v>
      </c>
    </row>
    <row r="109" spans="1:16" x14ac:dyDescent="0.2">
      <c r="A109" s="3">
        <v>108</v>
      </c>
      <c r="B109" s="3">
        <v>61</v>
      </c>
      <c r="C109" s="3" t="s">
        <v>16</v>
      </c>
      <c r="D109" s="3">
        <v>21</v>
      </c>
      <c r="E109" s="3">
        <v>28.45</v>
      </c>
      <c r="F109" s="3" t="s">
        <v>20</v>
      </c>
      <c r="G109" s="3" t="s">
        <v>22</v>
      </c>
      <c r="H109" s="3">
        <v>1</v>
      </c>
      <c r="I109" s="3">
        <v>74.599999999999994</v>
      </c>
      <c r="J109" s="3">
        <v>9</v>
      </c>
      <c r="K109" s="3">
        <v>594.53</v>
      </c>
      <c r="L109" s="3">
        <v>0</v>
      </c>
      <c r="M109" s="3" t="s">
        <v>91</v>
      </c>
      <c r="N109" s="3" t="s">
        <v>97</v>
      </c>
      <c r="O109" s="3" t="s">
        <v>100</v>
      </c>
      <c r="P109" s="3" t="s">
        <v>73</v>
      </c>
    </row>
    <row r="110" spans="1:16" x14ac:dyDescent="0.2">
      <c r="A110" s="3">
        <v>109</v>
      </c>
      <c r="B110" s="3">
        <v>25</v>
      </c>
      <c r="C110" s="3" t="s">
        <v>15</v>
      </c>
      <c r="D110" s="3">
        <v>36</v>
      </c>
      <c r="E110" s="3">
        <v>79.73</v>
      </c>
      <c r="F110" s="3" t="s">
        <v>18</v>
      </c>
      <c r="G110" s="3" t="s">
        <v>23</v>
      </c>
      <c r="H110" s="3">
        <v>3</v>
      </c>
      <c r="I110" s="3">
        <v>57.1</v>
      </c>
      <c r="J110" s="3">
        <v>4</v>
      </c>
      <c r="K110" s="3">
        <v>2894.98</v>
      </c>
      <c r="L110" s="3">
        <v>1</v>
      </c>
      <c r="M110" s="3" t="s">
        <v>89</v>
      </c>
      <c r="N110" s="3" t="s">
        <v>94</v>
      </c>
      <c r="O110" s="3" t="s">
        <v>100</v>
      </c>
      <c r="P110" s="3" t="s">
        <v>75</v>
      </c>
    </row>
    <row r="111" spans="1:16" x14ac:dyDescent="0.2">
      <c r="A111" s="3">
        <v>110</v>
      </c>
      <c r="B111" s="3">
        <v>41</v>
      </c>
      <c r="C111" s="3" t="s">
        <v>16</v>
      </c>
      <c r="D111" s="3">
        <v>10</v>
      </c>
      <c r="E111" s="3">
        <v>118.63</v>
      </c>
      <c r="F111" s="3" t="s">
        <v>20</v>
      </c>
      <c r="G111" s="3" t="s">
        <v>23</v>
      </c>
      <c r="H111" s="3">
        <v>4</v>
      </c>
      <c r="I111" s="3">
        <v>17.2</v>
      </c>
      <c r="J111" s="3">
        <v>3</v>
      </c>
      <c r="K111" s="3">
        <v>1121.71</v>
      </c>
      <c r="L111" s="3">
        <v>0</v>
      </c>
      <c r="M111" s="3" t="s">
        <v>93</v>
      </c>
      <c r="N111" s="3" t="s">
        <v>94</v>
      </c>
      <c r="O111" s="3" t="s">
        <v>99</v>
      </c>
      <c r="P111" s="3" t="s">
        <v>121</v>
      </c>
    </row>
    <row r="112" spans="1:16" x14ac:dyDescent="0.2">
      <c r="A112" s="3">
        <v>111</v>
      </c>
      <c r="B112" s="3">
        <v>28</v>
      </c>
      <c r="C112" s="3" t="s">
        <v>15</v>
      </c>
      <c r="D112" s="3">
        <v>24</v>
      </c>
      <c r="E112" s="3">
        <v>73.66</v>
      </c>
      <c r="F112" s="3" t="s">
        <v>19</v>
      </c>
      <c r="G112" s="3" t="s">
        <v>23</v>
      </c>
      <c r="H112" s="3">
        <v>1</v>
      </c>
      <c r="I112" s="3">
        <v>88.8</v>
      </c>
      <c r="J112" s="3">
        <v>1</v>
      </c>
      <c r="K112" s="3">
        <v>1931.91</v>
      </c>
      <c r="L112" s="3">
        <v>0</v>
      </c>
      <c r="M112" s="3" t="s">
        <v>91</v>
      </c>
      <c r="N112" s="3" t="s">
        <v>94</v>
      </c>
      <c r="O112" s="3" t="s">
        <v>98</v>
      </c>
      <c r="P112" s="3" t="s">
        <v>75</v>
      </c>
    </row>
    <row r="113" spans="1:16" x14ac:dyDescent="0.2">
      <c r="A113" s="3">
        <v>112</v>
      </c>
      <c r="B113" s="3">
        <v>68</v>
      </c>
      <c r="C113" s="3" t="s">
        <v>15</v>
      </c>
      <c r="D113" s="3">
        <v>64</v>
      </c>
      <c r="E113" s="3">
        <v>112.4</v>
      </c>
      <c r="F113" s="3" t="s">
        <v>20</v>
      </c>
      <c r="G113" s="3" t="s">
        <v>24</v>
      </c>
      <c r="H113" s="3">
        <v>1</v>
      </c>
      <c r="I113" s="3">
        <v>42.4</v>
      </c>
      <c r="J113" s="3">
        <v>2</v>
      </c>
      <c r="K113" s="3">
        <v>7782.69</v>
      </c>
      <c r="L113" s="3">
        <v>0</v>
      </c>
      <c r="M113" s="3" t="s">
        <v>89</v>
      </c>
      <c r="N113" s="3" t="s">
        <v>94</v>
      </c>
      <c r="O113" s="3" t="s">
        <v>124</v>
      </c>
      <c r="P113" s="3" t="s">
        <v>121</v>
      </c>
    </row>
    <row r="114" spans="1:16" x14ac:dyDescent="0.2">
      <c r="A114" s="3">
        <v>113</v>
      </c>
      <c r="B114" s="3">
        <v>34</v>
      </c>
      <c r="C114" s="3" t="s">
        <v>15</v>
      </c>
      <c r="D114" s="3">
        <v>49</v>
      </c>
      <c r="E114" s="3">
        <v>43.61</v>
      </c>
      <c r="F114" s="3" t="s">
        <v>18</v>
      </c>
      <c r="G114" s="3" t="s">
        <v>22</v>
      </c>
      <c r="H114" s="3">
        <v>3</v>
      </c>
      <c r="I114" s="3">
        <v>83.6</v>
      </c>
      <c r="J114" s="3">
        <v>8</v>
      </c>
      <c r="K114" s="3">
        <v>2231.83</v>
      </c>
      <c r="L114" s="3">
        <v>0</v>
      </c>
      <c r="M114" s="3" t="s">
        <v>89</v>
      </c>
      <c r="N114" s="3" t="s">
        <v>96</v>
      </c>
      <c r="O114" s="3" t="s">
        <v>98</v>
      </c>
      <c r="P114" s="3" t="s">
        <v>73</v>
      </c>
    </row>
    <row r="115" spans="1:16" x14ac:dyDescent="0.2">
      <c r="A115" s="3">
        <v>114</v>
      </c>
      <c r="B115" s="3">
        <v>25</v>
      </c>
      <c r="C115" s="3" t="s">
        <v>15</v>
      </c>
      <c r="D115" s="3">
        <v>36</v>
      </c>
      <c r="E115" s="3">
        <v>96</v>
      </c>
      <c r="F115" s="3" t="s">
        <v>19</v>
      </c>
      <c r="G115" s="3" t="s">
        <v>24</v>
      </c>
      <c r="H115" s="3">
        <v>4</v>
      </c>
      <c r="I115" s="3">
        <v>79.8</v>
      </c>
      <c r="J115" s="3">
        <v>1</v>
      </c>
      <c r="K115" s="3">
        <v>3479.08</v>
      </c>
      <c r="L115" s="3">
        <v>1</v>
      </c>
      <c r="M115" s="3" t="s">
        <v>89</v>
      </c>
      <c r="N115" s="3" t="s">
        <v>94</v>
      </c>
      <c r="O115" s="3" t="s">
        <v>98</v>
      </c>
      <c r="P115" s="3" t="s">
        <v>121</v>
      </c>
    </row>
    <row r="116" spans="1:16" x14ac:dyDescent="0.2">
      <c r="A116" s="3">
        <v>115</v>
      </c>
      <c r="B116" s="3">
        <v>52</v>
      </c>
      <c r="C116" s="3" t="s">
        <v>15</v>
      </c>
      <c r="D116" s="3">
        <v>24</v>
      </c>
      <c r="E116" s="3">
        <v>73.13</v>
      </c>
      <c r="F116" s="3" t="s">
        <v>18</v>
      </c>
      <c r="G116" s="3" t="s">
        <v>24</v>
      </c>
      <c r="H116" s="3">
        <v>3</v>
      </c>
      <c r="I116" s="3">
        <v>64.3</v>
      </c>
      <c r="J116" s="3">
        <v>8</v>
      </c>
      <c r="K116" s="3">
        <v>1884.99</v>
      </c>
      <c r="L116" s="3">
        <v>0</v>
      </c>
      <c r="M116" s="3" t="s">
        <v>91</v>
      </c>
      <c r="N116" s="3" t="s">
        <v>96</v>
      </c>
      <c r="O116" s="3" t="s">
        <v>100</v>
      </c>
      <c r="P116" s="3" t="s">
        <v>122</v>
      </c>
    </row>
    <row r="117" spans="1:16" x14ac:dyDescent="0.2">
      <c r="A117" s="3">
        <v>116</v>
      </c>
      <c r="B117" s="3">
        <v>52</v>
      </c>
      <c r="C117" s="3" t="s">
        <v>16</v>
      </c>
      <c r="D117" s="3">
        <v>23</v>
      </c>
      <c r="E117" s="3">
        <v>92.05</v>
      </c>
      <c r="F117" s="3" t="s">
        <v>19</v>
      </c>
      <c r="G117" s="3" t="s">
        <v>22</v>
      </c>
      <c r="H117" s="3">
        <v>1</v>
      </c>
      <c r="I117" s="3">
        <v>52</v>
      </c>
      <c r="J117" s="3">
        <v>7</v>
      </c>
      <c r="K117" s="3">
        <v>1960.76</v>
      </c>
      <c r="L117" s="3">
        <v>1</v>
      </c>
      <c r="M117" s="3" t="s">
        <v>91</v>
      </c>
      <c r="N117" s="3" t="s">
        <v>96</v>
      </c>
      <c r="O117" s="3" t="s">
        <v>100</v>
      </c>
      <c r="P117" s="3" t="s">
        <v>75</v>
      </c>
    </row>
    <row r="118" spans="1:16" x14ac:dyDescent="0.2">
      <c r="A118" s="3">
        <v>117</v>
      </c>
      <c r="B118" s="3">
        <v>50</v>
      </c>
      <c r="C118" s="3" t="s">
        <v>16</v>
      </c>
      <c r="D118" s="3">
        <v>62</v>
      </c>
      <c r="E118" s="3">
        <v>26.23</v>
      </c>
      <c r="F118" s="3" t="s">
        <v>20</v>
      </c>
      <c r="G118" s="3" t="s">
        <v>24</v>
      </c>
      <c r="H118" s="3">
        <v>1</v>
      </c>
      <c r="I118" s="3">
        <v>98.1</v>
      </c>
      <c r="J118" s="3">
        <v>8</v>
      </c>
      <c r="K118" s="3">
        <v>1720.75</v>
      </c>
      <c r="L118" s="3">
        <v>1</v>
      </c>
      <c r="M118" s="3" t="s">
        <v>89</v>
      </c>
      <c r="N118" s="3" t="s">
        <v>96</v>
      </c>
      <c r="O118" s="3" t="s">
        <v>98</v>
      </c>
      <c r="P118" s="3" t="s">
        <v>73</v>
      </c>
    </row>
    <row r="119" spans="1:16" x14ac:dyDescent="0.2">
      <c r="A119" s="3">
        <v>118</v>
      </c>
      <c r="B119" s="3">
        <v>22</v>
      </c>
      <c r="C119" s="3" t="s">
        <v>16</v>
      </c>
      <c r="D119" s="3">
        <v>37</v>
      </c>
      <c r="E119" s="3">
        <v>34.770000000000003</v>
      </c>
      <c r="F119" s="3" t="s">
        <v>20</v>
      </c>
      <c r="G119" s="3" t="s">
        <v>22</v>
      </c>
      <c r="H119" s="3">
        <v>4</v>
      </c>
      <c r="I119" s="3">
        <v>18.8</v>
      </c>
      <c r="J119" s="3">
        <v>6</v>
      </c>
      <c r="K119" s="3">
        <v>1189.96</v>
      </c>
      <c r="L119" s="3">
        <v>1</v>
      </c>
      <c r="M119" s="3" t="s">
        <v>89</v>
      </c>
      <c r="N119" s="3" t="s">
        <v>95</v>
      </c>
      <c r="O119" s="3" t="s">
        <v>99</v>
      </c>
      <c r="P119" s="3" t="s">
        <v>73</v>
      </c>
    </row>
    <row r="120" spans="1:16" x14ac:dyDescent="0.2">
      <c r="A120" s="3">
        <v>119</v>
      </c>
      <c r="B120" s="3">
        <v>59</v>
      </c>
      <c r="C120" s="3" t="s">
        <v>15</v>
      </c>
      <c r="D120" s="3">
        <v>12</v>
      </c>
      <c r="E120" s="3">
        <v>33.31</v>
      </c>
      <c r="F120" s="3" t="s">
        <v>20</v>
      </c>
      <c r="G120" s="3" t="s">
        <v>23</v>
      </c>
      <c r="H120" s="3">
        <v>0</v>
      </c>
      <c r="I120" s="3">
        <v>73.900000000000006</v>
      </c>
      <c r="J120" s="3">
        <v>9</v>
      </c>
      <c r="K120" s="3">
        <v>423.24</v>
      </c>
      <c r="L120" s="3">
        <v>0</v>
      </c>
      <c r="M120" s="3" t="s">
        <v>93</v>
      </c>
      <c r="N120" s="3" t="s">
        <v>97</v>
      </c>
      <c r="O120" s="3" t="s">
        <v>100</v>
      </c>
      <c r="P120" s="3" t="s">
        <v>73</v>
      </c>
    </row>
    <row r="121" spans="1:16" x14ac:dyDescent="0.2">
      <c r="A121" s="3">
        <v>120</v>
      </c>
      <c r="B121" s="3">
        <v>56</v>
      </c>
      <c r="C121" s="3" t="s">
        <v>16</v>
      </c>
      <c r="D121" s="3">
        <v>55</v>
      </c>
      <c r="E121" s="3">
        <v>88.72</v>
      </c>
      <c r="F121" s="3" t="s">
        <v>20</v>
      </c>
      <c r="G121" s="3" t="s">
        <v>22</v>
      </c>
      <c r="H121" s="3">
        <v>4</v>
      </c>
      <c r="I121" s="3">
        <v>23.2</v>
      </c>
      <c r="J121" s="3">
        <v>3</v>
      </c>
      <c r="K121" s="3">
        <v>4660.7700000000004</v>
      </c>
      <c r="L121" s="3">
        <v>0</v>
      </c>
      <c r="M121" s="3" t="s">
        <v>89</v>
      </c>
      <c r="N121" s="3" t="s">
        <v>94</v>
      </c>
      <c r="O121" s="3" t="s">
        <v>99</v>
      </c>
      <c r="P121" s="3" t="s">
        <v>75</v>
      </c>
    </row>
    <row r="122" spans="1:16" x14ac:dyDescent="0.2">
      <c r="A122" s="3">
        <v>121</v>
      </c>
      <c r="B122" s="3">
        <v>58</v>
      </c>
      <c r="C122" s="3" t="s">
        <v>15</v>
      </c>
      <c r="D122" s="3">
        <v>13</v>
      </c>
      <c r="E122" s="3">
        <v>104.44</v>
      </c>
      <c r="F122" s="3" t="s">
        <v>20</v>
      </c>
      <c r="G122" s="3" t="s">
        <v>23</v>
      </c>
      <c r="H122" s="3">
        <v>0</v>
      </c>
      <c r="I122" s="3">
        <v>37.1</v>
      </c>
      <c r="J122" s="3">
        <v>10</v>
      </c>
      <c r="K122" s="3">
        <v>1460.12</v>
      </c>
      <c r="L122" s="3">
        <v>0</v>
      </c>
      <c r="M122" s="3" t="s">
        <v>91</v>
      </c>
      <c r="N122" s="3" t="s">
        <v>97</v>
      </c>
      <c r="O122" s="3" t="s">
        <v>124</v>
      </c>
      <c r="P122" s="3" t="s">
        <v>121</v>
      </c>
    </row>
    <row r="123" spans="1:16" x14ac:dyDescent="0.2">
      <c r="A123" s="3">
        <v>122</v>
      </c>
      <c r="B123" s="3">
        <v>45</v>
      </c>
      <c r="C123" s="3" t="s">
        <v>15</v>
      </c>
      <c r="D123" s="3">
        <v>23</v>
      </c>
      <c r="E123" s="3">
        <v>94.96</v>
      </c>
      <c r="F123" s="3" t="s">
        <v>20</v>
      </c>
      <c r="G123" s="3" t="s">
        <v>24</v>
      </c>
      <c r="H123" s="3">
        <v>2</v>
      </c>
      <c r="I123" s="3">
        <v>34.299999999999997</v>
      </c>
      <c r="J123" s="3">
        <v>4</v>
      </c>
      <c r="K123" s="3">
        <v>2378.04</v>
      </c>
      <c r="L123" s="3">
        <v>1</v>
      </c>
      <c r="M123" s="3" t="s">
        <v>91</v>
      </c>
      <c r="N123" s="3" t="s">
        <v>94</v>
      </c>
      <c r="O123" s="3" t="s">
        <v>124</v>
      </c>
      <c r="P123" s="3" t="s">
        <v>75</v>
      </c>
    </row>
    <row r="124" spans="1:16" x14ac:dyDescent="0.2">
      <c r="A124" s="3">
        <v>123</v>
      </c>
      <c r="B124" s="3">
        <v>24</v>
      </c>
      <c r="C124" s="3" t="s">
        <v>16</v>
      </c>
      <c r="D124" s="3">
        <v>30</v>
      </c>
      <c r="E124" s="3">
        <v>23.05</v>
      </c>
      <c r="F124" s="3" t="s">
        <v>20</v>
      </c>
      <c r="G124" s="3" t="s">
        <v>24</v>
      </c>
      <c r="H124" s="3">
        <v>2</v>
      </c>
      <c r="I124" s="3">
        <v>95</v>
      </c>
      <c r="J124" s="3">
        <v>6</v>
      </c>
      <c r="K124" s="3">
        <v>642.92999999999995</v>
      </c>
      <c r="L124" s="3">
        <v>0</v>
      </c>
      <c r="M124" s="3" t="s">
        <v>89</v>
      </c>
      <c r="N124" s="3" t="s">
        <v>95</v>
      </c>
      <c r="O124" s="3" t="s">
        <v>98</v>
      </c>
      <c r="P124" s="3" t="s">
        <v>73</v>
      </c>
    </row>
    <row r="125" spans="1:16" x14ac:dyDescent="0.2">
      <c r="A125" s="3">
        <v>124</v>
      </c>
      <c r="B125" s="3">
        <v>26</v>
      </c>
      <c r="C125" s="3" t="s">
        <v>16</v>
      </c>
      <c r="D125" s="3">
        <v>17</v>
      </c>
      <c r="E125" s="3">
        <v>106.72</v>
      </c>
      <c r="F125" s="3" t="s">
        <v>20</v>
      </c>
      <c r="G125" s="3" t="s">
        <v>23</v>
      </c>
      <c r="H125" s="3">
        <v>2</v>
      </c>
      <c r="I125" s="3">
        <v>96.9</v>
      </c>
      <c r="J125" s="3">
        <v>8</v>
      </c>
      <c r="K125" s="3">
        <v>1800.7</v>
      </c>
      <c r="L125" s="3">
        <v>0</v>
      </c>
      <c r="M125" s="3" t="s">
        <v>91</v>
      </c>
      <c r="N125" s="3" t="s">
        <v>96</v>
      </c>
      <c r="O125" s="3" t="s">
        <v>98</v>
      </c>
      <c r="P125" s="3" t="s">
        <v>121</v>
      </c>
    </row>
    <row r="126" spans="1:16" x14ac:dyDescent="0.2">
      <c r="A126" s="3">
        <v>125</v>
      </c>
      <c r="B126" s="3">
        <v>25</v>
      </c>
      <c r="C126" s="3" t="s">
        <v>15</v>
      </c>
      <c r="D126" s="3">
        <v>62</v>
      </c>
      <c r="E126" s="3">
        <v>55.41</v>
      </c>
      <c r="F126" s="3" t="s">
        <v>19</v>
      </c>
      <c r="G126" s="3" t="s">
        <v>24</v>
      </c>
      <c r="H126" s="3">
        <v>3</v>
      </c>
      <c r="I126" s="3">
        <v>22.4</v>
      </c>
      <c r="J126" s="3">
        <v>5</v>
      </c>
      <c r="K126" s="3">
        <v>3765.9</v>
      </c>
      <c r="L126" s="3">
        <v>0</v>
      </c>
      <c r="M126" s="3" t="s">
        <v>89</v>
      </c>
      <c r="N126" s="3" t="s">
        <v>95</v>
      </c>
      <c r="O126" s="3" t="s">
        <v>99</v>
      </c>
      <c r="P126" s="3" t="s">
        <v>122</v>
      </c>
    </row>
    <row r="127" spans="1:16" x14ac:dyDescent="0.2">
      <c r="A127" s="3">
        <v>126</v>
      </c>
      <c r="B127" s="3">
        <v>29</v>
      </c>
      <c r="C127" s="3" t="s">
        <v>16</v>
      </c>
      <c r="D127" s="3">
        <v>13</v>
      </c>
      <c r="E127" s="3">
        <v>59.72</v>
      </c>
      <c r="F127" s="3" t="s">
        <v>20</v>
      </c>
      <c r="G127" s="3" t="s">
        <v>22</v>
      </c>
      <c r="H127" s="3">
        <v>0</v>
      </c>
      <c r="I127" s="3">
        <v>7.1</v>
      </c>
      <c r="J127" s="3">
        <v>3</v>
      </c>
      <c r="K127" s="3">
        <v>773.78</v>
      </c>
      <c r="L127" s="3">
        <v>0</v>
      </c>
      <c r="M127" s="3" t="s">
        <v>91</v>
      </c>
      <c r="N127" s="3" t="s">
        <v>94</v>
      </c>
      <c r="O127" s="3" t="s">
        <v>99</v>
      </c>
      <c r="P127" s="3" t="s">
        <v>122</v>
      </c>
    </row>
    <row r="128" spans="1:16" x14ac:dyDescent="0.2">
      <c r="A128" s="3">
        <v>127</v>
      </c>
      <c r="B128" s="3">
        <v>51</v>
      </c>
      <c r="C128" s="3" t="s">
        <v>15</v>
      </c>
      <c r="D128" s="3">
        <v>59</v>
      </c>
      <c r="E128" s="3">
        <v>30.49</v>
      </c>
      <c r="F128" s="3" t="s">
        <v>18</v>
      </c>
      <c r="G128" s="3" t="s">
        <v>23</v>
      </c>
      <c r="H128" s="3">
        <v>4</v>
      </c>
      <c r="I128" s="3">
        <v>73.400000000000006</v>
      </c>
      <c r="J128" s="3">
        <v>6</v>
      </c>
      <c r="K128" s="3">
        <v>1929.71</v>
      </c>
      <c r="L128" s="3">
        <v>0</v>
      </c>
      <c r="M128" s="3" t="s">
        <v>89</v>
      </c>
      <c r="N128" s="3" t="s">
        <v>95</v>
      </c>
      <c r="O128" s="3" t="s">
        <v>100</v>
      </c>
      <c r="P128" s="3" t="s">
        <v>73</v>
      </c>
    </row>
    <row r="129" spans="1:16" x14ac:dyDescent="0.2">
      <c r="A129" s="3">
        <v>128</v>
      </c>
      <c r="B129" s="3">
        <v>50</v>
      </c>
      <c r="C129" s="3" t="s">
        <v>15</v>
      </c>
      <c r="D129" s="3">
        <v>19</v>
      </c>
      <c r="E129" s="3">
        <v>93.74</v>
      </c>
      <c r="F129" s="3" t="s">
        <v>18</v>
      </c>
      <c r="G129" s="3" t="s">
        <v>24</v>
      </c>
      <c r="H129" s="3">
        <v>1</v>
      </c>
      <c r="I129" s="3">
        <v>44.7</v>
      </c>
      <c r="J129" s="3">
        <v>4</v>
      </c>
      <c r="K129" s="3">
        <v>1812.67</v>
      </c>
      <c r="L129" s="3">
        <v>0</v>
      </c>
      <c r="M129" s="3" t="s">
        <v>91</v>
      </c>
      <c r="N129" s="3" t="s">
        <v>94</v>
      </c>
      <c r="O129" s="3" t="s">
        <v>124</v>
      </c>
      <c r="P129" s="3" t="s">
        <v>75</v>
      </c>
    </row>
    <row r="130" spans="1:16" x14ac:dyDescent="0.2">
      <c r="A130" s="3">
        <v>129</v>
      </c>
      <c r="B130" s="3">
        <v>65</v>
      </c>
      <c r="C130" s="3" t="s">
        <v>15</v>
      </c>
      <c r="D130" s="3">
        <v>49</v>
      </c>
      <c r="E130" s="3">
        <v>38.229999999999997</v>
      </c>
      <c r="F130" s="3" t="s">
        <v>19</v>
      </c>
      <c r="G130" s="3" t="s">
        <v>23</v>
      </c>
      <c r="H130" s="3">
        <v>3</v>
      </c>
      <c r="I130" s="3">
        <v>13.4</v>
      </c>
      <c r="J130" s="3">
        <v>9</v>
      </c>
      <c r="K130" s="3">
        <v>1826.56</v>
      </c>
      <c r="L130" s="3">
        <v>1</v>
      </c>
      <c r="M130" s="3" t="s">
        <v>89</v>
      </c>
      <c r="N130" s="3" t="s">
        <v>97</v>
      </c>
      <c r="O130" s="3" t="s">
        <v>99</v>
      </c>
      <c r="P130" s="3" t="s">
        <v>73</v>
      </c>
    </row>
    <row r="131" spans="1:16" x14ac:dyDescent="0.2">
      <c r="A131" s="3">
        <v>130</v>
      </c>
      <c r="B131" s="3">
        <v>40</v>
      </c>
      <c r="C131" s="3" t="s">
        <v>15</v>
      </c>
      <c r="D131" s="3">
        <v>12</v>
      </c>
      <c r="E131" s="3">
        <v>76.400000000000006</v>
      </c>
      <c r="F131" s="3" t="s">
        <v>18</v>
      </c>
      <c r="G131" s="3" t="s">
        <v>22</v>
      </c>
      <c r="H131" s="3">
        <v>3</v>
      </c>
      <c r="I131" s="3">
        <v>70</v>
      </c>
      <c r="J131" s="3">
        <v>3</v>
      </c>
      <c r="K131" s="3">
        <v>877.52</v>
      </c>
      <c r="L131" s="3">
        <v>1</v>
      </c>
      <c r="M131" s="3" t="s">
        <v>93</v>
      </c>
      <c r="N131" s="3" t="s">
        <v>94</v>
      </c>
      <c r="O131" s="3" t="s">
        <v>100</v>
      </c>
      <c r="P131" s="3" t="s">
        <v>75</v>
      </c>
    </row>
    <row r="132" spans="1:16" x14ac:dyDescent="0.2">
      <c r="A132" s="3">
        <v>131</v>
      </c>
      <c r="B132" s="3">
        <v>41</v>
      </c>
      <c r="C132" s="3" t="s">
        <v>15</v>
      </c>
      <c r="D132" s="3">
        <v>61</v>
      </c>
      <c r="E132" s="3">
        <v>104.07</v>
      </c>
      <c r="F132" s="3" t="s">
        <v>18</v>
      </c>
      <c r="G132" s="3" t="s">
        <v>22</v>
      </c>
      <c r="H132" s="3">
        <v>2</v>
      </c>
      <c r="I132" s="3">
        <v>56.8</v>
      </c>
      <c r="J132" s="3">
        <v>4</v>
      </c>
      <c r="K132" s="3">
        <v>5971.47</v>
      </c>
      <c r="L132" s="3">
        <v>1</v>
      </c>
      <c r="M132" s="3" t="s">
        <v>89</v>
      </c>
      <c r="N132" s="3" t="s">
        <v>94</v>
      </c>
      <c r="O132" s="3" t="s">
        <v>100</v>
      </c>
      <c r="P132" s="3" t="s">
        <v>121</v>
      </c>
    </row>
    <row r="133" spans="1:16" x14ac:dyDescent="0.2">
      <c r="A133" s="3">
        <v>132</v>
      </c>
      <c r="B133" s="3">
        <v>54</v>
      </c>
      <c r="C133" s="3" t="s">
        <v>16</v>
      </c>
      <c r="D133" s="3">
        <v>19</v>
      </c>
      <c r="E133" s="3">
        <v>28.92</v>
      </c>
      <c r="F133" s="3" t="s">
        <v>19</v>
      </c>
      <c r="G133" s="3" t="s">
        <v>24</v>
      </c>
      <c r="H133" s="3">
        <v>1</v>
      </c>
      <c r="I133" s="3">
        <v>98.1</v>
      </c>
      <c r="J133" s="3">
        <v>7</v>
      </c>
      <c r="K133" s="3">
        <v>578.25</v>
      </c>
      <c r="L133" s="3">
        <v>1</v>
      </c>
      <c r="M133" s="3" t="s">
        <v>91</v>
      </c>
      <c r="N133" s="3" t="s">
        <v>96</v>
      </c>
      <c r="O133" s="3" t="s">
        <v>98</v>
      </c>
      <c r="P133" s="3" t="s">
        <v>73</v>
      </c>
    </row>
    <row r="134" spans="1:16" x14ac:dyDescent="0.2">
      <c r="A134" s="3">
        <v>133</v>
      </c>
      <c r="B134" s="3">
        <v>52</v>
      </c>
      <c r="C134" s="3" t="s">
        <v>16</v>
      </c>
      <c r="D134" s="3">
        <v>9</v>
      </c>
      <c r="E134" s="3">
        <v>73.53</v>
      </c>
      <c r="F134" s="3" t="s">
        <v>19</v>
      </c>
      <c r="G134" s="3" t="s">
        <v>22</v>
      </c>
      <c r="H134" s="3">
        <v>2</v>
      </c>
      <c r="I134" s="3">
        <v>26.6</v>
      </c>
      <c r="J134" s="3">
        <v>7</v>
      </c>
      <c r="K134" s="3">
        <v>646.75</v>
      </c>
      <c r="L134" s="3">
        <v>1</v>
      </c>
      <c r="M134" s="3" t="s">
        <v>93</v>
      </c>
      <c r="N134" s="3" t="s">
        <v>96</v>
      </c>
      <c r="O134" s="3" t="s">
        <v>124</v>
      </c>
      <c r="P134" s="3" t="s">
        <v>122</v>
      </c>
    </row>
    <row r="135" spans="1:16" x14ac:dyDescent="0.2">
      <c r="A135" s="3">
        <v>134</v>
      </c>
      <c r="B135" s="3">
        <v>61</v>
      </c>
      <c r="C135" s="3" t="s">
        <v>15</v>
      </c>
      <c r="D135" s="3">
        <v>71</v>
      </c>
      <c r="E135" s="3">
        <v>43.32</v>
      </c>
      <c r="F135" s="3" t="s">
        <v>20</v>
      </c>
      <c r="G135" s="3" t="s">
        <v>23</v>
      </c>
      <c r="H135" s="3">
        <v>1</v>
      </c>
      <c r="I135" s="3">
        <v>43.4</v>
      </c>
      <c r="J135" s="3">
        <v>4</v>
      </c>
      <c r="K135" s="3">
        <v>3082.66</v>
      </c>
      <c r="L135" s="3">
        <v>1</v>
      </c>
      <c r="M135" s="3" t="s">
        <v>89</v>
      </c>
      <c r="N135" s="3" t="s">
        <v>94</v>
      </c>
      <c r="O135" s="3" t="s">
        <v>124</v>
      </c>
      <c r="P135" s="3" t="s">
        <v>73</v>
      </c>
    </row>
    <row r="136" spans="1:16" x14ac:dyDescent="0.2">
      <c r="A136" s="3">
        <v>135</v>
      </c>
      <c r="B136" s="3">
        <v>57</v>
      </c>
      <c r="C136" s="3" t="s">
        <v>15</v>
      </c>
      <c r="D136" s="3">
        <v>28</v>
      </c>
      <c r="E136" s="3">
        <v>54.29</v>
      </c>
      <c r="F136" s="3" t="s">
        <v>20</v>
      </c>
      <c r="G136" s="3" t="s">
        <v>22</v>
      </c>
      <c r="H136" s="3">
        <v>1</v>
      </c>
      <c r="I136" s="3">
        <v>56.5</v>
      </c>
      <c r="J136" s="3">
        <v>6</v>
      </c>
      <c r="K136" s="3">
        <v>1517.79</v>
      </c>
      <c r="L136" s="3">
        <v>0</v>
      </c>
      <c r="M136" s="3" t="s">
        <v>89</v>
      </c>
      <c r="N136" s="3" t="s">
        <v>95</v>
      </c>
      <c r="O136" s="3" t="s">
        <v>100</v>
      </c>
      <c r="P136" s="3" t="s">
        <v>122</v>
      </c>
    </row>
    <row r="137" spans="1:16" x14ac:dyDescent="0.2">
      <c r="A137" s="3">
        <v>136</v>
      </c>
      <c r="B137" s="3">
        <v>39</v>
      </c>
      <c r="C137" s="3" t="s">
        <v>16</v>
      </c>
      <c r="D137" s="3">
        <v>52</v>
      </c>
      <c r="E137" s="3">
        <v>67.400000000000006</v>
      </c>
      <c r="F137" s="3" t="s">
        <v>20</v>
      </c>
      <c r="G137" s="3" t="s">
        <v>23</v>
      </c>
      <c r="H137" s="3">
        <v>1</v>
      </c>
      <c r="I137" s="3">
        <v>80.2</v>
      </c>
      <c r="J137" s="3">
        <v>3</v>
      </c>
      <c r="K137" s="3">
        <v>3558.97</v>
      </c>
      <c r="L137" s="3">
        <v>1</v>
      </c>
      <c r="M137" s="3" t="s">
        <v>89</v>
      </c>
      <c r="N137" s="3" t="s">
        <v>94</v>
      </c>
      <c r="O137" s="3" t="s">
        <v>98</v>
      </c>
      <c r="P137" s="3" t="s">
        <v>122</v>
      </c>
    </row>
    <row r="138" spans="1:16" x14ac:dyDescent="0.2">
      <c r="A138" s="3">
        <v>137</v>
      </c>
      <c r="B138" s="3">
        <v>44</v>
      </c>
      <c r="C138" s="3" t="s">
        <v>16</v>
      </c>
      <c r="D138" s="3">
        <v>16</v>
      </c>
      <c r="E138" s="3">
        <v>55.51</v>
      </c>
      <c r="F138" s="3" t="s">
        <v>20</v>
      </c>
      <c r="G138" s="3" t="s">
        <v>23</v>
      </c>
      <c r="H138" s="3">
        <v>2</v>
      </c>
      <c r="I138" s="3">
        <v>57.1</v>
      </c>
      <c r="J138" s="3">
        <v>6</v>
      </c>
      <c r="K138" s="3">
        <v>953.1</v>
      </c>
      <c r="L138" s="3">
        <v>1</v>
      </c>
      <c r="M138" s="3" t="s">
        <v>91</v>
      </c>
      <c r="N138" s="3" t="s">
        <v>95</v>
      </c>
      <c r="O138" s="3" t="s">
        <v>100</v>
      </c>
      <c r="P138" s="3" t="s">
        <v>122</v>
      </c>
    </row>
    <row r="139" spans="1:16" x14ac:dyDescent="0.2">
      <c r="A139" s="3">
        <v>138</v>
      </c>
      <c r="B139" s="3">
        <v>52</v>
      </c>
      <c r="C139" s="3" t="s">
        <v>15</v>
      </c>
      <c r="D139" s="3">
        <v>69</v>
      </c>
      <c r="E139" s="3">
        <v>84.88</v>
      </c>
      <c r="F139" s="3" t="s">
        <v>18</v>
      </c>
      <c r="G139" s="3" t="s">
        <v>22</v>
      </c>
      <c r="H139" s="3">
        <v>1</v>
      </c>
      <c r="I139" s="3">
        <v>63.2</v>
      </c>
      <c r="J139" s="3">
        <v>2</v>
      </c>
      <c r="K139" s="3">
        <v>6419.83</v>
      </c>
      <c r="L139" s="3">
        <v>0</v>
      </c>
      <c r="M139" s="3" t="s">
        <v>89</v>
      </c>
      <c r="N139" s="3" t="s">
        <v>94</v>
      </c>
      <c r="O139" s="3" t="s">
        <v>100</v>
      </c>
      <c r="P139" s="3" t="s">
        <v>75</v>
      </c>
    </row>
    <row r="140" spans="1:16" x14ac:dyDescent="0.2">
      <c r="A140" s="3">
        <v>139</v>
      </c>
      <c r="B140" s="3">
        <v>18</v>
      </c>
      <c r="C140" s="3" t="s">
        <v>16</v>
      </c>
      <c r="D140" s="3">
        <v>12</v>
      </c>
      <c r="E140" s="3">
        <v>67.959999999999994</v>
      </c>
      <c r="F140" s="3" t="s">
        <v>18</v>
      </c>
      <c r="G140" s="3" t="s">
        <v>24</v>
      </c>
      <c r="H140" s="3">
        <v>3</v>
      </c>
      <c r="I140" s="3">
        <v>26.5</v>
      </c>
      <c r="J140" s="3">
        <v>8</v>
      </c>
      <c r="K140" s="3">
        <v>800.45</v>
      </c>
      <c r="L140" s="3">
        <v>0</v>
      </c>
      <c r="M140" s="3" t="s">
        <v>93</v>
      </c>
      <c r="N140" s="3" t="s">
        <v>96</v>
      </c>
      <c r="O140" s="3" t="s">
        <v>124</v>
      </c>
      <c r="P140" s="3" t="s">
        <v>122</v>
      </c>
    </row>
    <row r="141" spans="1:16" x14ac:dyDescent="0.2">
      <c r="A141" s="3">
        <v>140</v>
      </c>
      <c r="B141" s="3">
        <v>52</v>
      </c>
      <c r="C141" s="3" t="s">
        <v>15</v>
      </c>
      <c r="D141" s="3">
        <v>25</v>
      </c>
      <c r="E141" s="3">
        <v>78.42</v>
      </c>
      <c r="F141" s="3" t="s">
        <v>18</v>
      </c>
      <c r="G141" s="3" t="s">
        <v>22</v>
      </c>
      <c r="H141" s="3">
        <v>1</v>
      </c>
      <c r="I141" s="3">
        <v>85.5</v>
      </c>
      <c r="J141" s="3">
        <v>2</v>
      </c>
      <c r="K141" s="3">
        <v>2088.92</v>
      </c>
      <c r="L141" s="3">
        <v>1</v>
      </c>
      <c r="M141" s="3" t="s">
        <v>89</v>
      </c>
      <c r="N141" s="3" t="s">
        <v>94</v>
      </c>
      <c r="O141" s="3" t="s">
        <v>98</v>
      </c>
      <c r="P141" s="3" t="s">
        <v>75</v>
      </c>
    </row>
    <row r="142" spans="1:16" x14ac:dyDescent="0.2">
      <c r="A142" s="3">
        <v>141</v>
      </c>
      <c r="B142" s="3">
        <v>54</v>
      </c>
      <c r="C142" s="3" t="s">
        <v>16</v>
      </c>
      <c r="D142" s="3">
        <v>52</v>
      </c>
      <c r="E142" s="3">
        <v>93.68</v>
      </c>
      <c r="F142" s="3" t="s">
        <v>20</v>
      </c>
      <c r="G142" s="3" t="s">
        <v>23</v>
      </c>
      <c r="H142" s="3">
        <v>3</v>
      </c>
      <c r="I142" s="3">
        <v>45.7</v>
      </c>
      <c r="J142" s="3">
        <v>7</v>
      </c>
      <c r="K142" s="3">
        <v>5129.08</v>
      </c>
      <c r="L142" s="3">
        <v>0</v>
      </c>
      <c r="M142" s="3" t="s">
        <v>89</v>
      </c>
      <c r="N142" s="3" t="s">
        <v>96</v>
      </c>
      <c r="O142" s="3" t="s">
        <v>124</v>
      </c>
      <c r="P142" s="3" t="s">
        <v>75</v>
      </c>
    </row>
    <row r="143" spans="1:16" x14ac:dyDescent="0.2">
      <c r="A143" s="3">
        <v>142</v>
      </c>
      <c r="B143" s="3">
        <v>64</v>
      </c>
      <c r="C143" s="3" t="s">
        <v>15</v>
      </c>
      <c r="D143" s="3">
        <v>53</v>
      </c>
      <c r="E143" s="3">
        <v>75.77</v>
      </c>
      <c r="F143" s="3" t="s">
        <v>19</v>
      </c>
      <c r="G143" s="3" t="s">
        <v>23</v>
      </c>
      <c r="H143" s="3">
        <v>3</v>
      </c>
      <c r="I143" s="3">
        <v>18.399999999999999</v>
      </c>
      <c r="J143" s="3">
        <v>9</v>
      </c>
      <c r="K143" s="3">
        <v>4074.87</v>
      </c>
      <c r="L143" s="3">
        <v>0</v>
      </c>
      <c r="M143" s="3" t="s">
        <v>89</v>
      </c>
      <c r="N143" s="3" t="s">
        <v>97</v>
      </c>
      <c r="O143" s="3" t="s">
        <v>99</v>
      </c>
      <c r="P143" s="3" t="s">
        <v>75</v>
      </c>
    </row>
    <row r="144" spans="1:16" x14ac:dyDescent="0.2">
      <c r="A144" s="3">
        <v>143</v>
      </c>
      <c r="B144" s="3">
        <v>31</v>
      </c>
      <c r="C144" s="3" t="s">
        <v>16</v>
      </c>
      <c r="D144" s="3">
        <v>23</v>
      </c>
      <c r="E144" s="3">
        <v>78.650000000000006</v>
      </c>
      <c r="F144" s="3" t="s">
        <v>18</v>
      </c>
      <c r="G144" s="3" t="s">
        <v>22</v>
      </c>
      <c r="H144" s="3">
        <v>2</v>
      </c>
      <c r="I144" s="3">
        <v>68.099999999999994</v>
      </c>
      <c r="J144" s="3">
        <v>1</v>
      </c>
      <c r="K144" s="3">
        <v>1973.94</v>
      </c>
      <c r="L144" s="3">
        <v>1</v>
      </c>
      <c r="M144" s="3" t="s">
        <v>91</v>
      </c>
      <c r="N144" s="3" t="s">
        <v>94</v>
      </c>
      <c r="O144" s="3" t="s">
        <v>100</v>
      </c>
      <c r="P144" s="3" t="s">
        <v>75</v>
      </c>
    </row>
    <row r="145" spans="1:16" x14ac:dyDescent="0.2">
      <c r="A145" s="3">
        <v>144</v>
      </c>
      <c r="B145" s="3">
        <v>20</v>
      </c>
      <c r="C145" s="3" t="s">
        <v>15</v>
      </c>
      <c r="D145" s="3">
        <v>16</v>
      </c>
      <c r="E145" s="3">
        <v>76.45</v>
      </c>
      <c r="F145" s="3" t="s">
        <v>18</v>
      </c>
      <c r="G145" s="3" t="s">
        <v>24</v>
      </c>
      <c r="H145" s="3">
        <v>2</v>
      </c>
      <c r="I145" s="3">
        <v>25.5</v>
      </c>
      <c r="J145" s="3">
        <v>8</v>
      </c>
      <c r="K145" s="3">
        <v>1149.92</v>
      </c>
      <c r="L145" s="3">
        <v>0</v>
      </c>
      <c r="M145" s="3" t="s">
        <v>91</v>
      </c>
      <c r="N145" s="3" t="s">
        <v>96</v>
      </c>
      <c r="O145" s="3" t="s">
        <v>99</v>
      </c>
      <c r="P145" s="3" t="s">
        <v>75</v>
      </c>
    </row>
    <row r="146" spans="1:16" x14ac:dyDescent="0.2">
      <c r="A146" s="3">
        <v>145</v>
      </c>
      <c r="B146" s="3">
        <v>18</v>
      </c>
      <c r="C146" s="3" t="s">
        <v>16</v>
      </c>
      <c r="D146" s="3">
        <v>57</v>
      </c>
      <c r="E146" s="3">
        <v>57.88</v>
      </c>
      <c r="F146" s="3" t="s">
        <v>19</v>
      </c>
      <c r="G146" s="3" t="s">
        <v>24</v>
      </c>
      <c r="H146" s="3">
        <v>2</v>
      </c>
      <c r="I146" s="3">
        <v>14.3</v>
      </c>
      <c r="J146" s="3">
        <v>7</v>
      </c>
      <c r="K146" s="3">
        <v>3041.34</v>
      </c>
      <c r="L146" s="3">
        <v>0</v>
      </c>
      <c r="M146" s="3" t="s">
        <v>89</v>
      </c>
      <c r="N146" s="3" t="s">
        <v>96</v>
      </c>
      <c r="O146" s="3" t="s">
        <v>99</v>
      </c>
      <c r="P146" s="3" t="s">
        <v>122</v>
      </c>
    </row>
    <row r="147" spans="1:16" x14ac:dyDescent="0.2">
      <c r="A147" s="3">
        <v>146</v>
      </c>
      <c r="B147" s="3">
        <v>22</v>
      </c>
      <c r="C147" s="3" t="s">
        <v>16</v>
      </c>
      <c r="D147" s="3">
        <v>39</v>
      </c>
      <c r="E147" s="3">
        <v>53.74</v>
      </c>
      <c r="F147" s="3" t="s">
        <v>18</v>
      </c>
      <c r="G147" s="3" t="s">
        <v>23</v>
      </c>
      <c r="H147" s="3">
        <v>2</v>
      </c>
      <c r="I147" s="3">
        <v>86.9</v>
      </c>
      <c r="J147" s="3">
        <v>6</v>
      </c>
      <c r="K147" s="3">
        <v>2244.23</v>
      </c>
      <c r="L147" s="3">
        <v>0</v>
      </c>
      <c r="M147" s="3" t="s">
        <v>89</v>
      </c>
      <c r="N147" s="3" t="s">
        <v>95</v>
      </c>
      <c r="O147" s="3" t="s">
        <v>98</v>
      </c>
      <c r="P147" s="3" t="s">
        <v>122</v>
      </c>
    </row>
    <row r="148" spans="1:16" x14ac:dyDescent="0.2">
      <c r="A148" s="3">
        <v>147</v>
      </c>
      <c r="B148" s="3">
        <v>43</v>
      </c>
      <c r="C148" s="3" t="s">
        <v>15</v>
      </c>
      <c r="D148" s="3">
        <v>53</v>
      </c>
      <c r="E148" s="3">
        <v>109.96</v>
      </c>
      <c r="F148" s="3" t="s">
        <v>20</v>
      </c>
      <c r="G148" s="3" t="s">
        <v>23</v>
      </c>
      <c r="H148" s="3">
        <v>2</v>
      </c>
      <c r="I148" s="3">
        <v>48.7</v>
      </c>
      <c r="J148" s="3">
        <v>6</v>
      </c>
      <c r="K148" s="3">
        <v>5756.95</v>
      </c>
      <c r="L148" s="3">
        <v>0</v>
      </c>
      <c r="M148" s="3" t="s">
        <v>89</v>
      </c>
      <c r="N148" s="3" t="s">
        <v>95</v>
      </c>
      <c r="O148" s="3" t="s">
        <v>124</v>
      </c>
      <c r="P148" s="3" t="s">
        <v>121</v>
      </c>
    </row>
    <row r="149" spans="1:16" x14ac:dyDescent="0.2">
      <c r="A149" s="3">
        <v>148</v>
      </c>
      <c r="B149" s="3">
        <v>31</v>
      </c>
      <c r="C149" s="3" t="s">
        <v>16</v>
      </c>
      <c r="D149" s="3">
        <v>42</v>
      </c>
      <c r="E149" s="3">
        <v>80.760000000000005</v>
      </c>
      <c r="F149" s="3" t="s">
        <v>18</v>
      </c>
      <c r="G149" s="3" t="s">
        <v>24</v>
      </c>
      <c r="H149" s="3">
        <v>1</v>
      </c>
      <c r="I149" s="3">
        <v>76.2</v>
      </c>
      <c r="J149" s="3">
        <v>6</v>
      </c>
      <c r="K149" s="3">
        <v>3627.3</v>
      </c>
      <c r="L149" s="3">
        <v>0</v>
      </c>
      <c r="M149" s="3" t="s">
        <v>89</v>
      </c>
      <c r="N149" s="3" t="s">
        <v>95</v>
      </c>
      <c r="O149" s="3" t="s">
        <v>98</v>
      </c>
      <c r="P149" s="3" t="s">
        <v>75</v>
      </c>
    </row>
    <row r="150" spans="1:16" x14ac:dyDescent="0.2">
      <c r="A150" s="3">
        <v>149</v>
      </c>
      <c r="B150" s="3">
        <v>56</v>
      </c>
      <c r="C150" s="3" t="s">
        <v>15</v>
      </c>
      <c r="D150" s="3">
        <v>58</v>
      </c>
      <c r="E150" s="3">
        <v>44.44</v>
      </c>
      <c r="F150" s="3" t="s">
        <v>20</v>
      </c>
      <c r="G150" s="3" t="s">
        <v>22</v>
      </c>
      <c r="H150" s="3">
        <v>3</v>
      </c>
      <c r="I150" s="3">
        <v>32.6</v>
      </c>
      <c r="J150" s="3">
        <v>9</v>
      </c>
      <c r="K150" s="3">
        <v>2780.16</v>
      </c>
      <c r="L150" s="3">
        <v>1</v>
      </c>
      <c r="M150" s="3" t="s">
        <v>89</v>
      </c>
      <c r="N150" s="3" t="s">
        <v>97</v>
      </c>
      <c r="O150" s="3" t="s">
        <v>124</v>
      </c>
      <c r="P150" s="3" t="s">
        <v>73</v>
      </c>
    </row>
    <row r="151" spans="1:16" x14ac:dyDescent="0.2">
      <c r="A151" s="3">
        <v>150</v>
      </c>
      <c r="B151" s="3">
        <v>44</v>
      </c>
      <c r="C151" s="3" t="s">
        <v>16</v>
      </c>
      <c r="D151" s="3">
        <v>39</v>
      </c>
      <c r="E151" s="3">
        <v>69.819999999999993</v>
      </c>
      <c r="F151" s="3" t="s">
        <v>20</v>
      </c>
      <c r="G151" s="3" t="s">
        <v>23</v>
      </c>
      <c r="H151" s="3">
        <v>2</v>
      </c>
      <c r="I151" s="3">
        <v>79.8</v>
      </c>
      <c r="J151" s="3">
        <v>2</v>
      </c>
      <c r="K151" s="3">
        <v>2484.6999999999998</v>
      </c>
      <c r="L151" s="3">
        <v>1</v>
      </c>
      <c r="M151" s="3" t="s">
        <v>89</v>
      </c>
      <c r="N151" s="3" t="s">
        <v>94</v>
      </c>
      <c r="O151" s="3" t="s">
        <v>98</v>
      </c>
      <c r="P151" s="3" t="s">
        <v>122</v>
      </c>
    </row>
    <row r="152" spans="1:16" x14ac:dyDescent="0.2">
      <c r="A152" s="3">
        <v>151</v>
      </c>
      <c r="B152" s="3">
        <v>26</v>
      </c>
      <c r="C152" s="3" t="s">
        <v>15</v>
      </c>
      <c r="D152" s="3">
        <v>14</v>
      </c>
      <c r="E152" s="3">
        <v>53.03</v>
      </c>
      <c r="F152" s="3" t="s">
        <v>18</v>
      </c>
      <c r="G152" s="3" t="s">
        <v>23</v>
      </c>
      <c r="H152" s="3">
        <v>3</v>
      </c>
      <c r="I152" s="3">
        <v>15.6</v>
      </c>
      <c r="J152" s="3">
        <v>1</v>
      </c>
      <c r="K152" s="3">
        <v>799.36</v>
      </c>
      <c r="L152" s="3">
        <v>1</v>
      </c>
      <c r="M152" s="3" t="s">
        <v>91</v>
      </c>
      <c r="N152" s="3" t="s">
        <v>94</v>
      </c>
      <c r="O152" s="3" t="s">
        <v>99</v>
      </c>
      <c r="P152" s="3" t="s">
        <v>122</v>
      </c>
    </row>
    <row r="153" spans="1:16" x14ac:dyDescent="0.2">
      <c r="A153" s="3">
        <v>152</v>
      </c>
      <c r="B153" s="3">
        <v>32</v>
      </c>
      <c r="C153" s="3" t="s">
        <v>16</v>
      </c>
      <c r="D153" s="3">
        <v>5</v>
      </c>
      <c r="E153" s="3">
        <v>113.37</v>
      </c>
      <c r="F153" s="3" t="s">
        <v>20</v>
      </c>
      <c r="G153" s="3" t="s">
        <v>24</v>
      </c>
      <c r="H153" s="3">
        <v>3</v>
      </c>
      <c r="I153" s="3">
        <v>38.799999999999997</v>
      </c>
      <c r="J153" s="3">
        <v>6</v>
      </c>
      <c r="K153" s="3">
        <v>560.99</v>
      </c>
      <c r="L153" s="3">
        <v>0</v>
      </c>
      <c r="M153" s="3" t="s">
        <v>92</v>
      </c>
      <c r="N153" s="3" t="s">
        <v>95</v>
      </c>
      <c r="O153" s="3" t="s">
        <v>124</v>
      </c>
      <c r="P153" s="3" t="s">
        <v>121</v>
      </c>
    </row>
    <row r="154" spans="1:16" x14ac:dyDescent="0.2">
      <c r="A154" s="3">
        <v>153</v>
      </c>
      <c r="B154" s="3">
        <v>32</v>
      </c>
      <c r="C154" s="3" t="s">
        <v>15</v>
      </c>
      <c r="D154" s="3">
        <v>35</v>
      </c>
      <c r="E154" s="3">
        <v>20.75</v>
      </c>
      <c r="F154" s="3" t="s">
        <v>18</v>
      </c>
      <c r="G154" s="3" t="s">
        <v>22</v>
      </c>
      <c r="H154" s="3">
        <v>3</v>
      </c>
      <c r="I154" s="3">
        <v>97.9</v>
      </c>
      <c r="J154" s="3">
        <v>10</v>
      </c>
      <c r="K154" s="3">
        <v>727.77</v>
      </c>
      <c r="L154" s="3">
        <v>0</v>
      </c>
      <c r="M154" s="3" t="s">
        <v>89</v>
      </c>
      <c r="N154" s="3" t="s">
        <v>97</v>
      </c>
      <c r="O154" s="3" t="s">
        <v>98</v>
      </c>
      <c r="P154" s="3" t="s">
        <v>73</v>
      </c>
    </row>
    <row r="155" spans="1:16" x14ac:dyDescent="0.2">
      <c r="A155" s="3">
        <v>154</v>
      </c>
      <c r="B155" s="3">
        <v>43</v>
      </c>
      <c r="C155" s="3" t="s">
        <v>16</v>
      </c>
      <c r="D155" s="3">
        <v>18</v>
      </c>
      <c r="E155" s="3">
        <v>42.53</v>
      </c>
      <c r="F155" s="3" t="s">
        <v>20</v>
      </c>
      <c r="G155" s="3" t="s">
        <v>24</v>
      </c>
      <c r="H155" s="3">
        <v>0</v>
      </c>
      <c r="I155" s="3">
        <v>80.400000000000006</v>
      </c>
      <c r="J155" s="3">
        <v>8</v>
      </c>
      <c r="K155" s="3">
        <v>784.92</v>
      </c>
      <c r="L155" s="3">
        <v>1</v>
      </c>
      <c r="M155" s="3" t="s">
        <v>91</v>
      </c>
      <c r="N155" s="3" t="s">
        <v>96</v>
      </c>
      <c r="O155" s="3" t="s">
        <v>98</v>
      </c>
      <c r="P155" s="3" t="s">
        <v>73</v>
      </c>
    </row>
    <row r="156" spans="1:16" x14ac:dyDescent="0.2">
      <c r="A156" s="3">
        <v>155</v>
      </c>
      <c r="B156" s="3">
        <v>59</v>
      </c>
      <c r="C156" s="3" t="s">
        <v>15</v>
      </c>
      <c r="D156" s="3">
        <v>9</v>
      </c>
      <c r="E156" s="3">
        <v>56.54</v>
      </c>
      <c r="F156" s="3" t="s">
        <v>19</v>
      </c>
      <c r="G156" s="3" t="s">
        <v>22</v>
      </c>
      <c r="H156" s="3">
        <v>1</v>
      </c>
      <c r="I156" s="3">
        <v>52.2</v>
      </c>
      <c r="J156" s="3">
        <v>3</v>
      </c>
      <c r="K156" s="3">
        <v>552.25</v>
      </c>
      <c r="L156" s="3">
        <v>0</v>
      </c>
      <c r="M156" s="3" t="s">
        <v>93</v>
      </c>
      <c r="N156" s="3" t="s">
        <v>94</v>
      </c>
      <c r="O156" s="3" t="s">
        <v>100</v>
      </c>
      <c r="P156" s="3" t="s">
        <v>122</v>
      </c>
    </row>
    <row r="157" spans="1:16" x14ac:dyDescent="0.2">
      <c r="A157" s="3">
        <v>156</v>
      </c>
      <c r="B157" s="3">
        <v>30</v>
      </c>
      <c r="C157" s="3" t="s">
        <v>16</v>
      </c>
      <c r="D157" s="3">
        <v>58</v>
      </c>
      <c r="E157" s="3">
        <v>68.78</v>
      </c>
      <c r="F157" s="3" t="s">
        <v>20</v>
      </c>
      <c r="G157" s="3" t="s">
        <v>22</v>
      </c>
      <c r="H157" s="3">
        <v>3</v>
      </c>
      <c r="I157" s="3">
        <v>37.299999999999997</v>
      </c>
      <c r="J157" s="3">
        <v>10</v>
      </c>
      <c r="K157" s="3">
        <v>3605.57</v>
      </c>
      <c r="L157" s="3">
        <v>0</v>
      </c>
      <c r="M157" s="3" t="s">
        <v>89</v>
      </c>
      <c r="N157" s="3" t="s">
        <v>97</v>
      </c>
      <c r="O157" s="3" t="s">
        <v>124</v>
      </c>
      <c r="P157" s="3" t="s">
        <v>122</v>
      </c>
    </row>
    <row r="158" spans="1:16" x14ac:dyDescent="0.2">
      <c r="A158" s="3">
        <v>157</v>
      </c>
      <c r="B158" s="3">
        <v>68</v>
      </c>
      <c r="C158" s="3" t="s">
        <v>15</v>
      </c>
      <c r="D158" s="3">
        <v>17</v>
      </c>
      <c r="E158" s="3">
        <v>105.08</v>
      </c>
      <c r="F158" s="3" t="s">
        <v>19</v>
      </c>
      <c r="G158" s="3" t="s">
        <v>22</v>
      </c>
      <c r="H158" s="3">
        <v>0</v>
      </c>
      <c r="I158" s="3">
        <v>87.9</v>
      </c>
      <c r="J158" s="3">
        <v>1</v>
      </c>
      <c r="K158" s="3">
        <v>1778.09</v>
      </c>
      <c r="L158" s="3">
        <v>1</v>
      </c>
      <c r="M158" s="3" t="s">
        <v>91</v>
      </c>
      <c r="N158" s="3" t="s">
        <v>94</v>
      </c>
      <c r="O158" s="3" t="s">
        <v>98</v>
      </c>
      <c r="P158" s="3" t="s">
        <v>121</v>
      </c>
    </row>
    <row r="159" spans="1:16" x14ac:dyDescent="0.2">
      <c r="A159" s="3">
        <v>158</v>
      </c>
      <c r="B159" s="3">
        <v>49</v>
      </c>
      <c r="C159" s="3" t="s">
        <v>15</v>
      </c>
      <c r="D159" s="3">
        <v>7</v>
      </c>
      <c r="E159" s="3">
        <v>28.79</v>
      </c>
      <c r="F159" s="3" t="s">
        <v>18</v>
      </c>
      <c r="G159" s="3" t="s">
        <v>23</v>
      </c>
      <c r="H159" s="3">
        <v>3</v>
      </c>
      <c r="I159" s="3">
        <v>56.8</v>
      </c>
      <c r="J159" s="3">
        <v>9</v>
      </c>
      <c r="K159" s="3">
        <v>209.1</v>
      </c>
      <c r="L159" s="3">
        <v>0</v>
      </c>
      <c r="M159" s="3" t="s">
        <v>93</v>
      </c>
      <c r="N159" s="3" t="s">
        <v>97</v>
      </c>
      <c r="O159" s="3" t="s">
        <v>100</v>
      </c>
      <c r="P159" s="3" t="s">
        <v>73</v>
      </c>
    </row>
    <row r="160" spans="1:16" x14ac:dyDescent="0.2">
      <c r="A160" s="3">
        <v>159</v>
      </c>
      <c r="B160" s="3">
        <v>56</v>
      </c>
      <c r="C160" s="3" t="s">
        <v>15</v>
      </c>
      <c r="D160" s="3">
        <v>46</v>
      </c>
      <c r="E160" s="3">
        <v>100.59</v>
      </c>
      <c r="F160" s="3" t="s">
        <v>20</v>
      </c>
      <c r="G160" s="3" t="s">
        <v>24</v>
      </c>
      <c r="H160" s="3">
        <v>1</v>
      </c>
      <c r="I160" s="3">
        <v>77.099999999999994</v>
      </c>
      <c r="J160" s="3">
        <v>1</v>
      </c>
      <c r="K160" s="3">
        <v>4833.24</v>
      </c>
      <c r="L160" s="3">
        <v>0</v>
      </c>
      <c r="M160" s="3" t="s">
        <v>89</v>
      </c>
      <c r="N160" s="3" t="s">
        <v>94</v>
      </c>
      <c r="O160" s="3" t="s">
        <v>98</v>
      </c>
      <c r="P160" s="3" t="s">
        <v>121</v>
      </c>
    </row>
    <row r="161" spans="1:16" x14ac:dyDescent="0.2">
      <c r="A161" s="3">
        <v>160</v>
      </c>
      <c r="B161" s="3">
        <v>66</v>
      </c>
      <c r="C161" s="3" t="s">
        <v>16</v>
      </c>
      <c r="D161" s="3">
        <v>13</v>
      </c>
      <c r="E161" s="3">
        <v>25.57</v>
      </c>
      <c r="F161" s="3" t="s">
        <v>20</v>
      </c>
      <c r="G161" s="3" t="s">
        <v>24</v>
      </c>
      <c r="H161" s="3">
        <v>0</v>
      </c>
      <c r="I161" s="3">
        <v>76.599999999999994</v>
      </c>
      <c r="J161" s="3">
        <v>3</v>
      </c>
      <c r="K161" s="3">
        <v>345.21</v>
      </c>
      <c r="L161" s="3">
        <v>1</v>
      </c>
      <c r="M161" s="3" t="s">
        <v>91</v>
      </c>
      <c r="N161" s="3" t="s">
        <v>94</v>
      </c>
      <c r="O161" s="3" t="s">
        <v>98</v>
      </c>
      <c r="P161" s="3" t="s">
        <v>73</v>
      </c>
    </row>
    <row r="162" spans="1:16" x14ac:dyDescent="0.2">
      <c r="A162" s="3">
        <v>161</v>
      </c>
      <c r="B162" s="3">
        <v>69</v>
      </c>
      <c r="C162" s="3" t="s">
        <v>15</v>
      </c>
      <c r="D162" s="3">
        <v>40</v>
      </c>
      <c r="E162" s="3">
        <v>104.23</v>
      </c>
      <c r="F162" s="3" t="s">
        <v>19</v>
      </c>
      <c r="G162" s="3" t="s">
        <v>22</v>
      </c>
      <c r="H162" s="3">
        <v>0</v>
      </c>
      <c r="I162" s="3">
        <v>6.7</v>
      </c>
      <c r="J162" s="3">
        <v>8</v>
      </c>
      <c r="K162" s="3">
        <v>3864.38</v>
      </c>
      <c r="L162" s="3">
        <v>0</v>
      </c>
      <c r="M162" s="3" t="s">
        <v>89</v>
      </c>
      <c r="N162" s="3" t="s">
        <v>96</v>
      </c>
      <c r="O162" s="3" t="s">
        <v>99</v>
      </c>
      <c r="P162" s="3" t="s">
        <v>121</v>
      </c>
    </row>
    <row r="163" spans="1:16" x14ac:dyDescent="0.2">
      <c r="A163" s="3">
        <v>162</v>
      </c>
      <c r="B163" s="3">
        <v>49</v>
      </c>
      <c r="C163" s="3" t="s">
        <v>16</v>
      </c>
      <c r="D163" s="3">
        <v>42</v>
      </c>
      <c r="E163" s="3">
        <v>25.16</v>
      </c>
      <c r="F163" s="3" t="s">
        <v>20</v>
      </c>
      <c r="G163" s="3" t="s">
        <v>23</v>
      </c>
      <c r="H163" s="3">
        <v>1</v>
      </c>
      <c r="I163" s="3">
        <v>17</v>
      </c>
      <c r="J163" s="3">
        <v>3</v>
      </c>
      <c r="K163" s="3">
        <v>1014.32</v>
      </c>
      <c r="L163" s="3">
        <v>0</v>
      </c>
      <c r="M163" s="3" t="s">
        <v>89</v>
      </c>
      <c r="N163" s="3" t="s">
        <v>94</v>
      </c>
      <c r="O163" s="3" t="s">
        <v>99</v>
      </c>
      <c r="P163" s="3" t="s">
        <v>73</v>
      </c>
    </row>
    <row r="164" spans="1:16" x14ac:dyDescent="0.2">
      <c r="A164" s="3">
        <v>163</v>
      </c>
      <c r="B164" s="3">
        <v>21</v>
      </c>
      <c r="C164" s="3" t="s">
        <v>15</v>
      </c>
      <c r="D164" s="3">
        <v>9</v>
      </c>
      <c r="E164" s="3">
        <v>21.82</v>
      </c>
      <c r="F164" s="3" t="s">
        <v>20</v>
      </c>
      <c r="G164" s="3" t="s">
        <v>23</v>
      </c>
      <c r="H164" s="3">
        <v>1</v>
      </c>
      <c r="I164" s="3">
        <v>67.7</v>
      </c>
      <c r="J164" s="3">
        <v>4</v>
      </c>
      <c r="K164" s="3">
        <v>190.83</v>
      </c>
      <c r="L164" s="3">
        <v>1</v>
      </c>
      <c r="M164" s="3" t="s">
        <v>93</v>
      </c>
      <c r="N164" s="3" t="s">
        <v>94</v>
      </c>
      <c r="O164" s="3" t="s">
        <v>100</v>
      </c>
      <c r="P164" s="3" t="s">
        <v>73</v>
      </c>
    </row>
    <row r="165" spans="1:16" x14ac:dyDescent="0.2">
      <c r="A165" s="3">
        <v>164</v>
      </c>
      <c r="B165" s="3">
        <v>47</v>
      </c>
      <c r="C165" s="3" t="s">
        <v>16</v>
      </c>
      <c r="D165" s="3">
        <v>50</v>
      </c>
      <c r="E165" s="3">
        <v>89.7</v>
      </c>
      <c r="F165" s="3" t="s">
        <v>20</v>
      </c>
      <c r="G165" s="3" t="s">
        <v>24</v>
      </c>
      <c r="H165" s="3">
        <v>1</v>
      </c>
      <c r="I165" s="3">
        <v>20.399999999999999</v>
      </c>
      <c r="J165" s="3">
        <v>8</v>
      </c>
      <c r="K165" s="3">
        <v>4758.08</v>
      </c>
      <c r="L165" s="3">
        <v>0</v>
      </c>
      <c r="M165" s="3" t="s">
        <v>89</v>
      </c>
      <c r="N165" s="3" t="s">
        <v>96</v>
      </c>
      <c r="O165" s="3" t="s">
        <v>99</v>
      </c>
      <c r="P165" s="3" t="s">
        <v>75</v>
      </c>
    </row>
    <row r="166" spans="1:16" x14ac:dyDescent="0.2">
      <c r="A166" s="3">
        <v>165</v>
      </c>
      <c r="B166" s="3">
        <v>54</v>
      </c>
      <c r="C166" s="3" t="s">
        <v>15</v>
      </c>
      <c r="D166" s="3">
        <v>27</v>
      </c>
      <c r="E166" s="3">
        <v>119.73</v>
      </c>
      <c r="F166" s="3" t="s">
        <v>20</v>
      </c>
      <c r="G166" s="3" t="s">
        <v>23</v>
      </c>
      <c r="H166" s="3">
        <v>4</v>
      </c>
      <c r="I166" s="3">
        <v>29.3</v>
      </c>
      <c r="J166" s="3">
        <v>1</v>
      </c>
      <c r="K166" s="3">
        <v>3089.67</v>
      </c>
      <c r="L166" s="3">
        <v>1</v>
      </c>
      <c r="M166" s="3" t="s">
        <v>89</v>
      </c>
      <c r="N166" s="3" t="s">
        <v>94</v>
      </c>
      <c r="O166" s="3" t="s">
        <v>124</v>
      </c>
      <c r="P166" s="3" t="s">
        <v>121</v>
      </c>
    </row>
    <row r="167" spans="1:16" x14ac:dyDescent="0.2">
      <c r="A167" s="3">
        <v>166</v>
      </c>
      <c r="B167" s="3">
        <v>40</v>
      </c>
      <c r="C167" s="3" t="s">
        <v>16</v>
      </c>
      <c r="D167" s="3">
        <v>66</v>
      </c>
      <c r="E167" s="3">
        <v>109.66</v>
      </c>
      <c r="F167" s="3" t="s">
        <v>18</v>
      </c>
      <c r="G167" s="3" t="s">
        <v>23</v>
      </c>
      <c r="H167" s="3">
        <v>3</v>
      </c>
      <c r="I167" s="3">
        <v>94.9</v>
      </c>
      <c r="J167" s="3">
        <v>6</v>
      </c>
      <c r="K167" s="3">
        <v>6818.8</v>
      </c>
      <c r="L167" s="3">
        <v>1</v>
      </c>
      <c r="M167" s="3" t="s">
        <v>89</v>
      </c>
      <c r="N167" s="3" t="s">
        <v>95</v>
      </c>
      <c r="O167" s="3" t="s">
        <v>98</v>
      </c>
      <c r="P167" s="3" t="s">
        <v>121</v>
      </c>
    </row>
    <row r="168" spans="1:16" x14ac:dyDescent="0.2">
      <c r="A168" s="3">
        <v>167</v>
      </c>
      <c r="B168" s="3">
        <v>56</v>
      </c>
      <c r="C168" s="3" t="s">
        <v>16</v>
      </c>
      <c r="D168" s="3">
        <v>5</v>
      </c>
      <c r="E168" s="3">
        <v>77.599999999999994</v>
      </c>
      <c r="F168" s="3" t="s">
        <v>18</v>
      </c>
      <c r="G168" s="3" t="s">
        <v>22</v>
      </c>
      <c r="H168" s="3">
        <v>2</v>
      </c>
      <c r="I168" s="3">
        <v>58.2</v>
      </c>
      <c r="J168" s="3">
        <v>1</v>
      </c>
      <c r="K168" s="3">
        <v>423.5</v>
      </c>
      <c r="L168" s="3">
        <v>1</v>
      </c>
      <c r="M168" s="3" t="s">
        <v>92</v>
      </c>
      <c r="N168" s="3" t="s">
        <v>94</v>
      </c>
      <c r="O168" s="3" t="s">
        <v>100</v>
      </c>
      <c r="P168" s="3" t="s">
        <v>75</v>
      </c>
    </row>
    <row r="169" spans="1:16" x14ac:dyDescent="0.2">
      <c r="A169" s="3">
        <v>168</v>
      </c>
      <c r="B169" s="3">
        <v>62</v>
      </c>
      <c r="C169" s="3" t="s">
        <v>15</v>
      </c>
      <c r="D169" s="3">
        <v>29</v>
      </c>
      <c r="E169" s="3">
        <v>111.74</v>
      </c>
      <c r="F169" s="3" t="s">
        <v>20</v>
      </c>
      <c r="G169" s="3" t="s">
        <v>23</v>
      </c>
      <c r="H169" s="3">
        <v>4</v>
      </c>
      <c r="I169" s="3">
        <v>76.3</v>
      </c>
      <c r="J169" s="3">
        <v>1</v>
      </c>
      <c r="K169" s="3">
        <v>2922.16</v>
      </c>
      <c r="L169" s="3">
        <v>1</v>
      </c>
      <c r="M169" s="3" t="s">
        <v>89</v>
      </c>
      <c r="N169" s="3" t="s">
        <v>94</v>
      </c>
      <c r="O169" s="3" t="s">
        <v>98</v>
      </c>
      <c r="P169" s="3" t="s">
        <v>121</v>
      </c>
    </row>
    <row r="170" spans="1:16" x14ac:dyDescent="0.2">
      <c r="A170" s="3">
        <v>169</v>
      </c>
      <c r="B170" s="3">
        <v>32</v>
      </c>
      <c r="C170" s="3" t="s">
        <v>16</v>
      </c>
      <c r="D170" s="3">
        <v>37</v>
      </c>
      <c r="E170" s="3">
        <v>20.53</v>
      </c>
      <c r="F170" s="3" t="s">
        <v>20</v>
      </c>
      <c r="G170" s="3" t="s">
        <v>22</v>
      </c>
      <c r="H170" s="3">
        <v>2</v>
      </c>
      <c r="I170" s="3">
        <v>58</v>
      </c>
      <c r="J170" s="3">
        <v>8</v>
      </c>
      <c r="K170" s="3">
        <v>835.24</v>
      </c>
      <c r="L170" s="3">
        <v>1</v>
      </c>
      <c r="M170" s="3" t="s">
        <v>89</v>
      </c>
      <c r="N170" s="3" t="s">
        <v>96</v>
      </c>
      <c r="O170" s="3" t="s">
        <v>100</v>
      </c>
      <c r="P170" s="3" t="s">
        <v>73</v>
      </c>
    </row>
    <row r="171" spans="1:16" x14ac:dyDescent="0.2">
      <c r="A171" s="3">
        <v>170</v>
      </c>
      <c r="B171" s="3">
        <v>60</v>
      </c>
      <c r="C171" s="3" t="s">
        <v>16</v>
      </c>
      <c r="D171" s="3">
        <v>38</v>
      </c>
      <c r="E171" s="3">
        <v>117.51</v>
      </c>
      <c r="F171" s="3" t="s">
        <v>18</v>
      </c>
      <c r="G171" s="3" t="s">
        <v>24</v>
      </c>
      <c r="H171" s="3">
        <v>0</v>
      </c>
      <c r="I171" s="3">
        <v>57.5</v>
      </c>
      <c r="J171" s="3">
        <v>4</v>
      </c>
      <c r="K171" s="3">
        <v>4623.29</v>
      </c>
      <c r="L171" s="3">
        <v>1</v>
      </c>
      <c r="M171" s="3" t="s">
        <v>89</v>
      </c>
      <c r="N171" s="3" t="s">
        <v>94</v>
      </c>
      <c r="O171" s="3" t="s">
        <v>100</v>
      </c>
      <c r="P171" s="3" t="s">
        <v>121</v>
      </c>
    </row>
    <row r="172" spans="1:16" x14ac:dyDescent="0.2">
      <c r="A172" s="3">
        <v>171</v>
      </c>
      <c r="B172" s="3">
        <v>46</v>
      </c>
      <c r="C172" s="3" t="s">
        <v>15</v>
      </c>
      <c r="D172" s="3">
        <v>8</v>
      </c>
      <c r="E172" s="3">
        <v>69.069999999999993</v>
      </c>
      <c r="F172" s="3" t="s">
        <v>20</v>
      </c>
      <c r="G172" s="3" t="s">
        <v>23</v>
      </c>
      <c r="H172" s="3">
        <v>1</v>
      </c>
      <c r="I172" s="3">
        <v>13.9</v>
      </c>
      <c r="J172" s="3">
        <v>1</v>
      </c>
      <c r="K172" s="3">
        <v>588.86</v>
      </c>
      <c r="L172" s="3">
        <v>0</v>
      </c>
      <c r="M172" s="3" t="s">
        <v>93</v>
      </c>
      <c r="N172" s="3" t="s">
        <v>94</v>
      </c>
      <c r="O172" s="3" t="s">
        <v>99</v>
      </c>
      <c r="P172" s="3" t="s">
        <v>122</v>
      </c>
    </row>
    <row r="173" spans="1:16" x14ac:dyDescent="0.2">
      <c r="A173" s="3">
        <v>172</v>
      </c>
      <c r="B173" s="3">
        <v>53</v>
      </c>
      <c r="C173" s="3" t="s">
        <v>16</v>
      </c>
      <c r="D173" s="3">
        <v>65</v>
      </c>
      <c r="E173" s="3">
        <v>92.29</v>
      </c>
      <c r="F173" s="3" t="s">
        <v>20</v>
      </c>
      <c r="G173" s="3" t="s">
        <v>24</v>
      </c>
      <c r="H173" s="3">
        <v>5</v>
      </c>
      <c r="I173" s="3">
        <v>37.6</v>
      </c>
      <c r="J173" s="3">
        <v>10</v>
      </c>
      <c r="K173" s="3">
        <v>5752.44</v>
      </c>
      <c r="L173" s="3">
        <v>0</v>
      </c>
      <c r="M173" s="3" t="s">
        <v>89</v>
      </c>
      <c r="N173" s="3" t="s">
        <v>97</v>
      </c>
      <c r="O173" s="3" t="s">
        <v>124</v>
      </c>
      <c r="P173" s="3" t="s">
        <v>75</v>
      </c>
    </row>
    <row r="174" spans="1:16" x14ac:dyDescent="0.2">
      <c r="A174" s="3">
        <v>173</v>
      </c>
      <c r="B174" s="3">
        <v>30</v>
      </c>
      <c r="C174" s="3" t="s">
        <v>16</v>
      </c>
      <c r="D174" s="3">
        <v>17</v>
      </c>
      <c r="E174" s="3">
        <v>102.09</v>
      </c>
      <c r="F174" s="3" t="s">
        <v>19</v>
      </c>
      <c r="G174" s="3" t="s">
        <v>24</v>
      </c>
      <c r="H174" s="3">
        <v>1</v>
      </c>
      <c r="I174" s="3">
        <v>31.8</v>
      </c>
      <c r="J174" s="3">
        <v>7</v>
      </c>
      <c r="K174" s="3">
        <v>1566.95</v>
      </c>
      <c r="L174" s="3">
        <v>0</v>
      </c>
      <c r="M174" s="3" t="s">
        <v>91</v>
      </c>
      <c r="N174" s="3" t="s">
        <v>96</v>
      </c>
      <c r="O174" s="3" t="s">
        <v>124</v>
      </c>
      <c r="P174" s="3" t="s">
        <v>121</v>
      </c>
    </row>
    <row r="175" spans="1:16" x14ac:dyDescent="0.2">
      <c r="A175" s="3">
        <v>174</v>
      </c>
      <c r="B175" s="3">
        <v>49</v>
      </c>
      <c r="C175" s="3" t="s">
        <v>16</v>
      </c>
      <c r="D175" s="3">
        <v>71</v>
      </c>
      <c r="E175" s="3">
        <v>91.85</v>
      </c>
      <c r="F175" s="3" t="s">
        <v>18</v>
      </c>
      <c r="G175" s="3" t="s">
        <v>23</v>
      </c>
      <c r="H175" s="3">
        <v>5</v>
      </c>
      <c r="I175" s="3">
        <v>42.1</v>
      </c>
      <c r="J175" s="3">
        <v>5</v>
      </c>
      <c r="K175" s="3">
        <v>6831.6</v>
      </c>
      <c r="L175" s="3">
        <v>0</v>
      </c>
      <c r="M175" s="3" t="s">
        <v>89</v>
      </c>
      <c r="N175" s="3" t="s">
        <v>95</v>
      </c>
      <c r="O175" s="3" t="s">
        <v>124</v>
      </c>
      <c r="P175" s="3" t="s">
        <v>75</v>
      </c>
    </row>
    <row r="176" spans="1:16" x14ac:dyDescent="0.2">
      <c r="A176" s="3">
        <v>175</v>
      </c>
      <c r="B176" s="3">
        <v>24</v>
      </c>
      <c r="C176" s="3" t="s">
        <v>15</v>
      </c>
      <c r="D176" s="3">
        <v>45</v>
      </c>
      <c r="E176" s="3">
        <v>73.5</v>
      </c>
      <c r="F176" s="3" t="s">
        <v>18</v>
      </c>
      <c r="G176" s="3" t="s">
        <v>23</v>
      </c>
      <c r="H176" s="3">
        <v>0</v>
      </c>
      <c r="I176" s="3">
        <v>80.8</v>
      </c>
      <c r="J176" s="3">
        <v>5</v>
      </c>
      <c r="K176" s="3">
        <v>3528.54</v>
      </c>
      <c r="L176" s="3">
        <v>0</v>
      </c>
      <c r="M176" s="3" t="s">
        <v>89</v>
      </c>
      <c r="N176" s="3" t="s">
        <v>95</v>
      </c>
      <c r="O176" s="3" t="s">
        <v>98</v>
      </c>
      <c r="P176" s="3" t="s">
        <v>122</v>
      </c>
    </row>
    <row r="177" spans="1:16" x14ac:dyDescent="0.2">
      <c r="A177" s="3">
        <v>176</v>
      </c>
      <c r="B177" s="3">
        <v>68</v>
      </c>
      <c r="C177" s="3" t="s">
        <v>16</v>
      </c>
      <c r="D177" s="3">
        <v>4</v>
      </c>
      <c r="E177" s="3">
        <v>67.66</v>
      </c>
      <c r="F177" s="3" t="s">
        <v>18</v>
      </c>
      <c r="G177" s="3" t="s">
        <v>24</v>
      </c>
      <c r="H177" s="3">
        <v>2</v>
      </c>
      <c r="I177" s="3">
        <v>40.299999999999997</v>
      </c>
      <c r="J177" s="3">
        <v>1</v>
      </c>
      <c r="K177" s="3">
        <v>283.66000000000003</v>
      </c>
      <c r="L177" s="3">
        <v>0</v>
      </c>
      <c r="M177" s="3" t="s">
        <v>92</v>
      </c>
      <c r="N177" s="3" t="s">
        <v>94</v>
      </c>
      <c r="O177" s="3" t="s">
        <v>124</v>
      </c>
      <c r="P177" s="3" t="s">
        <v>122</v>
      </c>
    </row>
    <row r="178" spans="1:16" x14ac:dyDescent="0.2">
      <c r="A178" s="3">
        <v>177</v>
      </c>
      <c r="B178" s="3">
        <v>39</v>
      </c>
      <c r="C178" s="3" t="s">
        <v>15</v>
      </c>
      <c r="D178" s="3">
        <v>36</v>
      </c>
      <c r="E178" s="3">
        <v>103.86</v>
      </c>
      <c r="F178" s="3" t="s">
        <v>20</v>
      </c>
      <c r="G178" s="3" t="s">
        <v>23</v>
      </c>
      <c r="H178" s="3">
        <v>0</v>
      </c>
      <c r="I178" s="3">
        <v>47.9</v>
      </c>
      <c r="J178" s="3">
        <v>10</v>
      </c>
      <c r="K178" s="3">
        <v>3471.89</v>
      </c>
      <c r="L178" s="3">
        <v>1</v>
      </c>
      <c r="M178" s="3" t="s">
        <v>89</v>
      </c>
      <c r="N178" s="3" t="s">
        <v>97</v>
      </c>
      <c r="O178" s="3" t="s">
        <v>124</v>
      </c>
      <c r="P178" s="3" t="s">
        <v>121</v>
      </c>
    </row>
    <row r="179" spans="1:16" x14ac:dyDescent="0.2">
      <c r="A179" s="3">
        <v>178</v>
      </c>
      <c r="B179" s="3">
        <v>45</v>
      </c>
      <c r="C179" s="3" t="s">
        <v>16</v>
      </c>
      <c r="D179" s="3">
        <v>70</v>
      </c>
      <c r="E179" s="3">
        <v>40.51</v>
      </c>
      <c r="F179" s="3" t="s">
        <v>18</v>
      </c>
      <c r="G179" s="3" t="s">
        <v>22</v>
      </c>
      <c r="H179" s="3">
        <v>1</v>
      </c>
      <c r="I179" s="3">
        <v>42.8</v>
      </c>
      <c r="J179" s="3">
        <v>6</v>
      </c>
      <c r="K179" s="3">
        <v>2979.43</v>
      </c>
      <c r="L179" s="3">
        <v>0</v>
      </c>
      <c r="M179" s="3" t="s">
        <v>89</v>
      </c>
      <c r="N179" s="3" t="s">
        <v>95</v>
      </c>
      <c r="O179" s="3" t="s">
        <v>124</v>
      </c>
      <c r="P179" s="3" t="s">
        <v>73</v>
      </c>
    </row>
    <row r="180" spans="1:16" x14ac:dyDescent="0.2">
      <c r="A180" s="3">
        <v>179</v>
      </c>
      <c r="B180" s="3">
        <v>19</v>
      </c>
      <c r="C180" s="3" t="s">
        <v>16</v>
      </c>
      <c r="D180" s="3">
        <v>31</v>
      </c>
      <c r="E180" s="3">
        <v>116.8</v>
      </c>
      <c r="F180" s="3" t="s">
        <v>20</v>
      </c>
      <c r="G180" s="3" t="s">
        <v>22</v>
      </c>
      <c r="H180" s="3">
        <v>4</v>
      </c>
      <c r="I180" s="3">
        <v>13.9</v>
      </c>
      <c r="J180" s="3">
        <v>9</v>
      </c>
      <c r="K180" s="3">
        <v>3815.54</v>
      </c>
      <c r="L180" s="3">
        <v>0</v>
      </c>
      <c r="M180" s="3" t="s">
        <v>89</v>
      </c>
      <c r="N180" s="3" t="s">
        <v>97</v>
      </c>
      <c r="O180" s="3" t="s">
        <v>99</v>
      </c>
      <c r="P180" s="3" t="s">
        <v>121</v>
      </c>
    </row>
    <row r="181" spans="1:16" x14ac:dyDescent="0.2">
      <c r="A181" s="3">
        <v>180</v>
      </c>
      <c r="B181" s="3">
        <v>59</v>
      </c>
      <c r="C181" s="3" t="s">
        <v>16</v>
      </c>
      <c r="D181" s="3">
        <v>19</v>
      </c>
      <c r="E181" s="3">
        <v>91.1</v>
      </c>
      <c r="F181" s="3" t="s">
        <v>20</v>
      </c>
      <c r="G181" s="3" t="s">
        <v>23</v>
      </c>
      <c r="H181" s="3">
        <v>0</v>
      </c>
      <c r="I181" s="3">
        <v>46.9</v>
      </c>
      <c r="J181" s="3">
        <v>9</v>
      </c>
      <c r="K181" s="3">
        <v>1785.78</v>
      </c>
      <c r="L181" s="3">
        <v>0</v>
      </c>
      <c r="M181" s="3" t="s">
        <v>91</v>
      </c>
      <c r="N181" s="3" t="s">
        <v>97</v>
      </c>
      <c r="O181" s="3" t="s">
        <v>124</v>
      </c>
      <c r="P181" s="3" t="s">
        <v>75</v>
      </c>
    </row>
    <row r="182" spans="1:16" x14ac:dyDescent="0.2">
      <c r="A182" s="3">
        <v>181</v>
      </c>
      <c r="B182" s="3">
        <v>62</v>
      </c>
      <c r="C182" s="3" t="s">
        <v>15</v>
      </c>
      <c r="D182" s="3">
        <v>61</v>
      </c>
      <c r="E182" s="3">
        <v>39.950000000000003</v>
      </c>
      <c r="F182" s="3" t="s">
        <v>20</v>
      </c>
      <c r="G182" s="3" t="s">
        <v>24</v>
      </c>
      <c r="H182" s="3">
        <v>0</v>
      </c>
      <c r="I182" s="3">
        <v>23.6</v>
      </c>
      <c r="J182" s="3">
        <v>8</v>
      </c>
      <c r="K182" s="3">
        <v>2566.65</v>
      </c>
      <c r="L182" s="3">
        <v>0</v>
      </c>
      <c r="M182" s="3" t="s">
        <v>89</v>
      </c>
      <c r="N182" s="3" t="s">
        <v>96</v>
      </c>
      <c r="O182" s="3" t="s">
        <v>99</v>
      </c>
      <c r="P182" s="3" t="s">
        <v>73</v>
      </c>
    </row>
    <row r="183" spans="1:16" x14ac:dyDescent="0.2">
      <c r="A183" s="3">
        <v>182</v>
      </c>
      <c r="B183" s="3">
        <v>23</v>
      </c>
      <c r="C183" s="3" t="s">
        <v>16</v>
      </c>
      <c r="D183" s="3">
        <v>54</v>
      </c>
      <c r="E183" s="3">
        <v>93.62</v>
      </c>
      <c r="F183" s="3" t="s">
        <v>20</v>
      </c>
      <c r="G183" s="3" t="s">
        <v>23</v>
      </c>
      <c r="H183" s="3">
        <v>2</v>
      </c>
      <c r="I183" s="3">
        <v>22.7</v>
      </c>
      <c r="J183" s="3">
        <v>5</v>
      </c>
      <c r="K183" s="3">
        <v>5405.24</v>
      </c>
      <c r="L183" s="3">
        <v>0</v>
      </c>
      <c r="M183" s="3" t="s">
        <v>89</v>
      </c>
      <c r="N183" s="3" t="s">
        <v>95</v>
      </c>
      <c r="O183" s="3" t="s">
        <v>99</v>
      </c>
      <c r="P183" s="3" t="s">
        <v>75</v>
      </c>
    </row>
    <row r="184" spans="1:16" x14ac:dyDescent="0.2">
      <c r="A184" s="3">
        <v>183</v>
      </c>
      <c r="B184" s="3">
        <v>45</v>
      </c>
      <c r="C184" s="3" t="s">
        <v>16</v>
      </c>
      <c r="D184" s="3">
        <v>39</v>
      </c>
      <c r="E184" s="3">
        <v>72.98</v>
      </c>
      <c r="F184" s="3" t="s">
        <v>18</v>
      </c>
      <c r="G184" s="3" t="s">
        <v>23</v>
      </c>
      <c r="H184" s="3">
        <v>1</v>
      </c>
      <c r="I184" s="3">
        <v>13.9</v>
      </c>
      <c r="J184" s="3">
        <v>1</v>
      </c>
      <c r="K184" s="3">
        <v>2910.89</v>
      </c>
      <c r="L184" s="3">
        <v>1</v>
      </c>
      <c r="M184" s="3" t="s">
        <v>89</v>
      </c>
      <c r="N184" s="3" t="s">
        <v>94</v>
      </c>
      <c r="O184" s="3" t="s">
        <v>99</v>
      </c>
      <c r="P184" s="3" t="s">
        <v>122</v>
      </c>
    </row>
    <row r="185" spans="1:16" x14ac:dyDescent="0.2">
      <c r="A185" s="3">
        <v>184</v>
      </c>
      <c r="B185" s="3">
        <v>45</v>
      </c>
      <c r="C185" s="3" t="s">
        <v>15</v>
      </c>
      <c r="D185" s="3">
        <v>19</v>
      </c>
      <c r="E185" s="3">
        <v>90.72</v>
      </c>
      <c r="F185" s="3" t="s">
        <v>20</v>
      </c>
      <c r="G185" s="3" t="s">
        <v>24</v>
      </c>
      <c r="H185" s="3">
        <v>1</v>
      </c>
      <c r="I185" s="3">
        <v>38.9</v>
      </c>
      <c r="J185" s="3">
        <v>9</v>
      </c>
      <c r="K185" s="3">
        <v>1581.86</v>
      </c>
      <c r="L185" s="3">
        <v>1</v>
      </c>
      <c r="M185" s="3" t="s">
        <v>91</v>
      </c>
      <c r="N185" s="3" t="s">
        <v>97</v>
      </c>
      <c r="O185" s="3" t="s">
        <v>124</v>
      </c>
      <c r="P185" s="3" t="s">
        <v>75</v>
      </c>
    </row>
    <row r="186" spans="1:16" x14ac:dyDescent="0.2">
      <c r="A186" s="3">
        <v>185</v>
      </c>
      <c r="B186" s="3">
        <v>61</v>
      </c>
      <c r="C186" s="3" t="s">
        <v>16</v>
      </c>
      <c r="D186" s="3">
        <v>39</v>
      </c>
      <c r="E186" s="3">
        <v>96.78</v>
      </c>
      <c r="F186" s="3" t="s">
        <v>20</v>
      </c>
      <c r="G186" s="3" t="s">
        <v>24</v>
      </c>
      <c r="H186" s="3">
        <v>3</v>
      </c>
      <c r="I186" s="3">
        <v>77</v>
      </c>
      <c r="J186" s="3">
        <v>1</v>
      </c>
      <c r="K186" s="3">
        <v>3765.08</v>
      </c>
      <c r="L186" s="3">
        <v>1</v>
      </c>
      <c r="M186" s="3" t="s">
        <v>89</v>
      </c>
      <c r="N186" s="3" t="s">
        <v>94</v>
      </c>
      <c r="O186" s="3" t="s">
        <v>98</v>
      </c>
      <c r="P186" s="3" t="s">
        <v>121</v>
      </c>
    </row>
    <row r="187" spans="1:16" x14ac:dyDescent="0.2">
      <c r="A187" s="3">
        <v>186</v>
      </c>
      <c r="B187" s="3">
        <v>61</v>
      </c>
      <c r="C187" s="3" t="s">
        <v>15</v>
      </c>
      <c r="D187" s="3">
        <v>67</v>
      </c>
      <c r="E187" s="3">
        <v>28.73</v>
      </c>
      <c r="F187" s="3" t="s">
        <v>20</v>
      </c>
      <c r="G187" s="3" t="s">
        <v>22</v>
      </c>
      <c r="H187" s="3">
        <v>1</v>
      </c>
      <c r="I187" s="3">
        <v>31.3</v>
      </c>
      <c r="J187" s="3">
        <v>8</v>
      </c>
      <c r="K187" s="3">
        <v>1762.31</v>
      </c>
      <c r="L187" s="3">
        <v>1</v>
      </c>
      <c r="M187" s="3" t="s">
        <v>89</v>
      </c>
      <c r="N187" s="3" t="s">
        <v>96</v>
      </c>
      <c r="O187" s="3" t="s">
        <v>124</v>
      </c>
      <c r="P187" s="3" t="s">
        <v>73</v>
      </c>
    </row>
    <row r="188" spans="1:16" x14ac:dyDescent="0.2">
      <c r="A188" s="3">
        <v>187</v>
      </c>
      <c r="B188" s="3">
        <v>37</v>
      </c>
      <c r="C188" s="3" t="s">
        <v>15</v>
      </c>
      <c r="D188" s="3">
        <v>45</v>
      </c>
      <c r="E188" s="3">
        <v>70.61</v>
      </c>
      <c r="F188" s="3" t="s">
        <v>20</v>
      </c>
      <c r="G188" s="3" t="s">
        <v>24</v>
      </c>
      <c r="H188" s="3">
        <v>2</v>
      </c>
      <c r="I188" s="3">
        <v>34.700000000000003</v>
      </c>
      <c r="J188" s="3">
        <v>5</v>
      </c>
      <c r="K188" s="3">
        <v>3118.69</v>
      </c>
      <c r="L188" s="3">
        <v>0</v>
      </c>
      <c r="M188" s="3" t="s">
        <v>89</v>
      </c>
      <c r="N188" s="3" t="s">
        <v>95</v>
      </c>
      <c r="O188" s="3" t="s">
        <v>124</v>
      </c>
      <c r="P188" s="3" t="s">
        <v>122</v>
      </c>
    </row>
    <row r="189" spans="1:16" x14ac:dyDescent="0.2">
      <c r="A189" s="3">
        <v>188</v>
      </c>
      <c r="B189" s="3">
        <v>47</v>
      </c>
      <c r="C189" s="3" t="s">
        <v>16</v>
      </c>
      <c r="D189" s="3">
        <v>13</v>
      </c>
      <c r="E189" s="3">
        <v>113.2</v>
      </c>
      <c r="F189" s="3" t="s">
        <v>18</v>
      </c>
      <c r="G189" s="3" t="s">
        <v>22</v>
      </c>
      <c r="H189" s="3">
        <v>3</v>
      </c>
      <c r="I189" s="3">
        <v>66.099999999999994</v>
      </c>
      <c r="J189" s="3">
        <v>3</v>
      </c>
      <c r="K189" s="3">
        <v>1444.26</v>
      </c>
      <c r="L189" s="3">
        <v>0</v>
      </c>
      <c r="M189" s="3" t="s">
        <v>91</v>
      </c>
      <c r="N189" s="3" t="s">
        <v>94</v>
      </c>
      <c r="O189" s="3" t="s">
        <v>100</v>
      </c>
      <c r="P189" s="3" t="s">
        <v>121</v>
      </c>
    </row>
    <row r="190" spans="1:16" x14ac:dyDescent="0.2">
      <c r="A190" s="3">
        <v>189</v>
      </c>
      <c r="B190" s="3">
        <v>28</v>
      </c>
      <c r="C190" s="3" t="s">
        <v>15</v>
      </c>
      <c r="D190" s="3">
        <v>58</v>
      </c>
      <c r="E190" s="3">
        <v>52.06</v>
      </c>
      <c r="F190" s="3" t="s">
        <v>20</v>
      </c>
      <c r="G190" s="3" t="s">
        <v>24</v>
      </c>
      <c r="H190" s="3">
        <v>1</v>
      </c>
      <c r="I190" s="3">
        <v>23.6</v>
      </c>
      <c r="J190" s="3">
        <v>7</v>
      </c>
      <c r="K190" s="3">
        <v>2757.4</v>
      </c>
      <c r="L190" s="3">
        <v>1</v>
      </c>
      <c r="M190" s="3" t="s">
        <v>89</v>
      </c>
      <c r="N190" s="3" t="s">
        <v>96</v>
      </c>
      <c r="O190" s="3" t="s">
        <v>99</v>
      </c>
      <c r="P190" s="3" t="s">
        <v>122</v>
      </c>
    </row>
    <row r="191" spans="1:16" x14ac:dyDescent="0.2">
      <c r="A191" s="3">
        <v>190</v>
      </c>
      <c r="B191" s="3">
        <v>45</v>
      </c>
      <c r="C191" s="3" t="s">
        <v>16</v>
      </c>
      <c r="D191" s="3">
        <v>20</v>
      </c>
      <c r="E191" s="3">
        <v>79.39</v>
      </c>
      <c r="F191" s="3" t="s">
        <v>18</v>
      </c>
      <c r="G191" s="3" t="s">
        <v>23</v>
      </c>
      <c r="H191" s="3">
        <v>1</v>
      </c>
      <c r="I191" s="3">
        <v>90.2</v>
      </c>
      <c r="J191" s="3">
        <v>7</v>
      </c>
      <c r="K191" s="3">
        <v>1539.79</v>
      </c>
      <c r="L191" s="3">
        <v>0</v>
      </c>
      <c r="M191" s="3" t="s">
        <v>91</v>
      </c>
      <c r="N191" s="3" t="s">
        <v>96</v>
      </c>
      <c r="O191" s="3" t="s">
        <v>98</v>
      </c>
      <c r="P191" s="3" t="s">
        <v>75</v>
      </c>
    </row>
    <row r="192" spans="1:16" x14ac:dyDescent="0.2">
      <c r="A192" s="3">
        <v>191</v>
      </c>
      <c r="B192" s="3">
        <v>42</v>
      </c>
      <c r="C192" s="3" t="s">
        <v>15</v>
      </c>
      <c r="D192" s="3">
        <v>61</v>
      </c>
      <c r="E192" s="3">
        <v>56.92</v>
      </c>
      <c r="F192" s="3" t="s">
        <v>20</v>
      </c>
      <c r="G192" s="3" t="s">
        <v>22</v>
      </c>
      <c r="H192" s="3">
        <v>4</v>
      </c>
      <c r="I192" s="3">
        <v>54.4</v>
      </c>
      <c r="J192" s="3">
        <v>9</v>
      </c>
      <c r="K192" s="3">
        <v>3201.99</v>
      </c>
      <c r="L192" s="3">
        <v>0</v>
      </c>
      <c r="M192" s="3" t="s">
        <v>89</v>
      </c>
      <c r="N192" s="3" t="s">
        <v>97</v>
      </c>
      <c r="O192" s="3" t="s">
        <v>100</v>
      </c>
      <c r="P192" s="3" t="s">
        <v>122</v>
      </c>
    </row>
    <row r="193" spans="1:16" x14ac:dyDescent="0.2">
      <c r="A193" s="3">
        <v>192</v>
      </c>
      <c r="B193" s="3">
        <v>56</v>
      </c>
      <c r="C193" s="3" t="s">
        <v>15</v>
      </c>
      <c r="D193" s="3">
        <v>39</v>
      </c>
      <c r="E193" s="3">
        <v>65.430000000000007</v>
      </c>
      <c r="F193" s="3" t="s">
        <v>20</v>
      </c>
      <c r="G193" s="3" t="s">
        <v>22</v>
      </c>
      <c r="H193" s="3">
        <v>2</v>
      </c>
      <c r="I193" s="3">
        <v>47.5</v>
      </c>
      <c r="J193" s="3">
        <v>7</v>
      </c>
      <c r="K193" s="3">
        <v>2709.08</v>
      </c>
      <c r="L193" s="3">
        <v>0</v>
      </c>
      <c r="M193" s="3" t="s">
        <v>89</v>
      </c>
      <c r="N193" s="3" t="s">
        <v>96</v>
      </c>
      <c r="O193" s="3" t="s">
        <v>124</v>
      </c>
      <c r="P193" s="3" t="s">
        <v>122</v>
      </c>
    </row>
    <row r="194" spans="1:16" x14ac:dyDescent="0.2">
      <c r="A194" s="3">
        <v>193</v>
      </c>
      <c r="B194" s="3">
        <v>50</v>
      </c>
      <c r="C194" s="3" t="s">
        <v>16</v>
      </c>
      <c r="D194" s="3">
        <v>1</v>
      </c>
      <c r="E194" s="3">
        <v>74.86</v>
      </c>
      <c r="F194" s="3" t="s">
        <v>18</v>
      </c>
      <c r="G194" s="3" t="s">
        <v>22</v>
      </c>
      <c r="H194" s="3">
        <v>1</v>
      </c>
      <c r="I194" s="3">
        <v>58</v>
      </c>
      <c r="J194" s="3">
        <v>3</v>
      </c>
      <c r="K194" s="3">
        <v>81.56</v>
      </c>
      <c r="L194" s="3">
        <v>0</v>
      </c>
      <c r="M194" s="3" t="s">
        <v>90</v>
      </c>
      <c r="N194" s="3" t="s">
        <v>94</v>
      </c>
      <c r="O194" s="3" t="s">
        <v>100</v>
      </c>
      <c r="P194" s="3" t="s">
        <v>75</v>
      </c>
    </row>
    <row r="195" spans="1:16" x14ac:dyDescent="0.2">
      <c r="A195" s="3">
        <v>194</v>
      </c>
      <c r="B195" s="3">
        <v>18</v>
      </c>
      <c r="C195" s="3" t="s">
        <v>15</v>
      </c>
      <c r="D195" s="3">
        <v>3</v>
      </c>
      <c r="E195" s="3">
        <v>74.89</v>
      </c>
      <c r="F195" s="3" t="s">
        <v>20</v>
      </c>
      <c r="G195" s="3" t="s">
        <v>23</v>
      </c>
      <c r="H195" s="3">
        <v>2</v>
      </c>
      <c r="I195" s="3">
        <v>20.8</v>
      </c>
      <c r="J195" s="3">
        <v>1</v>
      </c>
      <c r="K195" s="3">
        <v>205.45</v>
      </c>
      <c r="L195" s="3">
        <v>1</v>
      </c>
      <c r="M195" s="3" t="s">
        <v>90</v>
      </c>
      <c r="N195" s="3" t="s">
        <v>94</v>
      </c>
      <c r="O195" s="3" t="s">
        <v>99</v>
      </c>
      <c r="P195" s="3" t="s">
        <v>75</v>
      </c>
    </row>
    <row r="196" spans="1:16" x14ac:dyDescent="0.2">
      <c r="A196" s="3">
        <v>195</v>
      </c>
      <c r="B196" s="3">
        <v>44</v>
      </c>
      <c r="C196" s="3" t="s">
        <v>15</v>
      </c>
      <c r="D196" s="3">
        <v>62</v>
      </c>
      <c r="E196" s="3">
        <v>40.17</v>
      </c>
      <c r="F196" s="3" t="s">
        <v>18</v>
      </c>
      <c r="G196" s="3" t="s">
        <v>23</v>
      </c>
      <c r="H196" s="3">
        <v>3</v>
      </c>
      <c r="I196" s="3">
        <v>63.3</v>
      </c>
      <c r="J196" s="3">
        <v>8</v>
      </c>
      <c r="K196" s="3">
        <v>2717.24</v>
      </c>
      <c r="L196" s="3">
        <v>0</v>
      </c>
      <c r="M196" s="3" t="s">
        <v>89</v>
      </c>
      <c r="N196" s="3" t="s">
        <v>96</v>
      </c>
      <c r="O196" s="3" t="s">
        <v>100</v>
      </c>
      <c r="P196" s="3" t="s">
        <v>73</v>
      </c>
    </row>
    <row r="197" spans="1:16" x14ac:dyDescent="0.2">
      <c r="A197" s="3">
        <v>196</v>
      </c>
      <c r="B197" s="3">
        <v>69</v>
      </c>
      <c r="C197" s="3" t="s">
        <v>15</v>
      </c>
      <c r="D197" s="3">
        <v>63</v>
      </c>
      <c r="E197" s="3">
        <v>88.46</v>
      </c>
      <c r="F197" s="3" t="s">
        <v>20</v>
      </c>
      <c r="G197" s="3" t="s">
        <v>23</v>
      </c>
      <c r="H197" s="3">
        <v>1</v>
      </c>
      <c r="I197" s="3">
        <v>39.5</v>
      </c>
      <c r="J197" s="3">
        <v>3</v>
      </c>
      <c r="K197" s="3">
        <v>5598.14</v>
      </c>
      <c r="L197" s="3">
        <v>0</v>
      </c>
      <c r="M197" s="3" t="s">
        <v>89</v>
      </c>
      <c r="N197" s="3" t="s">
        <v>94</v>
      </c>
      <c r="O197" s="3" t="s">
        <v>124</v>
      </c>
      <c r="P197" s="3" t="s">
        <v>75</v>
      </c>
    </row>
    <row r="198" spans="1:16" x14ac:dyDescent="0.2">
      <c r="A198" s="3">
        <v>197</v>
      </c>
      <c r="B198" s="3">
        <v>30</v>
      </c>
      <c r="C198" s="3" t="s">
        <v>15</v>
      </c>
      <c r="D198" s="3">
        <v>25</v>
      </c>
      <c r="E198" s="3">
        <v>28.79</v>
      </c>
      <c r="F198" s="3" t="s">
        <v>20</v>
      </c>
      <c r="G198" s="3" t="s">
        <v>23</v>
      </c>
      <c r="H198" s="3">
        <v>3</v>
      </c>
      <c r="I198" s="3">
        <v>90.2</v>
      </c>
      <c r="J198" s="3">
        <v>8</v>
      </c>
      <c r="K198" s="3">
        <v>690.9</v>
      </c>
      <c r="L198" s="3">
        <v>1</v>
      </c>
      <c r="M198" s="3" t="s">
        <v>89</v>
      </c>
      <c r="N198" s="3" t="s">
        <v>96</v>
      </c>
      <c r="O198" s="3" t="s">
        <v>98</v>
      </c>
      <c r="P198" s="3" t="s">
        <v>73</v>
      </c>
    </row>
    <row r="199" spans="1:16" x14ac:dyDescent="0.2">
      <c r="A199" s="3">
        <v>198</v>
      </c>
      <c r="B199" s="3">
        <v>58</v>
      </c>
      <c r="C199" s="3" t="s">
        <v>15</v>
      </c>
      <c r="D199" s="3">
        <v>56</v>
      </c>
      <c r="E199" s="3">
        <v>33.880000000000003</v>
      </c>
      <c r="F199" s="3" t="s">
        <v>19</v>
      </c>
      <c r="G199" s="3" t="s">
        <v>23</v>
      </c>
      <c r="H199" s="3">
        <v>0</v>
      </c>
      <c r="I199" s="3">
        <v>21</v>
      </c>
      <c r="J199" s="3">
        <v>8</v>
      </c>
      <c r="K199" s="3">
        <v>1736.72</v>
      </c>
      <c r="L199" s="3">
        <v>0</v>
      </c>
      <c r="M199" s="3" t="s">
        <v>89</v>
      </c>
      <c r="N199" s="3" t="s">
        <v>96</v>
      </c>
      <c r="O199" s="3" t="s">
        <v>99</v>
      </c>
      <c r="P199" s="3" t="s">
        <v>73</v>
      </c>
    </row>
    <row r="200" spans="1:16" x14ac:dyDescent="0.2">
      <c r="A200" s="3">
        <v>199</v>
      </c>
      <c r="B200" s="3">
        <v>20</v>
      </c>
      <c r="C200" s="3" t="s">
        <v>16</v>
      </c>
      <c r="D200" s="3">
        <v>33</v>
      </c>
      <c r="E200" s="3">
        <v>20.27</v>
      </c>
      <c r="F200" s="3" t="s">
        <v>20</v>
      </c>
      <c r="G200" s="3" t="s">
        <v>22</v>
      </c>
      <c r="H200" s="3">
        <v>0</v>
      </c>
      <c r="I200" s="3">
        <v>53.2</v>
      </c>
      <c r="J200" s="3">
        <v>5</v>
      </c>
      <c r="K200" s="3">
        <v>668.99</v>
      </c>
      <c r="L200" s="3">
        <v>0</v>
      </c>
      <c r="M200" s="3" t="s">
        <v>89</v>
      </c>
      <c r="N200" s="3" t="s">
        <v>95</v>
      </c>
      <c r="O200" s="3" t="s">
        <v>100</v>
      </c>
      <c r="P200" s="3" t="s">
        <v>73</v>
      </c>
    </row>
    <row r="201" spans="1:16" x14ac:dyDescent="0.2">
      <c r="A201" s="3">
        <v>200</v>
      </c>
      <c r="B201" s="3">
        <v>56</v>
      </c>
      <c r="C201" s="3" t="s">
        <v>15</v>
      </c>
      <c r="D201" s="3">
        <v>38</v>
      </c>
      <c r="E201" s="3">
        <v>31.67</v>
      </c>
      <c r="F201" s="3" t="s">
        <v>20</v>
      </c>
      <c r="G201" s="3" t="s">
        <v>23</v>
      </c>
      <c r="H201" s="3">
        <v>1</v>
      </c>
      <c r="I201" s="3">
        <v>61.8</v>
      </c>
      <c r="J201" s="3">
        <v>1</v>
      </c>
      <c r="K201" s="3">
        <v>1274.3499999999999</v>
      </c>
      <c r="L201" s="3">
        <v>1</v>
      </c>
      <c r="M201" s="3" t="s">
        <v>89</v>
      </c>
      <c r="N201" s="3" t="s">
        <v>94</v>
      </c>
      <c r="O201" s="3" t="s">
        <v>100</v>
      </c>
      <c r="P201" s="3" t="s">
        <v>73</v>
      </c>
    </row>
    <row r="202" spans="1:16" x14ac:dyDescent="0.2">
      <c r="A202" s="3">
        <v>201</v>
      </c>
      <c r="B202" s="3">
        <v>23</v>
      </c>
      <c r="C202" s="3" t="s">
        <v>16</v>
      </c>
      <c r="D202" s="3">
        <v>6</v>
      </c>
      <c r="E202" s="3">
        <v>67.319999999999993</v>
      </c>
      <c r="F202" s="3" t="s">
        <v>18</v>
      </c>
      <c r="G202" s="3" t="s">
        <v>22</v>
      </c>
      <c r="H202" s="3">
        <v>2</v>
      </c>
      <c r="I202" s="3">
        <v>8.1999999999999993</v>
      </c>
      <c r="J202" s="3">
        <v>10</v>
      </c>
      <c r="K202" s="3">
        <v>420.65</v>
      </c>
      <c r="L202" s="3">
        <v>0</v>
      </c>
      <c r="M202" s="3" t="s">
        <v>92</v>
      </c>
      <c r="N202" s="3" t="s">
        <v>97</v>
      </c>
      <c r="O202" s="3" t="s">
        <v>99</v>
      </c>
      <c r="P202" s="3" t="s">
        <v>122</v>
      </c>
    </row>
    <row r="203" spans="1:16" x14ac:dyDescent="0.2">
      <c r="A203" s="3">
        <v>202</v>
      </c>
      <c r="B203" s="3">
        <v>25</v>
      </c>
      <c r="C203" s="3" t="s">
        <v>15</v>
      </c>
      <c r="D203" s="3">
        <v>58</v>
      </c>
      <c r="E203" s="3">
        <v>80.61</v>
      </c>
      <c r="F203" s="3" t="s">
        <v>20</v>
      </c>
      <c r="G203" s="3" t="s">
        <v>23</v>
      </c>
      <c r="H203" s="3">
        <v>1</v>
      </c>
      <c r="I203" s="3">
        <v>39.6</v>
      </c>
      <c r="J203" s="3">
        <v>7</v>
      </c>
      <c r="K203" s="3">
        <v>4254.8100000000004</v>
      </c>
      <c r="L203" s="3">
        <v>0</v>
      </c>
      <c r="M203" s="3" t="s">
        <v>89</v>
      </c>
      <c r="N203" s="3" t="s">
        <v>96</v>
      </c>
      <c r="O203" s="3" t="s">
        <v>124</v>
      </c>
      <c r="P203" s="3" t="s">
        <v>75</v>
      </c>
    </row>
    <row r="204" spans="1:16" x14ac:dyDescent="0.2">
      <c r="A204" s="3">
        <v>203</v>
      </c>
      <c r="B204" s="3">
        <v>44</v>
      </c>
      <c r="C204" s="3" t="s">
        <v>16</v>
      </c>
      <c r="D204" s="3">
        <v>44</v>
      </c>
      <c r="E204" s="3">
        <v>99.43</v>
      </c>
      <c r="F204" s="3" t="s">
        <v>18</v>
      </c>
      <c r="G204" s="3" t="s">
        <v>24</v>
      </c>
      <c r="H204" s="3">
        <v>3</v>
      </c>
      <c r="I204" s="3">
        <v>74.599999999999994</v>
      </c>
      <c r="J204" s="3">
        <v>10</v>
      </c>
      <c r="K204" s="3">
        <v>4001.22</v>
      </c>
      <c r="L204" s="3">
        <v>1</v>
      </c>
      <c r="M204" s="3" t="s">
        <v>89</v>
      </c>
      <c r="N204" s="3" t="s">
        <v>97</v>
      </c>
      <c r="O204" s="3" t="s">
        <v>100</v>
      </c>
      <c r="P204" s="3" t="s">
        <v>121</v>
      </c>
    </row>
    <row r="205" spans="1:16" x14ac:dyDescent="0.2">
      <c r="A205" s="3">
        <v>204</v>
      </c>
      <c r="B205" s="3">
        <v>26</v>
      </c>
      <c r="C205" s="3" t="s">
        <v>16</v>
      </c>
      <c r="D205" s="3">
        <v>45</v>
      </c>
      <c r="E205" s="3">
        <v>30.67</v>
      </c>
      <c r="F205" s="3" t="s">
        <v>20</v>
      </c>
      <c r="G205" s="3" t="s">
        <v>22</v>
      </c>
      <c r="H205" s="3">
        <v>4</v>
      </c>
      <c r="I205" s="3">
        <v>82.9</v>
      </c>
      <c r="J205" s="3">
        <v>5</v>
      </c>
      <c r="K205" s="3">
        <v>1353.34</v>
      </c>
      <c r="L205" s="3">
        <v>0</v>
      </c>
      <c r="M205" s="3" t="s">
        <v>89</v>
      </c>
      <c r="N205" s="3" t="s">
        <v>95</v>
      </c>
      <c r="O205" s="3" t="s">
        <v>98</v>
      </c>
      <c r="P205" s="3" t="s">
        <v>73</v>
      </c>
    </row>
    <row r="206" spans="1:16" x14ac:dyDescent="0.2">
      <c r="A206" s="3">
        <v>205</v>
      </c>
      <c r="B206" s="3">
        <v>54</v>
      </c>
      <c r="C206" s="3" t="s">
        <v>15</v>
      </c>
      <c r="D206" s="3">
        <v>32</v>
      </c>
      <c r="E206" s="3">
        <v>105.07</v>
      </c>
      <c r="F206" s="3" t="s">
        <v>19</v>
      </c>
      <c r="G206" s="3" t="s">
        <v>24</v>
      </c>
      <c r="H206" s="3">
        <v>0</v>
      </c>
      <c r="I206" s="3">
        <v>34.799999999999997</v>
      </c>
      <c r="J206" s="3">
        <v>8</v>
      </c>
      <c r="K206" s="3">
        <v>3224.58</v>
      </c>
      <c r="L206" s="3">
        <v>0</v>
      </c>
      <c r="M206" s="3" t="s">
        <v>89</v>
      </c>
      <c r="N206" s="3" t="s">
        <v>96</v>
      </c>
      <c r="O206" s="3" t="s">
        <v>124</v>
      </c>
      <c r="P206" s="3" t="s">
        <v>121</v>
      </c>
    </row>
    <row r="207" spans="1:16" x14ac:dyDescent="0.2">
      <c r="A207" s="3">
        <v>206</v>
      </c>
      <c r="B207" s="3">
        <v>50</v>
      </c>
      <c r="C207" s="3" t="s">
        <v>15</v>
      </c>
      <c r="D207" s="3">
        <v>45</v>
      </c>
      <c r="E207" s="3">
        <v>94.6</v>
      </c>
      <c r="F207" s="3" t="s">
        <v>18</v>
      </c>
      <c r="G207" s="3" t="s">
        <v>22</v>
      </c>
      <c r="H207" s="3">
        <v>3</v>
      </c>
      <c r="I207" s="3">
        <v>80.900000000000006</v>
      </c>
      <c r="J207" s="3">
        <v>9</v>
      </c>
      <c r="K207" s="3">
        <v>4029.15</v>
      </c>
      <c r="L207" s="3">
        <v>0</v>
      </c>
      <c r="M207" s="3" t="s">
        <v>89</v>
      </c>
      <c r="N207" s="3" t="s">
        <v>97</v>
      </c>
      <c r="O207" s="3" t="s">
        <v>98</v>
      </c>
      <c r="P207" s="3" t="s">
        <v>75</v>
      </c>
    </row>
    <row r="208" spans="1:16" x14ac:dyDescent="0.2">
      <c r="A208" s="3">
        <v>207</v>
      </c>
      <c r="B208" s="3">
        <v>68</v>
      </c>
      <c r="C208" s="3" t="s">
        <v>15</v>
      </c>
      <c r="D208" s="3">
        <v>61</v>
      </c>
      <c r="E208" s="3">
        <v>60.85</v>
      </c>
      <c r="F208" s="3" t="s">
        <v>18</v>
      </c>
      <c r="G208" s="3" t="s">
        <v>24</v>
      </c>
      <c r="H208" s="3">
        <v>2</v>
      </c>
      <c r="I208" s="3">
        <v>96.9</v>
      </c>
      <c r="J208" s="3">
        <v>7</v>
      </c>
      <c r="K208" s="3">
        <v>3549.27</v>
      </c>
      <c r="L208" s="3">
        <v>1</v>
      </c>
      <c r="M208" s="3" t="s">
        <v>89</v>
      </c>
      <c r="N208" s="3" t="s">
        <v>96</v>
      </c>
      <c r="O208" s="3" t="s">
        <v>98</v>
      </c>
      <c r="P208" s="3" t="s">
        <v>122</v>
      </c>
    </row>
    <row r="209" spans="1:16" x14ac:dyDescent="0.2">
      <c r="A209" s="3">
        <v>208</v>
      </c>
      <c r="B209" s="3">
        <v>59</v>
      </c>
      <c r="C209" s="3" t="s">
        <v>16</v>
      </c>
      <c r="D209" s="3">
        <v>47</v>
      </c>
      <c r="E209" s="3">
        <v>113.29</v>
      </c>
      <c r="F209" s="3" t="s">
        <v>19</v>
      </c>
      <c r="G209" s="3" t="s">
        <v>23</v>
      </c>
      <c r="H209" s="3">
        <v>3</v>
      </c>
      <c r="I209" s="3">
        <v>86.4</v>
      </c>
      <c r="J209" s="3">
        <v>7</v>
      </c>
      <c r="K209" s="3">
        <v>5647.82</v>
      </c>
      <c r="L209" s="3">
        <v>1</v>
      </c>
      <c r="M209" s="3" t="s">
        <v>89</v>
      </c>
      <c r="N209" s="3" t="s">
        <v>96</v>
      </c>
      <c r="O209" s="3" t="s">
        <v>98</v>
      </c>
      <c r="P209" s="3" t="s">
        <v>121</v>
      </c>
    </row>
    <row r="210" spans="1:16" x14ac:dyDescent="0.2">
      <c r="A210" s="3">
        <v>209</v>
      </c>
      <c r="B210" s="3">
        <v>61</v>
      </c>
      <c r="C210" s="3" t="s">
        <v>15</v>
      </c>
      <c r="D210" s="3">
        <v>21</v>
      </c>
      <c r="E210" s="3">
        <v>119.09</v>
      </c>
      <c r="F210" s="3" t="s">
        <v>20</v>
      </c>
      <c r="G210" s="3" t="s">
        <v>23</v>
      </c>
      <c r="H210" s="3">
        <v>1</v>
      </c>
      <c r="I210" s="3">
        <v>16.2</v>
      </c>
      <c r="J210" s="3">
        <v>1</v>
      </c>
      <c r="K210" s="3">
        <v>2715.58</v>
      </c>
      <c r="L210" s="3">
        <v>1</v>
      </c>
      <c r="M210" s="3" t="s">
        <v>91</v>
      </c>
      <c r="N210" s="3" t="s">
        <v>94</v>
      </c>
      <c r="O210" s="3" t="s">
        <v>99</v>
      </c>
      <c r="P210" s="3" t="s">
        <v>121</v>
      </c>
    </row>
    <row r="211" spans="1:16" x14ac:dyDescent="0.2">
      <c r="A211" s="3">
        <v>210</v>
      </c>
      <c r="B211" s="3">
        <v>41</v>
      </c>
      <c r="C211" s="3" t="s">
        <v>16</v>
      </c>
      <c r="D211" s="3">
        <v>36</v>
      </c>
      <c r="E211" s="3">
        <v>40.5</v>
      </c>
      <c r="F211" s="3" t="s">
        <v>19</v>
      </c>
      <c r="G211" s="3" t="s">
        <v>23</v>
      </c>
      <c r="H211" s="3">
        <v>3</v>
      </c>
      <c r="I211" s="3">
        <v>75.3</v>
      </c>
      <c r="J211" s="3">
        <v>4</v>
      </c>
      <c r="K211" s="3">
        <v>1430.33</v>
      </c>
      <c r="L211" s="3">
        <v>0</v>
      </c>
      <c r="M211" s="3" t="s">
        <v>89</v>
      </c>
      <c r="N211" s="3" t="s">
        <v>94</v>
      </c>
      <c r="O211" s="3" t="s">
        <v>100</v>
      </c>
      <c r="P211" s="3" t="s">
        <v>73</v>
      </c>
    </row>
    <row r="212" spans="1:16" x14ac:dyDescent="0.2">
      <c r="A212" s="3">
        <v>211</v>
      </c>
      <c r="B212" s="3">
        <v>32</v>
      </c>
      <c r="C212" s="3" t="s">
        <v>16</v>
      </c>
      <c r="D212" s="3">
        <v>19</v>
      </c>
      <c r="E212" s="3">
        <v>57.92</v>
      </c>
      <c r="F212" s="3" t="s">
        <v>20</v>
      </c>
      <c r="G212" s="3" t="s">
        <v>22</v>
      </c>
      <c r="H212" s="3">
        <v>2</v>
      </c>
      <c r="I212" s="3">
        <v>35.4</v>
      </c>
      <c r="J212" s="3">
        <v>2</v>
      </c>
      <c r="K212" s="3">
        <v>1189.8599999999999</v>
      </c>
      <c r="L212" s="3">
        <v>1</v>
      </c>
      <c r="M212" s="3" t="s">
        <v>91</v>
      </c>
      <c r="N212" s="3" t="s">
        <v>94</v>
      </c>
      <c r="O212" s="3" t="s">
        <v>124</v>
      </c>
      <c r="P212" s="3" t="s">
        <v>122</v>
      </c>
    </row>
    <row r="213" spans="1:16" x14ac:dyDescent="0.2">
      <c r="A213" s="3">
        <v>212</v>
      </c>
      <c r="B213" s="3">
        <v>49</v>
      </c>
      <c r="C213" s="3" t="s">
        <v>16</v>
      </c>
      <c r="D213" s="3">
        <v>20</v>
      </c>
      <c r="E213" s="3">
        <v>112.64</v>
      </c>
      <c r="F213" s="3" t="s">
        <v>20</v>
      </c>
      <c r="G213" s="3" t="s">
        <v>24</v>
      </c>
      <c r="H213" s="3">
        <v>0</v>
      </c>
      <c r="I213" s="3">
        <v>98.9</v>
      </c>
      <c r="J213" s="3">
        <v>2</v>
      </c>
      <c r="K213" s="3">
        <v>2172.37</v>
      </c>
      <c r="L213" s="3">
        <v>1</v>
      </c>
      <c r="M213" s="3" t="s">
        <v>91</v>
      </c>
      <c r="N213" s="3" t="s">
        <v>94</v>
      </c>
      <c r="O213" s="3" t="s">
        <v>98</v>
      </c>
      <c r="P213" s="3" t="s">
        <v>121</v>
      </c>
    </row>
    <row r="214" spans="1:16" x14ac:dyDescent="0.2">
      <c r="A214" s="3">
        <v>213</v>
      </c>
      <c r="B214" s="3">
        <v>49</v>
      </c>
      <c r="C214" s="3" t="s">
        <v>15</v>
      </c>
      <c r="D214" s="3">
        <v>57</v>
      </c>
      <c r="E214" s="3">
        <v>92.16</v>
      </c>
      <c r="F214" s="3" t="s">
        <v>20</v>
      </c>
      <c r="G214" s="3" t="s">
        <v>23</v>
      </c>
      <c r="H214" s="3">
        <v>3</v>
      </c>
      <c r="I214" s="3">
        <v>51.1</v>
      </c>
      <c r="J214" s="3">
        <v>2</v>
      </c>
      <c r="K214" s="3">
        <v>5228.3599999999997</v>
      </c>
      <c r="L214" s="3">
        <v>1</v>
      </c>
      <c r="M214" s="3" t="s">
        <v>89</v>
      </c>
      <c r="N214" s="3" t="s">
        <v>94</v>
      </c>
      <c r="O214" s="3" t="s">
        <v>100</v>
      </c>
      <c r="P214" s="3" t="s">
        <v>75</v>
      </c>
    </row>
    <row r="215" spans="1:16" x14ac:dyDescent="0.2">
      <c r="A215" s="3">
        <v>214</v>
      </c>
      <c r="B215" s="3">
        <v>41</v>
      </c>
      <c r="C215" s="3" t="s">
        <v>15</v>
      </c>
      <c r="D215" s="3">
        <v>18</v>
      </c>
      <c r="E215" s="3">
        <v>24.81</v>
      </c>
      <c r="F215" s="3" t="s">
        <v>20</v>
      </c>
      <c r="G215" s="3" t="s">
        <v>24</v>
      </c>
      <c r="H215" s="3">
        <v>0</v>
      </c>
      <c r="I215" s="3">
        <v>16.600000000000001</v>
      </c>
      <c r="J215" s="3">
        <v>4</v>
      </c>
      <c r="K215" s="3">
        <v>422.11</v>
      </c>
      <c r="L215" s="3">
        <v>1</v>
      </c>
      <c r="M215" s="3" t="s">
        <v>91</v>
      </c>
      <c r="N215" s="3" t="s">
        <v>94</v>
      </c>
      <c r="O215" s="3" t="s">
        <v>99</v>
      </c>
      <c r="P215" s="3" t="s">
        <v>73</v>
      </c>
    </row>
    <row r="216" spans="1:16" x14ac:dyDescent="0.2">
      <c r="A216" s="3">
        <v>215</v>
      </c>
      <c r="B216" s="3">
        <v>58</v>
      </c>
      <c r="C216" s="3" t="s">
        <v>16</v>
      </c>
      <c r="D216" s="3">
        <v>47</v>
      </c>
      <c r="E216" s="3">
        <v>98.15</v>
      </c>
      <c r="F216" s="3" t="s">
        <v>20</v>
      </c>
      <c r="G216" s="3" t="s">
        <v>24</v>
      </c>
      <c r="H216" s="3">
        <v>2</v>
      </c>
      <c r="I216" s="3">
        <v>73.900000000000006</v>
      </c>
      <c r="J216" s="3">
        <v>1</v>
      </c>
      <c r="K216" s="3">
        <v>4742.6499999999996</v>
      </c>
      <c r="L216" s="3">
        <v>0</v>
      </c>
      <c r="M216" s="3" t="s">
        <v>89</v>
      </c>
      <c r="N216" s="3" t="s">
        <v>94</v>
      </c>
      <c r="O216" s="3" t="s">
        <v>100</v>
      </c>
      <c r="P216" s="3" t="s">
        <v>121</v>
      </c>
    </row>
    <row r="217" spans="1:16" x14ac:dyDescent="0.2">
      <c r="A217" s="3">
        <v>216</v>
      </c>
      <c r="B217" s="3">
        <v>69</v>
      </c>
      <c r="C217" s="3" t="s">
        <v>16</v>
      </c>
      <c r="D217" s="3">
        <v>49</v>
      </c>
      <c r="E217" s="3">
        <v>102.79</v>
      </c>
      <c r="F217" s="3" t="s">
        <v>18</v>
      </c>
      <c r="G217" s="3" t="s">
        <v>23</v>
      </c>
      <c r="H217" s="3">
        <v>5</v>
      </c>
      <c r="I217" s="3">
        <v>35.700000000000003</v>
      </c>
      <c r="J217" s="3">
        <v>4</v>
      </c>
      <c r="K217" s="3">
        <v>5519.21</v>
      </c>
      <c r="L217" s="3">
        <v>0</v>
      </c>
      <c r="M217" s="3" t="s">
        <v>89</v>
      </c>
      <c r="N217" s="3" t="s">
        <v>94</v>
      </c>
      <c r="O217" s="3" t="s">
        <v>124</v>
      </c>
      <c r="P217" s="3" t="s">
        <v>121</v>
      </c>
    </row>
    <row r="218" spans="1:16" x14ac:dyDescent="0.2">
      <c r="A218" s="3">
        <v>217</v>
      </c>
      <c r="B218" s="3">
        <v>66</v>
      </c>
      <c r="C218" s="3" t="s">
        <v>15</v>
      </c>
      <c r="D218" s="3">
        <v>14</v>
      </c>
      <c r="E218" s="3">
        <v>95.05</v>
      </c>
      <c r="F218" s="3" t="s">
        <v>18</v>
      </c>
      <c r="G218" s="3" t="s">
        <v>23</v>
      </c>
      <c r="H218" s="3">
        <v>2</v>
      </c>
      <c r="I218" s="3">
        <v>99.7</v>
      </c>
      <c r="J218" s="3">
        <v>2</v>
      </c>
      <c r="K218" s="3">
        <v>1358.24</v>
      </c>
      <c r="L218" s="3">
        <v>1</v>
      </c>
      <c r="M218" s="3" t="s">
        <v>91</v>
      </c>
      <c r="N218" s="3" t="s">
        <v>94</v>
      </c>
      <c r="O218" s="3" t="s">
        <v>98</v>
      </c>
      <c r="P218" s="3" t="s">
        <v>121</v>
      </c>
    </row>
    <row r="219" spans="1:16" x14ac:dyDescent="0.2">
      <c r="A219" s="3">
        <v>218</v>
      </c>
      <c r="B219" s="3">
        <v>66</v>
      </c>
      <c r="C219" s="3" t="s">
        <v>16</v>
      </c>
      <c r="D219" s="3">
        <v>15</v>
      </c>
      <c r="E219" s="3">
        <v>99.95</v>
      </c>
      <c r="F219" s="3" t="s">
        <v>19</v>
      </c>
      <c r="G219" s="3" t="s">
        <v>24</v>
      </c>
      <c r="H219" s="3">
        <v>1</v>
      </c>
      <c r="I219" s="3">
        <v>98.1</v>
      </c>
      <c r="J219" s="3">
        <v>5</v>
      </c>
      <c r="K219" s="3">
        <v>1456.62</v>
      </c>
      <c r="L219" s="3">
        <v>0</v>
      </c>
      <c r="M219" s="3" t="s">
        <v>91</v>
      </c>
      <c r="N219" s="3" t="s">
        <v>95</v>
      </c>
      <c r="O219" s="3" t="s">
        <v>98</v>
      </c>
      <c r="P219" s="3" t="s">
        <v>121</v>
      </c>
    </row>
    <row r="220" spans="1:16" x14ac:dyDescent="0.2">
      <c r="A220" s="3">
        <v>219</v>
      </c>
      <c r="B220" s="3">
        <v>69</v>
      </c>
      <c r="C220" s="3" t="s">
        <v>15</v>
      </c>
      <c r="D220" s="3">
        <v>31</v>
      </c>
      <c r="E220" s="3">
        <v>102.51</v>
      </c>
      <c r="F220" s="3" t="s">
        <v>20</v>
      </c>
      <c r="G220" s="3" t="s">
        <v>23</v>
      </c>
      <c r="H220" s="3">
        <v>3</v>
      </c>
      <c r="I220" s="3">
        <v>67.3</v>
      </c>
      <c r="J220" s="3">
        <v>3</v>
      </c>
      <c r="K220" s="3">
        <v>3271.76</v>
      </c>
      <c r="L220" s="3">
        <v>1</v>
      </c>
      <c r="M220" s="3" t="s">
        <v>89</v>
      </c>
      <c r="N220" s="3" t="s">
        <v>94</v>
      </c>
      <c r="O220" s="3" t="s">
        <v>100</v>
      </c>
      <c r="P220" s="3" t="s">
        <v>121</v>
      </c>
    </row>
    <row r="221" spans="1:16" x14ac:dyDescent="0.2">
      <c r="A221" s="3">
        <v>220</v>
      </c>
      <c r="B221" s="3">
        <v>29</v>
      </c>
      <c r="C221" s="3" t="s">
        <v>16</v>
      </c>
      <c r="D221" s="3">
        <v>1</v>
      </c>
      <c r="E221" s="3">
        <v>38.64</v>
      </c>
      <c r="F221" s="3" t="s">
        <v>18</v>
      </c>
      <c r="G221" s="3" t="s">
        <v>23</v>
      </c>
      <c r="H221" s="3">
        <v>2</v>
      </c>
      <c r="I221" s="3">
        <v>17.3</v>
      </c>
      <c r="J221" s="3">
        <v>8</v>
      </c>
      <c r="K221" s="3">
        <v>35.729999999999997</v>
      </c>
      <c r="L221" s="3">
        <v>0</v>
      </c>
      <c r="M221" s="3" t="s">
        <v>90</v>
      </c>
      <c r="N221" s="3" t="s">
        <v>96</v>
      </c>
      <c r="O221" s="3" t="s">
        <v>99</v>
      </c>
      <c r="P221" s="3" t="s">
        <v>73</v>
      </c>
    </row>
    <row r="222" spans="1:16" x14ac:dyDescent="0.2">
      <c r="A222" s="3">
        <v>221</v>
      </c>
      <c r="B222" s="3">
        <v>56</v>
      </c>
      <c r="C222" s="3" t="s">
        <v>15</v>
      </c>
      <c r="D222" s="3">
        <v>54</v>
      </c>
      <c r="E222" s="3">
        <v>43.57</v>
      </c>
      <c r="F222" s="3" t="s">
        <v>20</v>
      </c>
      <c r="G222" s="3" t="s">
        <v>23</v>
      </c>
      <c r="H222" s="3">
        <v>1</v>
      </c>
      <c r="I222" s="3">
        <v>70.3</v>
      </c>
      <c r="J222" s="3">
        <v>4</v>
      </c>
      <c r="K222" s="3">
        <v>2535.67</v>
      </c>
      <c r="L222" s="3">
        <v>0</v>
      </c>
      <c r="M222" s="3" t="s">
        <v>89</v>
      </c>
      <c r="N222" s="3" t="s">
        <v>94</v>
      </c>
      <c r="O222" s="3" t="s">
        <v>100</v>
      </c>
      <c r="P222" s="3" t="s">
        <v>73</v>
      </c>
    </row>
    <row r="223" spans="1:16" x14ac:dyDescent="0.2">
      <c r="A223" s="3">
        <v>222</v>
      </c>
      <c r="B223" s="3">
        <v>19</v>
      </c>
      <c r="C223" s="3" t="s">
        <v>16</v>
      </c>
      <c r="D223" s="3">
        <v>3</v>
      </c>
      <c r="E223" s="3">
        <v>83.38</v>
      </c>
      <c r="F223" s="3" t="s">
        <v>20</v>
      </c>
      <c r="G223" s="3" t="s">
        <v>22</v>
      </c>
      <c r="H223" s="3">
        <v>0</v>
      </c>
      <c r="I223" s="3">
        <v>13.8</v>
      </c>
      <c r="J223" s="3">
        <v>1</v>
      </c>
      <c r="K223" s="3">
        <v>250.29</v>
      </c>
      <c r="L223" s="3">
        <v>1</v>
      </c>
      <c r="M223" s="3" t="s">
        <v>90</v>
      </c>
      <c r="N223" s="3" t="s">
        <v>94</v>
      </c>
      <c r="O223" s="3" t="s">
        <v>99</v>
      </c>
      <c r="P223" s="3" t="s">
        <v>75</v>
      </c>
    </row>
    <row r="224" spans="1:16" x14ac:dyDescent="0.2">
      <c r="A224" s="3">
        <v>223</v>
      </c>
      <c r="B224" s="3">
        <v>20</v>
      </c>
      <c r="C224" s="3" t="s">
        <v>15</v>
      </c>
      <c r="D224" s="3">
        <v>16</v>
      </c>
      <c r="E224" s="3">
        <v>110.79</v>
      </c>
      <c r="F224" s="3" t="s">
        <v>20</v>
      </c>
      <c r="G224" s="3" t="s">
        <v>24</v>
      </c>
      <c r="H224" s="3">
        <v>3</v>
      </c>
      <c r="I224" s="3">
        <v>7.8</v>
      </c>
      <c r="J224" s="3">
        <v>1</v>
      </c>
      <c r="K224" s="3">
        <v>1754.68</v>
      </c>
      <c r="L224" s="3">
        <v>1</v>
      </c>
      <c r="M224" s="3" t="s">
        <v>91</v>
      </c>
      <c r="N224" s="3" t="s">
        <v>94</v>
      </c>
      <c r="O224" s="3" t="s">
        <v>99</v>
      </c>
      <c r="P224" s="3" t="s">
        <v>121</v>
      </c>
    </row>
    <row r="225" spans="1:16" x14ac:dyDescent="0.2">
      <c r="A225" s="3">
        <v>224</v>
      </c>
      <c r="B225" s="3">
        <v>66</v>
      </c>
      <c r="C225" s="3" t="s">
        <v>16</v>
      </c>
      <c r="D225" s="3">
        <v>57</v>
      </c>
      <c r="E225" s="3">
        <v>51.62</v>
      </c>
      <c r="F225" s="3" t="s">
        <v>20</v>
      </c>
      <c r="G225" s="3" t="s">
        <v>24</v>
      </c>
      <c r="H225" s="3">
        <v>0</v>
      </c>
      <c r="I225" s="3">
        <v>83.2</v>
      </c>
      <c r="J225" s="3">
        <v>10</v>
      </c>
      <c r="K225" s="3">
        <v>2992.87</v>
      </c>
      <c r="L225" s="3">
        <v>1</v>
      </c>
      <c r="M225" s="3" t="s">
        <v>89</v>
      </c>
      <c r="N225" s="3" t="s">
        <v>97</v>
      </c>
      <c r="O225" s="3" t="s">
        <v>98</v>
      </c>
      <c r="P225" s="3" t="s">
        <v>122</v>
      </c>
    </row>
    <row r="226" spans="1:16" x14ac:dyDescent="0.2">
      <c r="A226" s="3">
        <v>225</v>
      </c>
      <c r="B226" s="3">
        <v>54</v>
      </c>
      <c r="C226" s="3" t="s">
        <v>15</v>
      </c>
      <c r="D226" s="3">
        <v>12</v>
      </c>
      <c r="E226" s="3">
        <v>78.83</v>
      </c>
      <c r="F226" s="3" t="s">
        <v>18</v>
      </c>
      <c r="G226" s="3" t="s">
        <v>22</v>
      </c>
      <c r="H226" s="3">
        <v>1</v>
      </c>
      <c r="I226" s="3">
        <v>24.9</v>
      </c>
      <c r="J226" s="3">
        <v>3</v>
      </c>
      <c r="K226" s="3">
        <v>969.57</v>
      </c>
      <c r="L226" s="3">
        <v>0</v>
      </c>
      <c r="M226" s="3" t="s">
        <v>93</v>
      </c>
      <c r="N226" s="3" t="s">
        <v>94</v>
      </c>
      <c r="O226" s="3" t="s">
        <v>99</v>
      </c>
      <c r="P226" s="3" t="s">
        <v>75</v>
      </c>
    </row>
    <row r="227" spans="1:16" x14ac:dyDescent="0.2">
      <c r="A227" s="3">
        <v>226</v>
      </c>
      <c r="B227" s="3">
        <v>66</v>
      </c>
      <c r="C227" s="3" t="s">
        <v>15</v>
      </c>
      <c r="D227" s="3">
        <v>16</v>
      </c>
      <c r="E227" s="3">
        <v>88.3</v>
      </c>
      <c r="F227" s="3" t="s">
        <v>20</v>
      </c>
      <c r="G227" s="3" t="s">
        <v>24</v>
      </c>
      <c r="H227" s="3">
        <v>4</v>
      </c>
      <c r="I227" s="3">
        <v>41</v>
      </c>
      <c r="J227" s="3">
        <v>9</v>
      </c>
      <c r="K227" s="3">
        <v>1291.8</v>
      </c>
      <c r="L227" s="3">
        <v>0</v>
      </c>
      <c r="M227" s="3" t="s">
        <v>91</v>
      </c>
      <c r="N227" s="3" t="s">
        <v>97</v>
      </c>
      <c r="O227" s="3" t="s">
        <v>124</v>
      </c>
      <c r="P227" s="3" t="s">
        <v>75</v>
      </c>
    </row>
    <row r="228" spans="1:16" x14ac:dyDescent="0.2">
      <c r="A228" s="3">
        <v>227</v>
      </c>
      <c r="B228" s="3">
        <v>34</v>
      </c>
      <c r="C228" s="3" t="s">
        <v>16</v>
      </c>
      <c r="D228" s="3">
        <v>24</v>
      </c>
      <c r="E228" s="3">
        <v>65.19</v>
      </c>
      <c r="F228" s="3" t="s">
        <v>20</v>
      </c>
      <c r="G228" s="3" t="s">
        <v>23</v>
      </c>
      <c r="H228" s="3">
        <v>0</v>
      </c>
      <c r="I228" s="3">
        <v>97.5</v>
      </c>
      <c r="J228" s="3">
        <v>7</v>
      </c>
      <c r="K228" s="3">
        <v>1621.7</v>
      </c>
      <c r="L228" s="3">
        <v>1</v>
      </c>
      <c r="M228" s="3" t="s">
        <v>91</v>
      </c>
      <c r="N228" s="3" t="s">
        <v>96</v>
      </c>
      <c r="O228" s="3" t="s">
        <v>98</v>
      </c>
      <c r="P228" s="3" t="s">
        <v>122</v>
      </c>
    </row>
    <row r="229" spans="1:16" x14ac:dyDescent="0.2">
      <c r="A229" s="3">
        <v>228</v>
      </c>
      <c r="B229" s="3">
        <v>66</v>
      </c>
      <c r="C229" s="3" t="s">
        <v>16</v>
      </c>
      <c r="D229" s="3">
        <v>28</v>
      </c>
      <c r="E229" s="3">
        <v>91.38</v>
      </c>
      <c r="F229" s="3" t="s">
        <v>20</v>
      </c>
      <c r="G229" s="3" t="s">
        <v>24</v>
      </c>
      <c r="H229" s="3">
        <v>0</v>
      </c>
      <c r="I229" s="3">
        <v>37</v>
      </c>
      <c r="J229" s="3">
        <v>2</v>
      </c>
      <c r="K229" s="3">
        <v>2426.58</v>
      </c>
      <c r="L229" s="3">
        <v>0</v>
      </c>
      <c r="M229" s="3" t="s">
        <v>89</v>
      </c>
      <c r="N229" s="3" t="s">
        <v>94</v>
      </c>
      <c r="O229" s="3" t="s">
        <v>124</v>
      </c>
      <c r="P229" s="3" t="s">
        <v>75</v>
      </c>
    </row>
    <row r="230" spans="1:16" x14ac:dyDescent="0.2">
      <c r="A230" s="3">
        <v>229</v>
      </c>
      <c r="B230" s="3">
        <v>19</v>
      </c>
      <c r="C230" s="3" t="s">
        <v>15</v>
      </c>
      <c r="D230" s="3">
        <v>8</v>
      </c>
      <c r="E230" s="3">
        <v>109.97</v>
      </c>
      <c r="F230" s="3" t="s">
        <v>20</v>
      </c>
      <c r="G230" s="3" t="s">
        <v>23</v>
      </c>
      <c r="H230" s="3">
        <v>1</v>
      </c>
      <c r="I230" s="3">
        <v>33.200000000000003</v>
      </c>
      <c r="J230" s="3">
        <v>9</v>
      </c>
      <c r="K230" s="3">
        <v>917.41</v>
      </c>
      <c r="L230" s="3">
        <v>1</v>
      </c>
      <c r="M230" s="3" t="s">
        <v>93</v>
      </c>
      <c r="N230" s="3" t="s">
        <v>97</v>
      </c>
      <c r="O230" s="3" t="s">
        <v>124</v>
      </c>
      <c r="P230" s="3" t="s">
        <v>121</v>
      </c>
    </row>
    <row r="231" spans="1:16" x14ac:dyDescent="0.2">
      <c r="A231" s="3">
        <v>230</v>
      </c>
      <c r="B231" s="3">
        <v>19</v>
      </c>
      <c r="C231" s="3" t="s">
        <v>16</v>
      </c>
      <c r="D231" s="3">
        <v>36</v>
      </c>
      <c r="E231" s="3">
        <v>82.41</v>
      </c>
      <c r="F231" s="3" t="s">
        <v>20</v>
      </c>
      <c r="G231" s="3" t="s">
        <v>22</v>
      </c>
      <c r="H231" s="3">
        <v>2</v>
      </c>
      <c r="I231" s="3">
        <v>92.2</v>
      </c>
      <c r="J231" s="3">
        <v>10</v>
      </c>
      <c r="K231" s="3">
        <v>3158.14</v>
      </c>
      <c r="L231" s="3">
        <v>1</v>
      </c>
      <c r="M231" s="3" t="s">
        <v>89</v>
      </c>
      <c r="N231" s="3" t="s">
        <v>97</v>
      </c>
      <c r="O231" s="3" t="s">
        <v>98</v>
      </c>
      <c r="P231" s="3" t="s">
        <v>75</v>
      </c>
    </row>
    <row r="232" spans="1:16" x14ac:dyDescent="0.2">
      <c r="A232" s="3">
        <v>231</v>
      </c>
      <c r="B232" s="3">
        <v>45</v>
      </c>
      <c r="C232" s="3" t="s">
        <v>15</v>
      </c>
      <c r="D232" s="3">
        <v>8</v>
      </c>
      <c r="E232" s="3">
        <v>73.98</v>
      </c>
      <c r="F232" s="3" t="s">
        <v>19</v>
      </c>
      <c r="G232" s="3" t="s">
        <v>23</v>
      </c>
      <c r="H232" s="3">
        <v>1</v>
      </c>
      <c r="I232" s="3">
        <v>15.5</v>
      </c>
      <c r="J232" s="3">
        <v>2</v>
      </c>
      <c r="K232" s="3">
        <v>627.82000000000005</v>
      </c>
      <c r="L232" s="3">
        <v>0</v>
      </c>
      <c r="M232" s="3" t="s">
        <v>93</v>
      </c>
      <c r="N232" s="3" t="s">
        <v>94</v>
      </c>
      <c r="O232" s="3" t="s">
        <v>99</v>
      </c>
      <c r="P232" s="3" t="s">
        <v>75</v>
      </c>
    </row>
    <row r="233" spans="1:16" x14ac:dyDescent="0.2">
      <c r="A233" s="3">
        <v>232</v>
      </c>
      <c r="B233" s="3">
        <v>40</v>
      </c>
      <c r="C233" s="3" t="s">
        <v>16</v>
      </c>
      <c r="D233" s="3">
        <v>58</v>
      </c>
      <c r="E233" s="3">
        <v>63.87</v>
      </c>
      <c r="F233" s="3" t="s">
        <v>20</v>
      </c>
      <c r="G233" s="3" t="s">
        <v>24</v>
      </c>
      <c r="H233" s="3">
        <v>3</v>
      </c>
      <c r="I233" s="3">
        <v>77.2</v>
      </c>
      <c r="J233" s="3">
        <v>3</v>
      </c>
      <c r="K233" s="3">
        <v>3743.36</v>
      </c>
      <c r="L233" s="3">
        <v>0</v>
      </c>
      <c r="M233" s="3" t="s">
        <v>89</v>
      </c>
      <c r="N233" s="3" t="s">
        <v>94</v>
      </c>
      <c r="O233" s="3" t="s">
        <v>98</v>
      </c>
      <c r="P233" s="3" t="s">
        <v>122</v>
      </c>
    </row>
    <row r="234" spans="1:16" x14ac:dyDescent="0.2">
      <c r="A234" s="3">
        <v>233</v>
      </c>
      <c r="B234" s="3">
        <v>54</v>
      </c>
      <c r="C234" s="3" t="s">
        <v>15</v>
      </c>
      <c r="D234" s="3">
        <v>60</v>
      </c>
      <c r="E234" s="3">
        <v>77.75</v>
      </c>
      <c r="F234" s="3" t="s">
        <v>20</v>
      </c>
      <c r="G234" s="3" t="s">
        <v>24</v>
      </c>
      <c r="H234" s="3">
        <v>4</v>
      </c>
      <c r="I234" s="3">
        <v>98.9</v>
      </c>
      <c r="J234" s="3">
        <v>10</v>
      </c>
      <c r="K234" s="3">
        <v>4683.82</v>
      </c>
      <c r="L234" s="3">
        <v>0</v>
      </c>
      <c r="M234" s="3" t="s">
        <v>89</v>
      </c>
      <c r="N234" s="3" t="s">
        <v>97</v>
      </c>
      <c r="O234" s="3" t="s">
        <v>98</v>
      </c>
      <c r="P234" s="3" t="s">
        <v>75</v>
      </c>
    </row>
    <row r="235" spans="1:16" x14ac:dyDescent="0.2">
      <c r="A235" s="3">
        <v>234</v>
      </c>
      <c r="B235" s="3">
        <v>49</v>
      </c>
      <c r="C235" s="3" t="s">
        <v>15</v>
      </c>
      <c r="D235" s="3">
        <v>50</v>
      </c>
      <c r="E235" s="3">
        <v>55.54</v>
      </c>
      <c r="F235" s="3" t="s">
        <v>20</v>
      </c>
      <c r="G235" s="3" t="s">
        <v>24</v>
      </c>
      <c r="H235" s="3">
        <v>2</v>
      </c>
      <c r="I235" s="3">
        <v>90.6</v>
      </c>
      <c r="J235" s="3">
        <v>2</v>
      </c>
      <c r="K235" s="3">
        <v>2578.65</v>
      </c>
      <c r="L235" s="3">
        <v>1</v>
      </c>
      <c r="M235" s="3" t="s">
        <v>89</v>
      </c>
      <c r="N235" s="3" t="s">
        <v>94</v>
      </c>
      <c r="O235" s="3" t="s">
        <v>98</v>
      </c>
      <c r="P235" s="3" t="s">
        <v>122</v>
      </c>
    </row>
    <row r="236" spans="1:16" x14ac:dyDescent="0.2">
      <c r="A236" s="3">
        <v>235</v>
      </c>
      <c r="B236" s="3">
        <v>50</v>
      </c>
      <c r="C236" s="3" t="s">
        <v>15</v>
      </c>
      <c r="D236" s="3">
        <v>28</v>
      </c>
      <c r="E236" s="3">
        <v>59.15</v>
      </c>
      <c r="F236" s="3" t="s">
        <v>18</v>
      </c>
      <c r="G236" s="3" t="s">
        <v>22</v>
      </c>
      <c r="H236" s="3">
        <v>3</v>
      </c>
      <c r="I236" s="3">
        <v>66.900000000000006</v>
      </c>
      <c r="J236" s="3">
        <v>3</v>
      </c>
      <c r="K236" s="3">
        <v>1747.41</v>
      </c>
      <c r="L236" s="3">
        <v>1</v>
      </c>
      <c r="M236" s="3" t="s">
        <v>89</v>
      </c>
      <c r="N236" s="3" t="s">
        <v>94</v>
      </c>
      <c r="O236" s="3" t="s">
        <v>100</v>
      </c>
      <c r="P236" s="3" t="s">
        <v>122</v>
      </c>
    </row>
    <row r="237" spans="1:16" x14ac:dyDescent="0.2">
      <c r="A237" s="3">
        <v>236</v>
      </c>
      <c r="B237" s="3">
        <v>18</v>
      </c>
      <c r="C237" s="3" t="s">
        <v>15</v>
      </c>
      <c r="D237" s="3">
        <v>41</v>
      </c>
      <c r="E237" s="3">
        <v>73.19</v>
      </c>
      <c r="F237" s="3" t="s">
        <v>19</v>
      </c>
      <c r="G237" s="3" t="s">
        <v>22</v>
      </c>
      <c r="H237" s="3">
        <v>0</v>
      </c>
      <c r="I237" s="3">
        <v>34.799999999999997</v>
      </c>
      <c r="J237" s="3">
        <v>6</v>
      </c>
      <c r="K237" s="3">
        <v>2863.6</v>
      </c>
      <c r="L237" s="3">
        <v>0</v>
      </c>
      <c r="M237" s="3" t="s">
        <v>89</v>
      </c>
      <c r="N237" s="3" t="s">
        <v>95</v>
      </c>
      <c r="O237" s="3" t="s">
        <v>124</v>
      </c>
      <c r="P237" s="3" t="s">
        <v>122</v>
      </c>
    </row>
    <row r="238" spans="1:16" x14ac:dyDescent="0.2">
      <c r="A238" s="3">
        <v>237</v>
      </c>
      <c r="B238" s="3">
        <v>36</v>
      </c>
      <c r="C238" s="3" t="s">
        <v>15</v>
      </c>
      <c r="D238" s="3">
        <v>64</v>
      </c>
      <c r="E238" s="3">
        <v>26.66</v>
      </c>
      <c r="F238" s="3" t="s">
        <v>18</v>
      </c>
      <c r="G238" s="3" t="s">
        <v>24</v>
      </c>
      <c r="H238" s="3">
        <v>2</v>
      </c>
      <c r="I238" s="3">
        <v>29.2</v>
      </c>
      <c r="J238" s="3">
        <v>9</v>
      </c>
      <c r="K238" s="3">
        <v>1705.11</v>
      </c>
      <c r="L238" s="3">
        <v>0</v>
      </c>
      <c r="M238" s="3" t="s">
        <v>89</v>
      </c>
      <c r="N238" s="3" t="s">
        <v>97</v>
      </c>
      <c r="O238" s="3" t="s">
        <v>124</v>
      </c>
      <c r="P238" s="3" t="s">
        <v>73</v>
      </c>
    </row>
    <row r="239" spans="1:16" x14ac:dyDescent="0.2">
      <c r="A239" s="3">
        <v>238</v>
      </c>
      <c r="B239" s="3">
        <v>19</v>
      </c>
      <c r="C239" s="3" t="s">
        <v>15</v>
      </c>
      <c r="D239" s="3">
        <v>27</v>
      </c>
      <c r="E239" s="3">
        <v>42.9</v>
      </c>
      <c r="F239" s="3" t="s">
        <v>18</v>
      </c>
      <c r="G239" s="3" t="s">
        <v>23</v>
      </c>
      <c r="H239" s="3">
        <v>2</v>
      </c>
      <c r="I239" s="3">
        <v>82.8</v>
      </c>
      <c r="J239" s="3">
        <v>9</v>
      </c>
      <c r="K239" s="3">
        <v>1108.32</v>
      </c>
      <c r="L239" s="3">
        <v>0</v>
      </c>
      <c r="M239" s="3" t="s">
        <v>89</v>
      </c>
      <c r="N239" s="3" t="s">
        <v>97</v>
      </c>
      <c r="O239" s="3" t="s">
        <v>98</v>
      </c>
      <c r="P239" s="3" t="s">
        <v>73</v>
      </c>
    </row>
    <row r="240" spans="1:16" x14ac:dyDescent="0.2">
      <c r="A240" s="3">
        <v>239</v>
      </c>
      <c r="B240" s="3">
        <v>61</v>
      </c>
      <c r="C240" s="3" t="s">
        <v>16</v>
      </c>
      <c r="D240" s="3">
        <v>63</v>
      </c>
      <c r="E240" s="3">
        <v>74.28</v>
      </c>
      <c r="F240" s="3" t="s">
        <v>20</v>
      </c>
      <c r="G240" s="3" t="s">
        <v>22</v>
      </c>
      <c r="H240" s="3">
        <v>1</v>
      </c>
      <c r="I240" s="3">
        <v>88.6</v>
      </c>
      <c r="J240" s="3">
        <v>7</v>
      </c>
      <c r="K240" s="3">
        <v>4336.93</v>
      </c>
      <c r="L240" s="3">
        <v>1</v>
      </c>
      <c r="M240" s="3" t="s">
        <v>89</v>
      </c>
      <c r="N240" s="3" t="s">
        <v>96</v>
      </c>
      <c r="O240" s="3" t="s">
        <v>98</v>
      </c>
      <c r="P240" s="3" t="s">
        <v>75</v>
      </c>
    </row>
    <row r="241" spans="1:16" x14ac:dyDescent="0.2">
      <c r="A241" s="3">
        <v>240</v>
      </c>
      <c r="B241" s="3">
        <v>43</v>
      </c>
      <c r="C241" s="3" t="s">
        <v>16</v>
      </c>
      <c r="D241" s="3">
        <v>17</v>
      </c>
      <c r="E241" s="3">
        <v>63.15</v>
      </c>
      <c r="F241" s="3" t="s">
        <v>20</v>
      </c>
      <c r="G241" s="3" t="s">
        <v>24</v>
      </c>
      <c r="H241" s="3">
        <v>2</v>
      </c>
      <c r="I241" s="3">
        <v>54.9</v>
      </c>
      <c r="J241" s="3">
        <v>3</v>
      </c>
      <c r="K241" s="3">
        <v>1101.3699999999999</v>
      </c>
      <c r="L241" s="3">
        <v>0</v>
      </c>
      <c r="M241" s="3" t="s">
        <v>91</v>
      </c>
      <c r="N241" s="3" t="s">
        <v>94</v>
      </c>
      <c r="O241" s="3" t="s">
        <v>100</v>
      </c>
      <c r="P241" s="3" t="s">
        <v>122</v>
      </c>
    </row>
    <row r="242" spans="1:16" x14ac:dyDescent="0.2">
      <c r="A242" s="3">
        <v>241</v>
      </c>
      <c r="B242" s="3">
        <v>49</v>
      </c>
      <c r="C242" s="3" t="s">
        <v>16</v>
      </c>
      <c r="D242" s="3">
        <v>33</v>
      </c>
      <c r="E242" s="3">
        <v>53.28</v>
      </c>
      <c r="F242" s="3" t="s">
        <v>19</v>
      </c>
      <c r="G242" s="3" t="s">
        <v>24</v>
      </c>
      <c r="H242" s="3">
        <v>2</v>
      </c>
      <c r="I242" s="3">
        <v>28.2</v>
      </c>
      <c r="J242" s="3">
        <v>4</v>
      </c>
      <c r="K242" s="3">
        <v>1601.52</v>
      </c>
      <c r="L242" s="3">
        <v>1</v>
      </c>
      <c r="M242" s="3" t="s">
        <v>89</v>
      </c>
      <c r="N242" s="3" t="s">
        <v>94</v>
      </c>
      <c r="O242" s="3" t="s">
        <v>124</v>
      </c>
      <c r="P242" s="3" t="s">
        <v>122</v>
      </c>
    </row>
    <row r="243" spans="1:16" x14ac:dyDescent="0.2">
      <c r="A243" s="3">
        <v>242</v>
      </c>
      <c r="B243" s="3">
        <v>23</v>
      </c>
      <c r="C243" s="3" t="s">
        <v>15</v>
      </c>
      <c r="D243" s="3">
        <v>29</v>
      </c>
      <c r="E243" s="3">
        <v>93.05</v>
      </c>
      <c r="F243" s="3" t="s">
        <v>18</v>
      </c>
      <c r="G243" s="3" t="s">
        <v>22</v>
      </c>
      <c r="H243" s="3">
        <v>2</v>
      </c>
      <c r="I243" s="3">
        <v>15.7</v>
      </c>
      <c r="J243" s="3">
        <v>6</v>
      </c>
      <c r="K243" s="3">
        <v>2832.64</v>
      </c>
      <c r="L243" s="3">
        <v>1</v>
      </c>
      <c r="M243" s="3" t="s">
        <v>89</v>
      </c>
      <c r="N243" s="3" t="s">
        <v>95</v>
      </c>
      <c r="O243" s="3" t="s">
        <v>99</v>
      </c>
      <c r="P243" s="3" t="s">
        <v>75</v>
      </c>
    </row>
    <row r="244" spans="1:16" x14ac:dyDescent="0.2">
      <c r="A244" s="3">
        <v>243</v>
      </c>
      <c r="B244" s="3">
        <v>49</v>
      </c>
      <c r="C244" s="3" t="s">
        <v>15</v>
      </c>
      <c r="D244" s="3">
        <v>13</v>
      </c>
      <c r="E244" s="3">
        <v>89.37</v>
      </c>
      <c r="F244" s="3" t="s">
        <v>18</v>
      </c>
      <c r="G244" s="3" t="s">
        <v>22</v>
      </c>
      <c r="H244" s="3">
        <v>1</v>
      </c>
      <c r="I244" s="3">
        <v>13.3</v>
      </c>
      <c r="J244" s="3">
        <v>5</v>
      </c>
      <c r="K244" s="3">
        <v>1119.42</v>
      </c>
      <c r="L244" s="3">
        <v>0</v>
      </c>
      <c r="M244" s="3" t="s">
        <v>91</v>
      </c>
      <c r="N244" s="3" t="s">
        <v>95</v>
      </c>
      <c r="O244" s="3" t="s">
        <v>99</v>
      </c>
      <c r="P244" s="3" t="s">
        <v>75</v>
      </c>
    </row>
    <row r="245" spans="1:16" x14ac:dyDescent="0.2">
      <c r="A245" s="3">
        <v>244</v>
      </c>
      <c r="B245" s="3">
        <v>21</v>
      </c>
      <c r="C245" s="3" t="s">
        <v>15</v>
      </c>
      <c r="D245" s="3">
        <v>46</v>
      </c>
      <c r="E245" s="3">
        <v>36.67</v>
      </c>
      <c r="F245" s="3" t="s">
        <v>18</v>
      </c>
      <c r="G245" s="3" t="s">
        <v>22</v>
      </c>
      <c r="H245" s="3">
        <v>3</v>
      </c>
      <c r="I245" s="3">
        <v>73.3</v>
      </c>
      <c r="J245" s="3">
        <v>2</v>
      </c>
      <c r="K245" s="3">
        <v>1518.18</v>
      </c>
      <c r="L245" s="3">
        <v>1</v>
      </c>
      <c r="M245" s="3" t="s">
        <v>89</v>
      </c>
      <c r="N245" s="3" t="s">
        <v>94</v>
      </c>
      <c r="O245" s="3" t="s">
        <v>100</v>
      </c>
      <c r="P245" s="3" t="s">
        <v>73</v>
      </c>
    </row>
    <row r="246" spans="1:16" x14ac:dyDescent="0.2">
      <c r="A246" s="3">
        <v>245</v>
      </c>
      <c r="B246" s="3">
        <v>28</v>
      </c>
      <c r="C246" s="3" t="s">
        <v>15</v>
      </c>
      <c r="D246" s="3">
        <v>35</v>
      </c>
      <c r="E246" s="3">
        <v>107.86</v>
      </c>
      <c r="F246" s="3" t="s">
        <v>18</v>
      </c>
      <c r="G246" s="3" t="s">
        <v>23</v>
      </c>
      <c r="H246" s="3">
        <v>4</v>
      </c>
      <c r="I246" s="3">
        <v>44.9</v>
      </c>
      <c r="J246" s="3">
        <v>6</v>
      </c>
      <c r="K246" s="3">
        <v>3783.5</v>
      </c>
      <c r="L246" s="3">
        <v>0</v>
      </c>
      <c r="M246" s="3" t="s">
        <v>89</v>
      </c>
      <c r="N246" s="3" t="s">
        <v>95</v>
      </c>
      <c r="O246" s="3" t="s">
        <v>124</v>
      </c>
      <c r="P246" s="3" t="s">
        <v>121</v>
      </c>
    </row>
    <row r="247" spans="1:16" x14ac:dyDescent="0.2">
      <c r="A247" s="3">
        <v>246</v>
      </c>
      <c r="B247" s="3">
        <v>34</v>
      </c>
      <c r="C247" s="3" t="s">
        <v>16</v>
      </c>
      <c r="D247" s="3">
        <v>6</v>
      </c>
      <c r="E247" s="3">
        <v>69.540000000000006</v>
      </c>
      <c r="F247" s="3" t="s">
        <v>18</v>
      </c>
      <c r="G247" s="3" t="s">
        <v>23</v>
      </c>
      <c r="H247" s="3">
        <v>2</v>
      </c>
      <c r="I247" s="3">
        <v>91</v>
      </c>
      <c r="J247" s="3">
        <v>3</v>
      </c>
      <c r="K247" s="3">
        <v>379.43</v>
      </c>
      <c r="L247" s="3">
        <v>1</v>
      </c>
      <c r="M247" s="3" t="s">
        <v>92</v>
      </c>
      <c r="N247" s="3" t="s">
        <v>94</v>
      </c>
      <c r="O247" s="3" t="s">
        <v>98</v>
      </c>
      <c r="P247" s="3" t="s">
        <v>122</v>
      </c>
    </row>
    <row r="248" spans="1:16" x14ac:dyDescent="0.2">
      <c r="A248" s="3">
        <v>247</v>
      </c>
      <c r="B248" s="3">
        <v>55</v>
      </c>
      <c r="C248" s="3" t="s">
        <v>16</v>
      </c>
      <c r="D248" s="3">
        <v>69</v>
      </c>
      <c r="E248" s="3">
        <v>94.15</v>
      </c>
      <c r="F248" s="3" t="s">
        <v>19</v>
      </c>
      <c r="G248" s="3" t="s">
        <v>24</v>
      </c>
      <c r="H248" s="3">
        <v>3</v>
      </c>
      <c r="I248" s="3">
        <v>75.3</v>
      </c>
      <c r="J248" s="3">
        <v>8</v>
      </c>
      <c r="K248" s="3">
        <v>6205.53</v>
      </c>
      <c r="L248" s="3">
        <v>1</v>
      </c>
      <c r="M248" s="3" t="s">
        <v>89</v>
      </c>
      <c r="N248" s="3" t="s">
        <v>96</v>
      </c>
      <c r="O248" s="3" t="s">
        <v>100</v>
      </c>
      <c r="P248" s="3" t="s">
        <v>75</v>
      </c>
    </row>
    <row r="249" spans="1:16" x14ac:dyDescent="0.2">
      <c r="A249" s="3">
        <v>248</v>
      </c>
      <c r="B249" s="3">
        <v>41</v>
      </c>
      <c r="C249" s="3" t="s">
        <v>15</v>
      </c>
      <c r="D249" s="3">
        <v>47</v>
      </c>
      <c r="E249" s="3">
        <v>77.319999999999993</v>
      </c>
      <c r="F249" s="3" t="s">
        <v>19</v>
      </c>
      <c r="G249" s="3" t="s">
        <v>22</v>
      </c>
      <c r="H249" s="3">
        <v>3</v>
      </c>
      <c r="I249" s="3">
        <v>23.2</v>
      </c>
      <c r="J249" s="3">
        <v>2</v>
      </c>
      <c r="K249" s="3">
        <v>3784.47</v>
      </c>
      <c r="L249" s="3">
        <v>1</v>
      </c>
      <c r="M249" s="3" t="s">
        <v>89</v>
      </c>
      <c r="N249" s="3" t="s">
        <v>94</v>
      </c>
      <c r="O249" s="3" t="s">
        <v>99</v>
      </c>
      <c r="P249" s="3" t="s">
        <v>75</v>
      </c>
    </row>
    <row r="250" spans="1:16" x14ac:dyDescent="0.2">
      <c r="A250" s="3">
        <v>249</v>
      </c>
      <c r="B250" s="3">
        <v>22</v>
      </c>
      <c r="C250" s="3" t="s">
        <v>16</v>
      </c>
      <c r="D250" s="3">
        <v>25</v>
      </c>
      <c r="E250" s="3">
        <v>119.77</v>
      </c>
      <c r="F250" s="3" t="s">
        <v>18</v>
      </c>
      <c r="G250" s="3" t="s">
        <v>23</v>
      </c>
      <c r="H250" s="3">
        <v>3</v>
      </c>
      <c r="I250" s="3">
        <v>63.3</v>
      </c>
      <c r="J250" s="3">
        <v>1</v>
      </c>
      <c r="K250" s="3">
        <v>2732.37</v>
      </c>
      <c r="L250" s="3">
        <v>1</v>
      </c>
      <c r="M250" s="3" t="s">
        <v>89</v>
      </c>
      <c r="N250" s="3" t="s">
        <v>94</v>
      </c>
      <c r="O250" s="3" t="s">
        <v>100</v>
      </c>
      <c r="P250" s="3" t="s">
        <v>121</v>
      </c>
    </row>
    <row r="251" spans="1:16" x14ac:dyDescent="0.2">
      <c r="A251" s="3">
        <v>250</v>
      </c>
      <c r="B251" s="3">
        <v>69</v>
      </c>
      <c r="C251" s="3" t="s">
        <v>16</v>
      </c>
      <c r="D251" s="3">
        <v>66</v>
      </c>
      <c r="E251" s="3">
        <v>95.24</v>
      </c>
      <c r="F251" s="3" t="s">
        <v>18</v>
      </c>
      <c r="G251" s="3" t="s">
        <v>22</v>
      </c>
      <c r="H251" s="3">
        <v>5</v>
      </c>
      <c r="I251" s="3">
        <v>46.4</v>
      </c>
      <c r="J251" s="3">
        <v>9</v>
      </c>
      <c r="K251" s="3">
        <v>6712.45</v>
      </c>
      <c r="L251" s="3">
        <v>0</v>
      </c>
      <c r="M251" s="3" t="s">
        <v>89</v>
      </c>
      <c r="N251" s="3" t="s">
        <v>97</v>
      </c>
      <c r="O251" s="3" t="s">
        <v>124</v>
      </c>
      <c r="P251" s="3" t="s">
        <v>121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EB32-71E7-724A-AF01-E8D2A9FF99E7}">
  <dimension ref="A1:K251"/>
  <sheetViews>
    <sheetView topLeftCell="F1" zoomScale="150" workbookViewId="0">
      <selection sqref="A1:B133"/>
    </sheetView>
  </sheetViews>
  <sheetFormatPr baseColWidth="10" defaultRowHeight="15" x14ac:dyDescent="0.2"/>
  <sheetData>
    <row r="1" spans="1:7" x14ac:dyDescent="0.2">
      <c r="A1" t="s">
        <v>10</v>
      </c>
      <c r="B1" t="s">
        <v>11</v>
      </c>
      <c r="C1" t="s">
        <v>13</v>
      </c>
      <c r="D1" t="s">
        <v>26</v>
      </c>
      <c r="E1" t="s">
        <v>28</v>
      </c>
      <c r="F1" t="s">
        <v>27</v>
      </c>
      <c r="G1" t="s">
        <v>13</v>
      </c>
    </row>
    <row r="2" spans="1:7" x14ac:dyDescent="0.2">
      <c r="A2">
        <v>52.7</v>
      </c>
      <c r="B2">
        <v>6</v>
      </c>
      <c r="C2">
        <v>1</v>
      </c>
      <c r="D2" t="e">
        <f xml:space="preserve"> IF($C2=0, $A2, NA())</f>
        <v>#N/A</v>
      </c>
      <c r="E2" t="e">
        <f xml:space="preserve"> IF($C2=0, B2, NA())</f>
        <v>#N/A</v>
      </c>
      <c r="F2">
        <f xml:space="preserve"> IF($C2=1, A2, NA())</f>
        <v>52.7</v>
      </c>
      <c r="G2">
        <f xml:space="preserve"> IF($C2=1, $B2, NA())</f>
        <v>6</v>
      </c>
    </row>
    <row r="3" spans="1:7" x14ac:dyDescent="0.2">
      <c r="A3">
        <v>16.8</v>
      </c>
      <c r="B3">
        <v>1</v>
      </c>
      <c r="C3">
        <v>1</v>
      </c>
      <c r="D3" t="e">
        <f t="shared" ref="D3:D66" si="0" xml:space="preserve"> IF($C3=0, $A3, NA())</f>
        <v>#N/A</v>
      </c>
      <c r="E3" t="e">
        <f t="shared" ref="E3:E66" si="1" xml:space="preserve"> IF($C3=0, B3, NA())</f>
        <v>#N/A</v>
      </c>
      <c r="F3">
        <f t="shared" ref="F3:F66" si="2" xml:space="preserve"> IF($C3=1, A3, NA())</f>
        <v>16.8</v>
      </c>
      <c r="G3">
        <f t="shared" ref="G3:G66" si="3" xml:space="preserve"> IF($C3=1, $B3, NA())</f>
        <v>1</v>
      </c>
    </row>
    <row r="4" spans="1:7" x14ac:dyDescent="0.2">
      <c r="A4">
        <v>41.6</v>
      </c>
      <c r="B4">
        <v>5</v>
      </c>
      <c r="C4">
        <v>0</v>
      </c>
      <c r="D4">
        <f t="shared" si="0"/>
        <v>41.6</v>
      </c>
      <c r="E4">
        <f t="shared" si="1"/>
        <v>5</v>
      </c>
      <c r="F4" t="e">
        <f t="shared" si="2"/>
        <v>#N/A</v>
      </c>
      <c r="G4" t="e">
        <f t="shared" si="3"/>
        <v>#N/A</v>
      </c>
    </row>
    <row r="5" spans="1:7" x14ac:dyDescent="0.2">
      <c r="A5">
        <v>66.099999999999994</v>
      </c>
      <c r="B5">
        <v>3</v>
      </c>
      <c r="C5">
        <v>1</v>
      </c>
      <c r="D5" t="e">
        <f t="shared" si="0"/>
        <v>#N/A</v>
      </c>
      <c r="E5" t="e">
        <f t="shared" si="1"/>
        <v>#N/A</v>
      </c>
      <c r="F5">
        <f t="shared" si="2"/>
        <v>66.099999999999994</v>
      </c>
      <c r="G5">
        <f t="shared" si="3"/>
        <v>3</v>
      </c>
    </row>
    <row r="6" spans="1:7" x14ac:dyDescent="0.2">
      <c r="A6">
        <v>79.099999999999994</v>
      </c>
      <c r="B6">
        <v>1</v>
      </c>
      <c r="C6">
        <v>1</v>
      </c>
      <c r="D6" t="e">
        <f t="shared" si="0"/>
        <v>#N/A</v>
      </c>
      <c r="E6" t="e">
        <f t="shared" si="1"/>
        <v>#N/A</v>
      </c>
      <c r="F6">
        <f t="shared" si="2"/>
        <v>79.099999999999994</v>
      </c>
      <c r="G6">
        <f t="shared" si="3"/>
        <v>1</v>
      </c>
    </row>
    <row r="7" spans="1:7" x14ac:dyDescent="0.2">
      <c r="A7">
        <v>25.6</v>
      </c>
      <c r="B7">
        <v>4</v>
      </c>
      <c r="C7">
        <v>1</v>
      </c>
      <c r="D7" t="e">
        <f t="shared" si="0"/>
        <v>#N/A</v>
      </c>
      <c r="E7" t="e">
        <f t="shared" si="1"/>
        <v>#N/A</v>
      </c>
      <c r="F7">
        <f t="shared" si="2"/>
        <v>25.6</v>
      </c>
      <c r="G7">
        <f t="shared" si="3"/>
        <v>4</v>
      </c>
    </row>
    <row r="8" spans="1:7" x14ac:dyDescent="0.2">
      <c r="A8">
        <v>18.100000000000001</v>
      </c>
      <c r="B8">
        <v>2</v>
      </c>
      <c r="C8">
        <v>1</v>
      </c>
      <c r="D8" t="e">
        <f t="shared" si="0"/>
        <v>#N/A</v>
      </c>
      <c r="E8" t="e">
        <f t="shared" si="1"/>
        <v>#N/A</v>
      </c>
      <c r="F8">
        <f t="shared" si="2"/>
        <v>18.100000000000001</v>
      </c>
      <c r="G8">
        <f t="shared" si="3"/>
        <v>2</v>
      </c>
    </row>
    <row r="9" spans="1:7" x14ac:dyDescent="0.2">
      <c r="A9">
        <v>68</v>
      </c>
      <c r="B9">
        <v>2</v>
      </c>
      <c r="C9">
        <v>0</v>
      </c>
      <c r="D9">
        <f t="shared" si="0"/>
        <v>68</v>
      </c>
      <c r="E9">
        <f t="shared" si="1"/>
        <v>2</v>
      </c>
      <c r="F9" t="e">
        <f t="shared" si="2"/>
        <v>#N/A</v>
      </c>
      <c r="G9" t="e">
        <f t="shared" si="3"/>
        <v>#N/A</v>
      </c>
    </row>
    <row r="10" spans="1:7" x14ac:dyDescent="0.2">
      <c r="A10">
        <v>5.2</v>
      </c>
      <c r="B10">
        <v>3</v>
      </c>
      <c r="C10">
        <v>1</v>
      </c>
      <c r="D10" t="e">
        <f t="shared" si="0"/>
        <v>#N/A</v>
      </c>
      <c r="E10" t="e">
        <f t="shared" si="1"/>
        <v>#N/A</v>
      </c>
      <c r="F10">
        <f t="shared" si="2"/>
        <v>5.2</v>
      </c>
      <c r="G10">
        <f t="shared" si="3"/>
        <v>3</v>
      </c>
    </row>
    <row r="11" spans="1:7" x14ac:dyDescent="0.2">
      <c r="A11">
        <v>21.9</v>
      </c>
      <c r="B11">
        <v>8</v>
      </c>
      <c r="C11">
        <v>0</v>
      </c>
      <c r="D11">
        <f t="shared" si="0"/>
        <v>21.9</v>
      </c>
      <c r="E11">
        <f t="shared" si="1"/>
        <v>8</v>
      </c>
      <c r="F11" t="e">
        <f t="shared" si="2"/>
        <v>#N/A</v>
      </c>
      <c r="G11" t="e">
        <f t="shared" si="3"/>
        <v>#N/A</v>
      </c>
    </row>
    <row r="12" spans="1:7" x14ac:dyDescent="0.2">
      <c r="A12">
        <v>7.8</v>
      </c>
      <c r="B12">
        <v>8</v>
      </c>
      <c r="C12">
        <v>0</v>
      </c>
      <c r="D12">
        <f t="shared" si="0"/>
        <v>7.8</v>
      </c>
      <c r="E12">
        <f t="shared" si="1"/>
        <v>8</v>
      </c>
      <c r="F12" t="e">
        <f t="shared" si="2"/>
        <v>#N/A</v>
      </c>
      <c r="G12" t="e">
        <f t="shared" si="3"/>
        <v>#N/A</v>
      </c>
    </row>
    <row r="13" spans="1:7" x14ac:dyDescent="0.2">
      <c r="A13">
        <v>20.9</v>
      </c>
      <c r="B13">
        <v>7</v>
      </c>
      <c r="C13">
        <v>0</v>
      </c>
      <c r="D13">
        <f t="shared" si="0"/>
        <v>20.9</v>
      </c>
      <c r="E13">
        <f t="shared" si="1"/>
        <v>7</v>
      </c>
      <c r="F13" t="e">
        <f t="shared" si="2"/>
        <v>#N/A</v>
      </c>
      <c r="G13" t="e">
        <f t="shared" si="3"/>
        <v>#N/A</v>
      </c>
    </row>
    <row r="14" spans="1:7" x14ac:dyDescent="0.2">
      <c r="A14">
        <v>22.2</v>
      </c>
      <c r="B14">
        <v>6</v>
      </c>
      <c r="C14">
        <v>0</v>
      </c>
      <c r="D14">
        <f t="shared" si="0"/>
        <v>22.2</v>
      </c>
      <c r="E14">
        <f t="shared" si="1"/>
        <v>6</v>
      </c>
      <c r="F14" t="e">
        <f t="shared" si="2"/>
        <v>#N/A</v>
      </c>
      <c r="G14" t="e">
        <f t="shared" si="3"/>
        <v>#N/A</v>
      </c>
    </row>
    <row r="15" spans="1:7" x14ac:dyDescent="0.2">
      <c r="A15">
        <v>41.8</v>
      </c>
      <c r="B15">
        <v>9</v>
      </c>
      <c r="C15">
        <v>1</v>
      </c>
      <c r="D15" t="e">
        <f t="shared" si="0"/>
        <v>#N/A</v>
      </c>
      <c r="E15" t="e">
        <f t="shared" si="1"/>
        <v>#N/A</v>
      </c>
      <c r="F15">
        <f t="shared" si="2"/>
        <v>41.8</v>
      </c>
      <c r="G15">
        <f t="shared" si="3"/>
        <v>9</v>
      </c>
    </row>
    <row r="16" spans="1:7" x14ac:dyDescent="0.2">
      <c r="A16">
        <v>43.2</v>
      </c>
      <c r="B16">
        <v>4</v>
      </c>
      <c r="C16">
        <v>0</v>
      </c>
      <c r="D16">
        <f t="shared" si="0"/>
        <v>43.2</v>
      </c>
      <c r="E16">
        <f t="shared" si="1"/>
        <v>4</v>
      </c>
      <c r="F16" t="e">
        <f t="shared" si="2"/>
        <v>#N/A</v>
      </c>
      <c r="G16" t="e">
        <f t="shared" si="3"/>
        <v>#N/A</v>
      </c>
    </row>
    <row r="17" spans="1:11" x14ac:dyDescent="0.2">
      <c r="A17">
        <v>88.1</v>
      </c>
      <c r="B17">
        <v>1</v>
      </c>
      <c r="C17">
        <v>1</v>
      </c>
      <c r="D17" t="e">
        <f t="shared" si="0"/>
        <v>#N/A</v>
      </c>
      <c r="E17" t="e">
        <f t="shared" si="1"/>
        <v>#N/A</v>
      </c>
      <c r="F17">
        <f t="shared" si="2"/>
        <v>88.1</v>
      </c>
      <c r="G17">
        <f t="shared" si="3"/>
        <v>1</v>
      </c>
    </row>
    <row r="18" spans="1:11" x14ac:dyDescent="0.2">
      <c r="A18">
        <v>53.5</v>
      </c>
      <c r="B18">
        <v>8</v>
      </c>
      <c r="C18">
        <v>0</v>
      </c>
      <c r="D18">
        <f t="shared" si="0"/>
        <v>53.5</v>
      </c>
      <c r="E18">
        <f t="shared" si="1"/>
        <v>8</v>
      </c>
      <c r="F18" t="e">
        <f t="shared" si="2"/>
        <v>#N/A</v>
      </c>
      <c r="G18" t="e">
        <f t="shared" si="3"/>
        <v>#N/A</v>
      </c>
    </row>
    <row r="19" spans="1:11" x14ac:dyDescent="0.2">
      <c r="A19">
        <v>73.7</v>
      </c>
      <c r="B19">
        <v>7</v>
      </c>
      <c r="C19">
        <v>0</v>
      </c>
      <c r="D19">
        <f t="shared" si="0"/>
        <v>73.7</v>
      </c>
      <c r="E19">
        <f t="shared" si="1"/>
        <v>7</v>
      </c>
      <c r="F19" t="e">
        <f t="shared" si="2"/>
        <v>#N/A</v>
      </c>
      <c r="G19" t="e">
        <f t="shared" si="3"/>
        <v>#N/A</v>
      </c>
    </row>
    <row r="20" spans="1:11" x14ac:dyDescent="0.2">
      <c r="A20">
        <v>14.9</v>
      </c>
      <c r="B20">
        <v>7</v>
      </c>
      <c r="C20">
        <v>1</v>
      </c>
      <c r="D20" t="e">
        <f t="shared" si="0"/>
        <v>#N/A</v>
      </c>
      <c r="E20" t="e">
        <f t="shared" si="1"/>
        <v>#N/A</v>
      </c>
      <c r="F20">
        <f t="shared" si="2"/>
        <v>14.9</v>
      </c>
      <c r="G20">
        <f t="shared" si="3"/>
        <v>7</v>
      </c>
      <c r="K20" s="5"/>
    </row>
    <row r="21" spans="1:11" x14ac:dyDescent="0.2">
      <c r="A21">
        <v>26.4</v>
      </c>
      <c r="B21">
        <v>3</v>
      </c>
      <c r="C21">
        <v>1</v>
      </c>
      <c r="D21" t="e">
        <f t="shared" si="0"/>
        <v>#N/A</v>
      </c>
      <c r="E21" t="e">
        <f t="shared" si="1"/>
        <v>#N/A</v>
      </c>
      <c r="F21">
        <f t="shared" si="2"/>
        <v>26.4</v>
      </c>
      <c r="G21">
        <f t="shared" si="3"/>
        <v>3</v>
      </c>
    </row>
    <row r="22" spans="1:11" x14ac:dyDescent="0.2">
      <c r="A22">
        <v>71.8</v>
      </c>
      <c r="B22">
        <v>4</v>
      </c>
      <c r="C22">
        <v>0</v>
      </c>
      <c r="D22">
        <f t="shared" si="0"/>
        <v>71.8</v>
      </c>
      <c r="E22">
        <f t="shared" si="1"/>
        <v>4</v>
      </c>
      <c r="F22" t="e">
        <f t="shared" si="2"/>
        <v>#N/A</v>
      </c>
      <c r="G22" t="e">
        <f t="shared" si="3"/>
        <v>#N/A</v>
      </c>
    </row>
    <row r="23" spans="1:11" x14ac:dyDescent="0.2">
      <c r="A23">
        <v>10</v>
      </c>
      <c r="B23">
        <v>10</v>
      </c>
      <c r="C23">
        <v>1</v>
      </c>
      <c r="D23" t="e">
        <f t="shared" si="0"/>
        <v>#N/A</v>
      </c>
      <c r="E23" t="e">
        <f t="shared" si="1"/>
        <v>#N/A</v>
      </c>
      <c r="F23">
        <f t="shared" si="2"/>
        <v>10</v>
      </c>
      <c r="G23">
        <f t="shared" si="3"/>
        <v>10</v>
      </c>
    </row>
    <row r="24" spans="1:11" x14ac:dyDescent="0.2">
      <c r="A24">
        <v>51.2</v>
      </c>
      <c r="B24">
        <v>9</v>
      </c>
      <c r="C24">
        <v>1</v>
      </c>
      <c r="D24" t="e">
        <f t="shared" si="0"/>
        <v>#N/A</v>
      </c>
      <c r="E24" t="e">
        <f t="shared" si="1"/>
        <v>#N/A</v>
      </c>
      <c r="F24">
        <f t="shared" si="2"/>
        <v>51.2</v>
      </c>
      <c r="G24">
        <f t="shared" si="3"/>
        <v>9</v>
      </c>
    </row>
    <row r="25" spans="1:11" x14ac:dyDescent="0.2">
      <c r="A25">
        <v>61.9</v>
      </c>
      <c r="B25">
        <v>6</v>
      </c>
      <c r="C25">
        <v>0</v>
      </c>
      <c r="D25">
        <f t="shared" si="0"/>
        <v>61.9</v>
      </c>
      <c r="E25">
        <f t="shared" si="1"/>
        <v>6</v>
      </c>
      <c r="F25" t="e">
        <f t="shared" si="2"/>
        <v>#N/A</v>
      </c>
      <c r="G25" t="e">
        <f t="shared" si="3"/>
        <v>#N/A</v>
      </c>
    </row>
    <row r="26" spans="1:11" x14ac:dyDescent="0.2">
      <c r="A26">
        <v>62.2</v>
      </c>
      <c r="B26">
        <v>5</v>
      </c>
      <c r="C26">
        <v>0</v>
      </c>
      <c r="D26">
        <f t="shared" si="0"/>
        <v>62.2</v>
      </c>
      <c r="E26">
        <f t="shared" si="1"/>
        <v>5</v>
      </c>
      <c r="F26" t="e">
        <f t="shared" si="2"/>
        <v>#N/A</v>
      </c>
      <c r="G26" t="e">
        <f t="shared" si="3"/>
        <v>#N/A</v>
      </c>
    </row>
    <row r="27" spans="1:11" x14ac:dyDescent="0.2">
      <c r="A27">
        <v>7.2</v>
      </c>
      <c r="B27">
        <v>3</v>
      </c>
      <c r="C27">
        <v>0</v>
      </c>
      <c r="D27">
        <f t="shared" si="0"/>
        <v>7.2</v>
      </c>
      <c r="E27">
        <f t="shared" si="1"/>
        <v>3</v>
      </c>
      <c r="F27" t="e">
        <f t="shared" si="2"/>
        <v>#N/A</v>
      </c>
      <c r="G27" t="e">
        <f t="shared" si="3"/>
        <v>#N/A</v>
      </c>
    </row>
    <row r="28" spans="1:11" x14ac:dyDescent="0.2">
      <c r="A28">
        <v>35.6</v>
      </c>
      <c r="B28">
        <v>9</v>
      </c>
      <c r="C28">
        <v>0</v>
      </c>
      <c r="D28">
        <f t="shared" si="0"/>
        <v>35.6</v>
      </c>
      <c r="E28">
        <f t="shared" si="1"/>
        <v>9</v>
      </c>
      <c r="F28" t="e">
        <f t="shared" si="2"/>
        <v>#N/A</v>
      </c>
      <c r="G28" t="e">
        <f t="shared" si="3"/>
        <v>#N/A</v>
      </c>
    </row>
    <row r="29" spans="1:11" x14ac:dyDescent="0.2">
      <c r="A29">
        <v>65.5</v>
      </c>
      <c r="B29">
        <v>5</v>
      </c>
      <c r="C29">
        <v>0</v>
      </c>
      <c r="D29">
        <f t="shared" si="0"/>
        <v>65.5</v>
      </c>
      <c r="E29">
        <f t="shared" si="1"/>
        <v>5</v>
      </c>
      <c r="F29" t="e">
        <f t="shared" si="2"/>
        <v>#N/A</v>
      </c>
      <c r="G29" t="e">
        <f t="shared" si="3"/>
        <v>#N/A</v>
      </c>
    </row>
    <row r="30" spans="1:11" x14ac:dyDescent="0.2">
      <c r="A30">
        <v>19.2</v>
      </c>
      <c r="B30">
        <v>5</v>
      </c>
      <c r="C30">
        <v>0</v>
      </c>
      <c r="D30">
        <f t="shared" si="0"/>
        <v>19.2</v>
      </c>
      <c r="E30">
        <f t="shared" si="1"/>
        <v>5</v>
      </c>
      <c r="F30" t="e">
        <f t="shared" si="2"/>
        <v>#N/A</v>
      </c>
      <c r="G30" t="e">
        <f t="shared" si="3"/>
        <v>#N/A</v>
      </c>
    </row>
    <row r="31" spans="1:11" x14ac:dyDescent="0.2">
      <c r="A31">
        <v>71.099999999999994</v>
      </c>
      <c r="B31">
        <v>4</v>
      </c>
      <c r="C31">
        <v>1</v>
      </c>
      <c r="D31" t="e">
        <f t="shared" si="0"/>
        <v>#N/A</v>
      </c>
      <c r="E31" t="e">
        <f t="shared" si="1"/>
        <v>#N/A</v>
      </c>
      <c r="F31">
        <f t="shared" si="2"/>
        <v>71.099999999999994</v>
      </c>
      <c r="G31">
        <f t="shared" si="3"/>
        <v>4</v>
      </c>
    </row>
    <row r="32" spans="1:11" x14ac:dyDescent="0.2">
      <c r="A32">
        <v>75.900000000000006</v>
      </c>
      <c r="B32">
        <v>4</v>
      </c>
      <c r="C32">
        <v>1</v>
      </c>
      <c r="D32" t="e">
        <f t="shared" si="0"/>
        <v>#N/A</v>
      </c>
      <c r="E32" t="e">
        <f t="shared" si="1"/>
        <v>#N/A</v>
      </c>
      <c r="F32">
        <f t="shared" si="2"/>
        <v>75.900000000000006</v>
      </c>
      <c r="G32">
        <f t="shared" si="3"/>
        <v>4</v>
      </c>
    </row>
    <row r="33" spans="1:7" x14ac:dyDescent="0.2">
      <c r="A33">
        <v>98.3</v>
      </c>
      <c r="B33">
        <v>1</v>
      </c>
      <c r="C33">
        <v>0</v>
      </c>
      <c r="D33">
        <f t="shared" si="0"/>
        <v>98.3</v>
      </c>
      <c r="E33">
        <f t="shared" si="1"/>
        <v>1</v>
      </c>
      <c r="F33" t="e">
        <f t="shared" si="2"/>
        <v>#N/A</v>
      </c>
      <c r="G33" t="e">
        <f t="shared" si="3"/>
        <v>#N/A</v>
      </c>
    </row>
    <row r="34" spans="1:7" x14ac:dyDescent="0.2">
      <c r="A34">
        <v>24.9</v>
      </c>
      <c r="B34">
        <v>7</v>
      </c>
      <c r="C34">
        <v>0</v>
      </c>
      <c r="D34">
        <f t="shared" si="0"/>
        <v>24.9</v>
      </c>
      <c r="E34">
        <f t="shared" si="1"/>
        <v>7</v>
      </c>
      <c r="F34" t="e">
        <f t="shared" si="2"/>
        <v>#N/A</v>
      </c>
      <c r="G34" t="e">
        <f t="shared" si="3"/>
        <v>#N/A</v>
      </c>
    </row>
    <row r="35" spans="1:7" x14ac:dyDescent="0.2">
      <c r="A35">
        <v>83.4</v>
      </c>
      <c r="B35">
        <v>9</v>
      </c>
      <c r="C35">
        <v>1</v>
      </c>
      <c r="D35" t="e">
        <f t="shared" si="0"/>
        <v>#N/A</v>
      </c>
      <c r="E35" t="e">
        <f t="shared" si="1"/>
        <v>#N/A</v>
      </c>
      <c r="F35">
        <f t="shared" si="2"/>
        <v>83.4</v>
      </c>
      <c r="G35">
        <f t="shared" si="3"/>
        <v>9</v>
      </c>
    </row>
    <row r="36" spans="1:7" x14ac:dyDescent="0.2">
      <c r="A36">
        <v>54.4</v>
      </c>
      <c r="B36">
        <v>3</v>
      </c>
      <c r="C36">
        <v>1</v>
      </c>
      <c r="D36" t="e">
        <f t="shared" si="0"/>
        <v>#N/A</v>
      </c>
      <c r="E36" t="e">
        <f t="shared" si="1"/>
        <v>#N/A</v>
      </c>
      <c r="F36">
        <f t="shared" si="2"/>
        <v>54.4</v>
      </c>
      <c r="G36">
        <f t="shared" si="3"/>
        <v>3</v>
      </c>
    </row>
    <row r="37" spans="1:7" x14ac:dyDescent="0.2">
      <c r="A37">
        <v>40.5</v>
      </c>
      <c r="B37">
        <v>2</v>
      </c>
      <c r="C37">
        <v>0</v>
      </c>
      <c r="D37">
        <f t="shared" si="0"/>
        <v>40.5</v>
      </c>
      <c r="E37">
        <f t="shared" si="1"/>
        <v>2</v>
      </c>
      <c r="F37" t="e">
        <f t="shared" si="2"/>
        <v>#N/A</v>
      </c>
      <c r="G37" t="e">
        <f t="shared" si="3"/>
        <v>#N/A</v>
      </c>
    </row>
    <row r="38" spans="1:7" x14ac:dyDescent="0.2">
      <c r="A38">
        <v>16.600000000000001</v>
      </c>
      <c r="B38">
        <v>3</v>
      </c>
      <c r="C38">
        <v>0</v>
      </c>
      <c r="D38">
        <f t="shared" si="0"/>
        <v>16.600000000000001</v>
      </c>
      <c r="E38">
        <f t="shared" si="1"/>
        <v>3</v>
      </c>
      <c r="F38" t="e">
        <f t="shared" si="2"/>
        <v>#N/A</v>
      </c>
      <c r="G38" t="e">
        <f t="shared" si="3"/>
        <v>#N/A</v>
      </c>
    </row>
    <row r="39" spans="1:7" x14ac:dyDescent="0.2">
      <c r="A39">
        <v>74.900000000000006</v>
      </c>
      <c r="B39">
        <v>1</v>
      </c>
      <c r="C39">
        <v>0</v>
      </c>
      <c r="D39">
        <f t="shared" si="0"/>
        <v>74.900000000000006</v>
      </c>
      <c r="E39">
        <f t="shared" si="1"/>
        <v>1</v>
      </c>
      <c r="F39" t="e">
        <f t="shared" si="2"/>
        <v>#N/A</v>
      </c>
      <c r="G39" t="e">
        <f t="shared" si="3"/>
        <v>#N/A</v>
      </c>
    </row>
    <row r="40" spans="1:7" x14ac:dyDescent="0.2">
      <c r="A40">
        <v>27.4</v>
      </c>
      <c r="B40">
        <v>6</v>
      </c>
      <c r="C40">
        <v>1</v>
      </c>
      <c r="D40" t="e">
        <f t="shared" si="0"/>
        <v>#N/A</v>
      </c>
      <c r="E40" t="e">
        <f t="shared" si="1"/>
        <v>#N/A</v>
      </c>
      <c r="F40">
        <f t="shared" si="2"/>
        <v>27.4</v>
      </c>
      <c r="G40">
        <f t="shared" si="3"/>
        <v>6</v>
      </c>
    </row>
    <row r="41" spans="1:7" x14ac:dyDescent="0.2">
      <c r="A41">
        <v>40.299999999999997</v>
      </c>
      <c r="B41">
        <v>7</v>
      </c>
      <c r="C41">
        <v>0</v>
      </c>
      <c r="D41">
        <f t="shared" si="0"/>
        <v>40.299999999999997</v>
      </c>
      <c r="E41">
        <f t="shared" si="1"/>
        <v>7</v>
      </c>
      <c r="F41" t="e">
        <f t="shared" si="2"/>
        <v>#N/A</v>
      </c>
      <c r="G41" t="e">
        <f t="shared" si="3"/>
        <v>#N/A</v>
      </c>
    </row>
    <row r="42" spans="1:7" x14ac:dyDescent="0.2">
      <c r="A42">
        <v>10.9</v>
      </c>
      <c r="B42">
        <v>2</v>
      </c>
      <c r="C42">
        <v>1</v>
      </c>
      <c r="D42" t="e">
        <f t="shared" si="0"/>
        <v>#N/A</v>
      </c>
      <c r="E42" t="e">
        <f t="shared" si="1"/>
        <v>#N/A</v>
      </c>
      <c r="F42">
        <f t="shared" si="2"/>
        <v>10.9</v>
      </c>
      <c r="G42">
        <f t="shared" si="3"/>
        <v>2</v>
      </c>
    </row>
    <row r="43" spans="1:7" x14ac:dyDescent="0.2">
      <c r="A43">
        <v>81.099999999999994</v>
      </c>
      <c r="B43">
        <v>8</v>
      </c>
      <c r="C43">
        <v>1</v>
      </c>
      <c r="D43" t="e">
        <f t="shared" si="0"/>
        <v>#N/A</v>
      </c>
      <c r="E43" t="e">
        <f t="shared" si="1"/>
        <v>#N/A</v>
      </c>
      <c r="F43">
        <f t="shared" si="2"/>
        <v>81.099999999999994</v>
      </c>
      <c r="G43">
        <f t="shared" si="3"/>
        <v>8</v>
      </c>
    </row>
    <row r="44" spans="1:7" x14ac:dyDescent="0.2">
      <c r="A44">
        <v>77.8</v>
      </c>
      <c r="B44">
        <v>6</v>
      </c>
      <c r="C44">
        <v>1</v>
      </c>
      <c r="D44" t="e">
        <f t="shared" si="0"/>
        <v>#N/A</v>
      </c>
      <c r="E44" t="e">
        <f t="shared" si="1"/>
        <v>#N/A</v>
      </c>
      <c r="F44">
        <f t="shared" si="2"/>
        <v>77.8</v>
      </c>
      <c r="G44">
        <f t="shared" si="3"/>
        <v>6</v>
      </c>
    </row>
    <row r="45" spans="1:7" x14ac:dyDescent="0.2">
      <c r="A45">
        <v>74.7</v>
      </c>
      <c r="B45">
        <v>4</v>
      </c>
      <c r="C45">
        <v>0</v>
      </c>
      <c r="D45">
        <f t="shared" si="0"/>
        <v>74.7</v>
      </c>
      <c r="E45">
        <f t="shared" si="1"/>
        <v>4</v>
      </c>
      <c r="F45" t="e">
        <f t="shared" si="2"/>
        <v>#N/A</v>
      </c>
      <c r="G45" t="e">
        <f t="shared" si="3"/>
        <v>#N/A</v>
      </c>
    </row>
    <row r="46" spans="1:7" x14ac:dyDescent="0.2">
      <c r="A46">
        <v>33.4</v>
      </c>
      <c r="B46">
        <v>5</v>
      </c>
      <c r="C46">
        <v>1</v>
      </c>
      <c r="D46" t="e">
        <f t="shared" si="0"/>
        <v>#N/A</v>
      </c>
      <c r="E46" t="e">
        <f t="shared" si="1"/>
        <v>#N/A</v>
      </c>
      <c r="F46">
        <f t="shared" si="2"/>
        <v>33.4</v>
      </c>
      <c r="G46">
        <f t="shared" si="3"/>
        <v>5</v>
      </c>
    </row>
    <row r="47" spans="1:7" x14ac:dyDescent="0.2">
      <c r="A47">
        <v>21.5</v>
      </c>
      <c r="B47">
        <v>8</v>
      </c>
      <c r="C47">
        <v>0</v>
      </c>
      <c r="D47">
        <f t="shared" si="0"/>
        <v>21.5</v>
      </c>
      <c r="E47">
        <f t="shared" si="1"/>
        <v>8</v>
      </c>
      <c r="F47" t="e">
        <f t="shared" si="2"/>
        <v>#N/A</v>
      </c>
      <c r="G47" t="e">
        <f t="shared" si="3"/>
        <v>#N/A</v>
      </c>
    </row>
    <row r="48" spans="1:7" x14ac:dyDescent="0.2">
      <c r="A48">
        <v>65.599999999999994</v>
      </c>
      <c r="B48">
        <v>3</v>
      </c>
      <c r="C48">
        <v>0</v>
      </c>
      <c r="D48">
        <f t="shared" si="0"/>
        <v>65.599999999999994</v>
      </c>
      <c r="E48">
        <f t="shared" si="1"/>
        <v>3</v>
      </c>
      <c r="F48" t="e">
        <f t="shared" si="2"/>
        <v>#N/A</v>
      </c>
      <c r="G48" t="e">
        <f t="shared" si="3"/>
        <v>#N/A</v>
      </c>
    </row>
    <row r="49" spans="1:7" x14ac:dyDescent="0.2">
      <c r="A49">
        <v>52.1</v>
      </c>
      <c r="B49">
        <v>3</v>
      </c>
      <c r="C49">
        <v>1</v>
      </c>
      <c r="D49" t="e">
        <f t="shared" si="0"/>
        <v>#N/A</v>
      </c>
      <c r="E49" t="e">
        <f t="shared" si="1"/>
        <v>#N/A</v>
      </c>
      <c r="F49">
        <f t="shared" si="2"/>
        <v>52.1</v>
      </c>
      <c r="G49">
        <f t="shared" si="3"/>
        <v>3</v>
      </c>
    </row>
    <row r="50" spans="1:7" x14ac:dyDescent="0.2">
      <c r="A50">
        <v>21.9</v>
      </c>
      <c r="B50">
        <v>4</v>
      </c>
      <c r="C50">
        <v>0</v>
      </c>
      <c r="D50">
        <f t="shared" si="0"/>
        <v>21.9</v>
      </c>
      <c r="E50">
        <f t="shared" si="1"/>
        <v>4</v>
      </c>
      <c r="F50" t="e">
        <f t="shared" si="2"/>
        <v>#N/A</v>
      </c>
      <c r="G50" t="e">
        <f t="shared" si="3"/>
        <v>#N/A</v>
      </c>
    </row>
    <row r="51" spans="1:7" x14ac:dyDescent="0.2">
      <c r="A51">
        <v>70.2</v>
      </c>
      <c r="B51">
        <v>1</v>
      </c>
      <c r="C51">
        <v>1</v>
      </c>
      <c r="D51" t="e">
        <f t="shared" si="0"/>
        <v>#N/A</v>
      </c>
      <c r="E51" t="e">
        <f t="shared" si="1"/>
        <v>#N/A</v>
      </c>
      <c r="F51">
        <f t="shared" si="2"/>
        <v>70.2</v>
      </c>
      <c r="G51">
        <f t="shared" si="3"/>
        <v>1</v>
      </c>
    </row>
    <row r="52" spans="1:7" x14ac:dyDescent="0.2">
      <c r="A52">
        <v>99.2</v>
      </c>
      <c r="B52">
        <v>9</v>
      </c>
      <c r="C52">
        <v>0</v>
      </c>
      <c r="D52">
        <f t="shared" si="0"/>
        <v>99.2</v>
      </c>
      <c r="E52">
        <f t="shared" si="1"/>
        <v>9</v>
      </c>
      <c r="F52" t="e">
        <f t="shared" si="2"/>
        <v>#N/A</v>
      </c>
      <c r="G52" t="e">
        <f t="shared" si="3"/>
        <v>#N/A</v>
      </c>
    </row>
    <row r="53" spans="1:7" x14ac:dyDescent="0.2">
      <c r="A53">
        <v>76</v>
      </c>
      <c r="B53">
        <v>8</v>
      </c>
      <c r="C53">
        <v>0</v>
      </c>
      <c r="D53">
        <f t="shared" si="0"/>
        <v>76</v>
      </c>
      <c r="E53">
        <f t="shared" si="1"/>
        <v>8</v>
      </c>
      <c r="F53" t="e">
        <f t="shared" si="2"/>
        <v>#N/A</v>
      </c>
      <c r="G53" t="e">
        <f t="shared" si="3"/>
        <v>#N/A</v>
      </c>
    </row>
    <row r="54" spans="1:7" x14ac:dyDescent="0.2">
      <c r="A54">
        <v>75.3</v>
      </c>
      <c r="B54">
        <v>8</v>
      </c>
      <c r="C54">
        <v>0</v>
      </c>
      <c r="D54">
        <f t="shared" si="0"/>
        <v>75.3</v>
      </c>
      <c r="E54">
        <f t="shared" si="1"/>
        <v>8</v>
      </c>
      <c r="F54" t="e">
        <f t="shared" si="2"/>
        <v>#N/A</v>
      </c>
      <c r="G54" t="e">
        <f t="shared" si="3"/>
        <v>#N/A</v>
      </c>
    </row>
    <row r="55" spans="1:7" x14ac:dyDescent="0.2">
      <c r="A55">
        <v>95.3</v>
      </c>
      <c r="B55">
        <v>10</v>
      </c>
      <c r="C55">
        <v>0</v>
      </c>
      <c r="D55">
        <f t="shared" si="0"/>
        <v>95.3</v>
      </c>
      <c r="E55">
        <f t="shared" si="1"/>
        <v>10</v>
      </c>
      <c r="F55" t="e">
        <f t="shared" si="2"/>
        <v>#N/A</v>
      </c>
      <c r="G55" t="e">
        <f t="shared" si="3"/>
        <v>#N/A</v>
      </c>
    </row>
    <row r="56" spans="1:7" x14ac:dyDescent="0.2">
      <c r="A56">
        <v>24.3</v>
      </c>
      <c r="B56">
        <v>6</v>
      </c>
      <c r="C56">
        <v>1</v>
      </c>
      <c r="D56" t="e">
        <f t="shared" si="0"/>
        <v>#N/A</v>
      </c>
      <c r="E56" t="e">
        <f t="shared" si="1"/>
        <v>#N/A</v>
      </c>
      <c r="F56">
        <f t="shared" si="2"/>
        <v>24.3</v>
      </c>
      <c r="G56">
        <f t="shared" si="3"/>
        <v>6</v>
      </c>
    </row>
    <row r="57" spans="1:7" x14ac:dyDescent="0.2">
      <c r="A57">
        <v>58.7</v>
      </c>
      <c r="B57">
        <v>7</v>
      </c>
      <c r="C57">
        <v>1</v>
      </c>
      <c r="D57" t="e">
        <f t="shared" si="0"/>
        <v>#N/A</v>
      </c>
      <c r="E57" t="e">
        <f t="shared" si="1"/>
        <v>#N/A</v>
      </c>
      <c r="F57">
        <f t="shared" si="2"/>
        <v>58.7</v>
      </c>
      <c r="G57">
        <f t="shared" si="3"/>
        <v>7</v>
      </c>
    </row>
    <row r="58" spans="1:7" x14ac:dyDescent="0.2">
      <c r="A58">
        <v>98.1</v>
      </c>
      <c r="B58">
        <v>6</v>
      </c>
      <c r="C58">
        <v>0</v>
      </c>
      <c r="D58">
        <f t="shared" si="0"/>
        <v>98.1</v>
      </c>
      <c r="E58">
        <f t="shared" si="1"/>
        <v>6</v>
      </c>
      <c r="F58" t="e">
        <f t="shared" si="2"/>
        <v>#N/A</v>
      </c>
      <c r="G58" t="e">
        <f t="shared" si="3"/>
        <v>#N/A</v>
      </c>
    </row>
    <row r="59" spans="1:7" x14ac:dyDescent="0.2">
      <c r="A59">
        <v>20.7</v>
      </c>
      <c r="B59">
        <v>9</v>
      </c>
      <c r="C59">
        <v>0</v>
      </c>
      <c r="D59">
        <f t="shared" si="0"/>
        <v>20.7</v>
      </c>
      <c r="E59">
        <f t="shared" si="1"/>
        <v>9</v>
      </c>
      <c r="F59" t="e">
        <f t="shared" si="2"/>
        <v>#N/A</v>
      </c>
      <c r="G59" t="e">
        <f t="shared" si="3"/>
        <v>#N/A</v>
      </c>
    </row>
    <row r="60" spans="1:7" x14ac:dyDescent="0.2">
      <c r="A60">
        <v>71.5</v>
      </c>
      <c r="B60">
        <v>3</v>
      </c>
      <c r="C60">
        <v>1</v>
      </c>
      <c r="D60" t="e">
        <f t="shared" si="0"/>
        <v>#N/A</v>
      </c>
      <c r="E60" t="e">
        <f t="shared" si="1"/>
        <v>#N/A</v>
      </c>
      <c r="F60">
        <f t="shared" si="2"/>
        <v>71.5</v>
      </c>
      <c r="G60">
        <f t="shared" si="3"/>
        <v>3</v>
      </c>
    </row>
    <row r="61" spans="1:7" x14ac:dyDescent="0.2">
      <c r="A61">
        <v>60.7</v>
      </c>
      <c r="B61">
        <v>3</v>
      </c>
      <c r="C61">
        <v>0</v>
      </c>
      <c r="D61">
        <f t="shared" si="0"/>
        <v>60.7</v>
      </c>
      <c r="E61">
        <f t="shared" si="1"/>
        <v>3</v>
      </c>
      <c r="F61" t="e">
        <f t="shared" si="2"/>
        <v>#N/A</v>
      </c>
      <c r="G61" t="e">
        <f t="shared" si="3"/>
        <v>#N/A</v>
      </c>
    </row>
    <row r="62" spans="1:7" x14ac:dyDescent="0.2">
      <c r="A62">
        <v>60.7</v>
      </c>
      <c r="B62">
        <v>3</v>
      </c>
      <c r="C62">
        <v>1</v>
      </c>
      <c r="D62" t="e">
        <f t="shared" si="0"/>
        <v>#N/A</v>
      </c>
      <c r="E62" t="e">
        <f t="shared" si="1"/>
        <v>#N/A</v>
      </c>
      <c r="F62">
        <f t="shared" si="2"/>
        <v>60.7</v>
      </c>
      <c r="G62">
        <f t="shared" si="3"/>
        <v>3</v>
      </c>
    </row>
    <row r="63" spans="1:7" x14ac:dyDescent="0.2">
      <c r="A63">
        <v>71.3</v>
      </c>
      <c r="B63">
        <v>10</v>
      </c>
      <c r="C63">
        <v>0</v>
      </c>
      <c r="D63">
        <f t="shared" si="0"/>
        <v>71.3</v>
      </c>
      <c r="E63">
        <f t="shared" si="1"/>
        <v>10</v>
      </c>
      <c r="F63" t="e">
        <f t="shared" si="2"/>
        <v>#N/A</v>
      </c>
      <c r="G63" t="e">
        <f t="shared" si="3"/>
        <v>#N/A</v>
      </c>
    </row>
    <row r="64" spans="1:7" x14ac:dyDescent="0.2">
      <c r="A64">
        <v>93.3</v>
      </c>
      <c r="B64">
        <v>3</v>
      </c>
      <c r="C64">
        <v>1</v>
      </c>
      <c r="D64" t="e">
        <f t="shared" si="0"/>
        <v>#N/A</v>
      </c>
      <c r="E64" t="e">
        <f t="shared" si="1"/>
        <v>#N/A</v>
      </c>
      <c r="F64">
        <f t="shared" si="2"/>
        <v>93.3</v>
      </c>
      <c r="G64">
        <f t="shared" si="3"/>
        <v>3</v>
      </c>
    </row>
    <row r="65" spans="1:7" x14ac:dyDescent="0.2">
      <c r="A65">
        <v>79.3</v>
      </c>
      <c r="B65">
        <v>9</v>
      </c>
      <c r="C65">
        <v>0</v>
      </c>
      <c r="D65">
        <f t="shared" si="0"/>
        <v>79.3</v>
      </c>
      <c r="E65">
        <f t="shared" si="1"/>
        <v>9</v>
      </c>
      <c r="F65" t="e">
        <f t="shared" si="2"/>
        <v>#N/A</v>
      </c>
      <c r="G65" t="e">
        <f t="shared" si="3"/>
        <v>#N/A</v>
      </c>
    </row>
    <row r="66" spans="1:7" x14ac:dyDescent="0.2">
      <c r="A66">
        <v>10.3</v>
      </c>
      <c r="B66">
        <v>4</v>
      </c>
      <c r="C66">
        <v>1</v>
      </c>
      <c r="D66" t="e">
        <f t="shared" si="0"/>
        <v>#N/A</v>
      </c>
      <c r="E66" t="e">
        <f t="shared" si="1"/>
        <v>#N/A</v>
      </c>
      <c r="F66">
        <f t="shared" si="2"/>
        <v>10.3</v>
      </c>
      <c r="G66">
        <f t="shared" si="3"/>
        <v>4</v>
      </c>
    </row>
    <row r="67" spans="1:7" x14ac:dyDescent="0.2">
      <c r="A67">
        <v>86</v>
      </c>
      <c r="B67">
        <v>7</v>
      </c>
      <c r="C67">
        <v>1</v>
      </c>
      <c r="D67" t="e">
        <f t="shared" ref="D67:D130" si="4" xml:space="preserve"> IF($C67=0, $A67, NA())</f>
        <v>#N/A</v>
      </c>
      <c r="E67" t="e">
        <f t="shared" ref="E67:E130" si="5" xml:space="preserve"> IF($C67=0, B67, NA())</f>
        <v>#N/A</v>
      </c>
      <c r="F67">
        <f t="shared" ref="F67:F130" si="6" xml:space="preserve"> IF($C67=1, A67, NA())</f>
        <v>86</v>
      </c>
      <c r="G67">
        <f t="shared" ref="G67:G130" si="7" xml:space="preserve"> IF($C67=1, $B67, NA())</f>
        <v>7</v>
      </c>
    </row>
    <row r="68" spans="1:7" x14ac:dyDescent="0.2">
      <c r="A68">
        <v>26.4</v>
      </c>
      <c r="B68">
        <v>9</v>
      </c>
      <c r="C68">
        <v>1</v>
      </c>
      <c r="D68" t="e">
        <f t="shared" si="4"/>
        <v>#N/A</v>
      </c>
      <c r="E68" t="e">
        <f t="shared" si="5"/>
        <v>#N/A</v>
      </c>
      <c r="F68">
        <f t="shared" si="6"/>
        <v>26.4</v>
      </c>
      <c r="G68">
        <f t="shared" si="7"/>
        <v>9</v>
      </c>
    </row>
    <row r="69" spans="1:7" x14ac:dyDescent="0.2">
      <c r="A69">
        <v>40.799999999999997</v>
      </c>
      <c r="B69">
        <v>7</v>
      </c>
      <c r="C69">
        <v>1</v>
      </c>
      <c r="D69" t="e">
        <f t="shared" si="4"/>
        <v>#N/A</v>
      </c>
      <c r="E69" t="e">
        <f t="shared" si="5"/>
        <v>#N/A</v>
      </c>
      <c r="F69">
        <f t="shared" si="6"/>
        <v>40.799999999999997</v>
      </c>
      <c r="G69">
        <f t="shared" si="7"/>
        <v>7</v>
      </c>
    </row>
    <row r="70" spans="1:7" x14ac:dyDescent="0.2">
      <c r="A70">
        <v>48.9</v>
      </c>
      <c r="B70">
        <v>9</v>
      </c>
      <c r="C70">
        <v>0</v>
      </c>
      <c r="D70">
        <f t="shared" si="4"/>
        <v>48.9</v>
      </c>
      <c r="E70">
        <f t="shared" si="5"/>
        <v>9</v>
      </c>
      <c r="F70" t="e">
        <f t="shared" si="6"/>
        <v>#N/A</v>
      </c>
      <c r="G70" t="e">
        <f t="shared" si="7"/>
        <v>#N/A</v>
      </c>
    </row>
    <row r="71" spans="1:7" x14ac:dyDescent="0.2">
      <c r="A71">
        <v>50.7</v>
      </c>
      <c r="B71">
        <v>3</v>
      </c>
      <c r="C71">
        <v>1</v>
      </c>
      <c r="D71" t="e">
        <f t="shared" si="4"/>
        <v>#N/A</v>
      </c>
      <c r="E71" t="e">
        <f t="shared" si="5"/>
        <v>#N/A</v>
      </c>
      <c r="F71">
        <f t="shared" si="6"/>
        <v>50.7</v>
      </c>
      <c r="G71">
        <f t="shared" si="7"/>
        <v>3</v>
      </c>
    </row>
    <row r="72" spans="1:7" x14ac:dyDescent="0.2">
      <c r="A72">
        <v>46.3</v>
      </c>
      <c r="B72">
        <v>4</v>
      </c>
      <c r="C72">
        <v>0</v>
      </c>
      <c r="D72">
        <f t="shared" si="4"/>
        <v>46.3</v>
      </c>
      <c r="E72">
        <f t="shared" si="5"/>
        <v>4</v>
      </c>
      <c r="F72" t="e">
        <f t="shared" si="6"/>
        <v>#N/A</v>
      </c>
      <c r="G72" t="e">
        <f t="shared" si="7"/>
        <v>#N/A</v>
      </c>
    </row>
    <row r="73" spans="1:7" x14ac:dyDescent="0.2">
      <c r="A73">
        <v>94</v>
      </c>
      <c r="B73">
        <v>8</v>
      </c>
      <c r="C73">
        <v>1</v>
      </c>
      <c r="D73" t="e">
        <f t="shared" si="4"/>
        <v>#N/A</v>
      </c>
      <c r="E73" t="e">
        <f t="shared" si="5"/>
        <v>#N/A</v>
      </c>
      <c r="F73">
        <f t="shared" si="6"/>
        <v>94</v>
      </c>
      <c r="G73">
        <f t="shared" si="7"/>
        <v>8</v>
      </c>
    </row>
    <row r="74" spans="1:7" x14ac:dyDescent="0.2">
      <c r="A74">
        <v>72.099999999999994</v>
      </c>
      <c r="B74">
        <v>6</v>
      </c>
      <c r="C74">
        <v>1</v>
      </c>
      <c r="D74" t="e">
        <f t="shared" si="4"/>
        <v>#N/A</v>
      </c>
      <c r="E74" t="e">
        <f t="shared" si="5"/>
        <v>#N/A</v>
      </c>
      <c r="F74">
        <f t="shared" si="6"/>
        <v>72.099999999999994</v>
      </c>
      <c r="G74">
        <f t="shared" si="7"/>
        <v>6</v>
      </c>
    </row>
    <row r="75" spans="1:7" x14ac:dyDescent="0.2">
      <c r="A75">
        <v>65</v>
      </c>
      <c r="B75">
        <v>5</v>
      </c>
      <c r="C75">
        <v>1</v>
      </c>
      <c r="D75" t="e">
        <f t="shared" si="4"/>
        <v>#N/A</v>
      </c>
      <c r="E75" t="e">
        <f t="shared" si="5"/>
        <v>#N/A</v>
      </c>
      <c r="F75">
        <f t="shared" si="6"/>
        <v>65</v>
      </c>
      <c r="G75">
        <f t="shared" si="7"/>
        <v>5</v>
      </c>
    </row>
    <row r="76" spans="1:7" x14ac:dyDescent="0.2">
      <c r="A76">
        <v>9.6999999999999993</v>
      </c>
      <c r="B76">
        <v>4</v>
      </c>
      <c r="C76">
        <v>1</v>
      </c>
      <c r="D76" t="e">
        <f t="shared" si="4"/>
        <v>#N/A</v>
      </c>
      <c r="E76" t="e">
        <f t="shared" si="5"/>
        <v>#N/A</v>
      </c>
      <c r="F76">
        <f t="shared" si="6"/>
        <v>9.6999999999999993</v>
      </c>
      <c r="G76">
        <f t="shared" si="7"/>
        <v>4</v>
      </c>
    </row>
    <row r="77" spans="1:7" x14ac:dyDescent="0.2">
      <c r="A77">
        <v>90.9</v>
      </c>
      <c r="B77">
        <v>8</v>
      </c>
      <c r="C77">
        <v>1</v>
      </c>
      <c r="D77" t="e">
        <f t="shared" si="4"/>
        <v>#N/A</v>
      </c>
      <c r="E77" t="e">
        <f t="shared" si="5"/>
        <v>#N/A</v>
      </c>
      <c r="F77">
        <f t="shared" si="6"/>
        <v>90.9</v>
      </c>
      <c r="G77">
        <f t="shared" si="7"/>
        <v>8</v>
      </c>
    </row>
    <row r="78" spans="1:7" x14ac:dyDescent="0.2">
      <c r="A78">
        <v>91.4</v>
      </c>
      <c r="B78">
        <v>1</v>
      </c>
      <c r="C78">
        <v>0</v>
      </c>
      <c r="D78">
        <f t="shared" si="4"/>
        <v>91.4</v>
      </c>
      <c r="E78">
        <f t="shared" si="5"/>
        <v>1</v>
      </c>
      <c r="F78" t="e">
        <f t="shared" si="6"/>
        <v>#N/A</v>
      </c>
      <c r="G78" t="e">
        <f t="shared" si="7"/>
        <v>#N/A</v>
      </c>
    </row>
    <row r="79" spans="1:7" x14ac:dyDescent="0.2">
      <c r="A79">
        <v>79.099999999999994</v>
      </c>
      <c r="B79">
        <v>9</v>
      </c>
      <c r="C79">
        <v>0</v>
      </c>
      <c r="D79">
        <f t="shared" si="4"/>
        <v>79.099999999999994</v>
      </c>
      <c r="E79">
        <f t="shared" si="5"/>
        <v>9</v>
      </c>
      <c r="F79" t="e">
        <f t="shared" si="6"/>
        <v>#N/A</v>
      </c>
      <c r="G79" t="e">
        <f t="shared" si="7"/>
        <v>#N/A</v>
      </c>
    </row>
    <row r="80" spans="1:7" x14ac:dyDescent="0.2">
      <c r="A80">
        <v>5.7</v>
      </c>
      <c r="B80">
        <v>1</v>
      </c>
      <c r="C80">
        <v>1</v>
      </c>
      <c r="D80" t="e">
        <f t="shared" si="4"/>
        <v>#N/A</v>
      </c>
      <c r="E80" t="e">
        <f t="shared" si="5"/>
        <v>#N/A</v>
      </c>
      <c r="F80">
        <f t="shared" si="6"/>
        <v>5.7</v>
      </c>
      <c r="G80">
        <f t="shared" si="7"/>
        <v>1</v>
      </c>
    </row>
    <row r="81" spans="1:7" x14ac:dyDescent="0.2">
      <c r="A81">
        <v>10.4</v>
      </c>
      <c r="B81">
        <v>8</v>
      </c>
      <c r="C81">
        <v>0</v>
      </c>
      <c r="D81">
        <f t="shared" si="4"/>
        <v>10.4</v>
      </c>
      <c r="E81">
        <f t="shared" si="5"/>
        <v>8</v>
      </c>
      <c r="F81" t="e">
        <f t="shared" si="6"/>
        <v>#N/A</v>
      </c>
      <c r="G81" t="e">
        <f t="shared" si="7"/>
        <v>#N/A</v>
      </c>
    </row>
    <row r="82" spans="1:7" x14ac:dyDescent="0.2">
      <c r="A82">
        <v>26.4</v>
      </c>
      <c r="B82">
        <v>4</v>
      </c>
      <c r="C82">
        <v>1</v>
      </c>
      <c r="D82" t="e">
        <f t="shared" si="4"/>
        <v>#N/A</v>
      </c>
      <c r="E82" t="e">
        <f t="shared" si="5"/>
        <v>#N/A</v>
      </c>
      <c r="F82">
        <f t="shared" si="6"/>
        <v>26.4</v>
      </c>
      <c r="G82">
        <f t="shared" si="7"/>
        <v>4</v>
      </c>
    </row>
    <row r="83" spans="1:7" x14ac:dyDescent="0.2">
      <c r="A83">
        <v>17.5</v>
      </c>
      <c r="B83">
        <v>9</v>
      </c>
      <c r="C83">
        <v>1</v>
      </c>
      <c r="D83" t="e">
        <f t="shared" si="4"/>
        <v>#N/A</v>
      </c>
      <c r="E83" t="e">
        <f t="shared" si="5"/>
        <v>#N/A</v>
      </c>
      <c r="F83">
        <f t="shared" si="6"/>
        <v>17.5</v>
      </c>
      <c r="G83">
        <f t="shared" si="7"/>
        <v>9</v>
      </c>
    </row>
    <row r="84" spans="1:7" x14ac:dyDescent="0.2">
      <c r="A84">
        <v>42.9</v>
      </c>
      <c r="B84">
        <v>5</v>
      </c>
      <c r="C84">
        <v>0</v>
      </c>
      <c r="D84">
        <f t="shared" si="4"/>
        <v>42.9</v>
      </c>
      <c r="E84">
        <f t="shared" si="5"/>
        <v>5</v>
      </c>
      <c r="F84" t="e">
        <f t="shared" si="6"/>
        <v>#N/A</v>
      </c>
      <c r="G84" t="e">
        <f t="shared" si="7"/>
        <v>#N/A</v>
      </c>
    </row>
    <row r="85" spans="1:7" x14ac:dyDescent="0.2">
      <c r="A85">
        <v>92.6</v>
      </c>
      <c r="B85">
        <v>3</v>
      </c>
      <c r="C85">
        <v>0</v>
      </c>
      <c r="D85">
        <f t="shared" si="4"/>
        <v>92.6</v>
      </c>
      <c r="E85">
        <f t="shared" si="5"/>
        <v>3</v>
      </c>
      <c r="F85" t="e">
        <f t="shared" si="6"/>
        <v>#N/A</v>
      </c>
      <c r="G85" t="e">
        <f t="shared" si="7"/>
        <v>#N/A</v>
      </c>
    </row>
    <row r="86" spans="1:7" x14ac:dyDescent="0.2">
      <c r="A86">
        <v>49.8</v>
      </c>
      <c r="B86">
        <v>9</v>
      </c>
      <c r="C86">
        <v>0</v>
      </c>
      <c r="D86">
        <f t="shared" si="4"/>
        <v>49.8</v>
      </c>
      <c r="E86">
        <f t="shared" si="5"/>
        <v>9</v>
      </c>
      <c r="F86" t="e">
        <f t="shared" si="6"/>
        <v>#N/A</v>
      </c>
      <c r="G86" t="e">
        <f t="shared" si="7"/>
        <v>#N/A</v>
      </c>
    </row>
    <row r="87" spans="1:7" x14ac:dyDescent="0.2">
      <c r="A87">
        <v>6.3</v>
      </c>
      <c r="B87">
        <v>9</v>
      </c>
      <c r="C87">
        <v>0</v>
      </c>
      <c r="D87">
        <f t="shared" si="4"/>
        <v>6.3</v>
      </c>
      <c r="E87">
        <f t="shared" si="5"/>
        <v>9</v>
      </c>
      <c r="F87" t="e">
        <f t="shared" si="6"/>
        <v>#N/A</v>
      </c>
      <c r="G87" t="e">
        <f t="shared" si="7"/>
        <v>#N/A</v>
      </c>
    </row>
    <row r="88" spans="1:7" x14ac:dyDescent="0.2">
      <c r="A88">
        <v>31.9</v>
      </c>
      <c r="B88">
        <v>4</v>
      </c>
      <c r="C88">
        <v>1</v>
      </c>
      <c r="D88" t="e">
        <f t="shared" si="4"/>
        <v>#N/A</v>
      </c>
      <c r="E88" t="e">
        <f t="shared" si="5"/>
        <v>#N/A</v>
      </c>
      <c r="F88">
        <f t="shared" si="6"/>
        <v>31.9</v>
      </c>
      <c r="G88">
        <f t="shared" si="7"/>
        <v>4</v>
      </c>
    </row>
    <row r="89" spans="1:7" x14ac:dyDescent="0.2">
      <c r="A89">
        <v>9.1999999999999993</v>
      </c>
      <c r="B89">
        <v>4</v>
      </c>
      <c r="C89">
        <v>0</v>
      </c>
      <c r="D89">
        <f t="shared" si="4"/>
        <v>9.1999999999999993</v>
      </c>
      <c r="E89">
        <f t="shared" si="5"/>
        <v>4</v>
      </c>
      <c r="F89" t="e">
        <f t="shared" si="6"/>
        <v>#N/A</v>
      </c>
      <c r="G89" t="e">
        <f t="shared" si="7"/>
        <v>#N/A</v>
      </c>
    </row>
    <row r="90" spans="1:7" x14ac:dyDescent="0.2">
      <c r="A90">
        <v>8.4</v>
      </c>
      <c r="B90">
        <v>8</v>
      </c>
      <c r="C90">
        <v>0</v>
      </c>
      <c r="D90">
        <f t="shared" si="4"/>
        <v>8.4</v>
      </c>
      <c r="E90">
        <f t="shared" si="5"/>
        <v>8</v>
      </c>
      <c r="F90" t="e">
        <f t="shared" si="6"/>
        <v>#N/A</v>
      </c>
      <c r="G90" t="e">
        <f t="shared" si="7"/>
        <v>#N/A</v>
      </c>
    </row>
    <row r="91" spans="1:7" x14ac:dyDescent="0.2">
      <c r="A91">
        <v>31.2</v>
      </c>
      <c r="B91">
        <v>2</v>
      </c>
      <c r="C91">
        <v>1</v>
      </c>
      <c r="D91" t="e">
        <f t="shared" si="4"/>
        <v>#N/A</v>
      </c>
      <c r="E91" t="e">
        <f t="shared" si="5"/>
        <v>#N/A</v>
      </c>
      <c r="F91">
        <f t="shared" si="6"/>
        <v>31.2</v>
      </c>
      <c r="G91">
        <f t="shared" si="7"/>
        <v>2</v>
      </c>
    </row>
    <row r="92" spans="1:7" x14ac:dyDescent="0.2">
      <c r="A92">
        <v>31.2</v>
      </c>
      <c r="B92">
        <v>9</v>
      </c>
      <c r="C92">
        <v>0</v>
      </c>
      <c r="D92">
        <f t="shared" si="4"/>
        <v>31.2</v>
      </c>
      <c r="E92">
        <f t="shared" si="5"/>
        <v>9</v>
      </c>
      <c r="F92" t="e">
        <f t="shared" si="6"/>
        <v>#N/A</v>
      </c>
      <c r="G92" t="e">
        <f t="shared" si="7"/>
        <v>#N/A</v>
      </c>
    </row>
    <row r="93" spans="1:7" x14ac:dyDescent="0.2">
      <c r="A93">
        <v>79.8</v>
      </c>
      <c r="B93">
        <v>6</v>
      </c>
      <c r="C93">
        <v>1</v>
      </c>
      <c r="D93" t="e">
        <f t="shared" si="4"/>
        <v>#N/A</v>
      </c>
      <c r="E93" t="e">
        <f t="shared" si="5"/>
        <v>#N/A</v>
      </c>
      <c r="F93">
        <f t="shared" si="6"/>
        <v>79.8</v>
      </c>
      <c r="G93">
        <f t="shared" si="7"/>
        <v>6</v>
      </c>
    </row>
    <row r="94" spans="1:7" x14ac:dyDescent="0.2">
      <c r="A94">
        <v>97.6</v>
      </c>
      <c r="B94">
        <v>9</v>
      </c>
      <c r="C94">
        <v>1</v>
      </c>
      <c r="D94" t="e">
        <f t="shared" si="4"/>
        <v>#N/A</v>
      </c>
      <c r="E94" t="e">
        <f t="shared" si="5"/>
        <v>#N/A</v>
      </c>
      <c r="F94">
        <f t="shared" si="6"/>
        <v>97.6</v>
      </c>
      <c r="G94">
        <f t="shared" si="7"/>
        <v>9</v>
      </c>
    </row>
    <row r="95" spans="1:7" x14ac:dyDescent="0.2">
      <c r="A95">
        <v>40.299999999999997</v>
      </c>
      <c r="B95">
        <v>8</v>
      </c>
      <c r="C95">
        <v>0</v>
      </c>
      <c r="D95">
        <f t="shared" si="4"/>
        <v>40.299999999999997</v>
      </c>
      <c r="E95">
        <f t="shared" si="5"/>
        <v>8</v>
      </c>
      <c r="F95" t="e">
        <f t="shared" si="6"/>
        <v>#N/A</v>
      </c>
      <c r="G95" t="e">
        <f t="shared" si="7"/>
        <v>#N/A</v>
      </c>
    </row>
    <row r="96" spans="1:7" x14ac:dyDescent="0.2">
      <c r="A96">
        <v>45.7</v>
      </c>
      <c r="B96">
        <v>7</v>
      </c>
      <c r="C96">
        <v>0</v>
      </c>
      <c r="D96">
        <f t="shared" si="4"/>
        <v>45.7</v>
      </c>
      <c r="E96">
        <f t="shared" si="5"/>
        <v>7</v>
      </c>
      <c r="F96" t="e">
        <f t="shared" si="6"/>
        <v>#N/A</v>
      </c>
      <c r="G96" t="e">
        <f t="shared" si="7"/>
        <v>#N/A</v>
      </c>
    </row>
    <row r="97" spans="1:7" x14ac:dyDescent="0.2">
      <c r="A97">
        <v>85.3</v>
      </c>
      <c r="B97">
        <v>1</v>
      </c>
      <c r="C97">
        <v>1</v>
      </c>
      <c r="D97" t="e">
        <f t="shared" si="4"/>
        <v>#N/A</v>
      </c>
      <c r="E97" t="e">
        <f t="shared" si="5"/>
        <v>#N/A</v>
      </c>
      <c r="F97">
        <f t="shared" si="6"/>
        <v>85.3</v>
      </c>
      <c r="G97">
        <f t="shared" si="7"/>
        <v>1</v>
      </c>
    </row>
    <row r="98" spans="1:7" x14ac:dyDescent="0.2">
      <c r="A98">
        <v>30.5</v>
      </c>
      <c r="B98">
        <v>3</v>
      </c>
      <c r="C98">
        <v>1</v>
      </c>
      <c r="D98" t="e">
        <f t="shared" si="4"/>
        <v>#N/A</v>
      </c>
      <c r="E98" t="e">
        <f t="shared" si="5"/>
        <v>#N/A</v>
      </c>
      <c r="F98">
        <f t="shared" si="6"/>
        <v>30.5</v>
      </c>
      <c r="G98">
        <f t="shared" si="7"/>
        <v>3</v>
      </c>
    </row>
    <row r="99" spans="1:7" x14ac:dyDescent="0.2">
      <c r="A99">
        <v>19.899999999999999</v>
      </c>
      <c r="B99">
        <v>2</v>
      </c>
      <c r="C99">
        <v>1</v>
      </c>
      <c r="D99" t="e">
        <f t="shared" si="4"/>
        <v>#N/A</v>
      </c>
      <c r="E99" t="e">
        <f t="shared" si="5"/>
        <v>#N/A</v>
      </c>
      <c r="F99">
        <f t="shared" si="6"/>
        <v>19.899999999999999</v>
      </c>
      <c r="G99">
        <f t="shared" si="7"/>
        <v>2</v>
      </c>
    </row>
    <row r="100" spans="1:7" x14ac:dyDescent="0.2">
      <c r="A100">
        <v>86</v>
      </c>
      <c r="B100">
        <v>5</v>
      </c>
      <c r="C100">
        <v>1</v>
      </c>
      <c r="D100" t="e">
        <f t="shared" si="4"/>
        <v>#N/A</v>
      </c>
      <c r="E100" t="e">
        <f t="shared" si="5"/>
        <v>#N/A</v>
      </c>
      <c r="F100">
        <f t="shared" si="6"/>
        <v>86</v>
      </c>
      <c r="G100">
        <f t="shared" si="7"/>
        <v>5</v>
      </c>
    </row>
    <row r="101" spans="1:7" x14ac:dyDescent="0.2">
      <c r="A101">
        <v>9.4</v>
      </c>
      <c r="B101">
        <v>5</v>
      </c>
      <c r="C101">
        <v>0</v>
      </c>
      <c r="D101">
        <f t="shared" si="4"/>
        <v>9.4</v>
      </c>
      <c r="E101">
        <f t="shared" si="5"/>
        <v>5</v>
      </c>
      <c r="F101" t="e">
        <f t="shared" si="6"/>
        <v>#N/A</v>
      </c>
      <c r="G101" t="e">
        <f t="shared" si="7"/>
        <v>#N/A</v>
      </c>
    </row>
    <row r="102" spans="1:7" x14ac:dyDescent="0.2">
      <c r="A102">
        <v>63.9</v>
      </c>
      <c r="B102">
        <v>5</v>
      </c>
      <c r="C102">
        <v>0</v>
      </c>
      <c r="D102">
        <f t="shared" si="4"/>
        <v>63.9</v>
      </c>
      <c r="E102">
        <f t="shared" si="5"/>
        <v>5</v>
      </c>
      <c r="F102" t="e">
        <f t="shared" si="6"/>
        <v>#N/A</v>
      </c>
      <c r="G102" t="e">
        <f t="shared" si="7"/>
        <v>#N/A</v>
      </c>
    </row>
    <row r="103" spans="1:7" x14ac:dyDescent="0.2">
      <c r="A103">
        <v>58.4</v>
      </c>
      <c r="B103">
        <v>4</v>
      </c>
      <c r="C103">
        <v>1</v>
      </c>
      <c r="D103" t="e">
        <f t="shared" si="4"/>
        <v>#N/A</v>
      </c>
      <c r="E103" t="e">
        <f t="shared" si="5"/>
        <v>#N/A</v>
      </c>
      <c r="F103">
        <f t="shared" si="6"/>
        <v>58.4</v>
      </c>
      <c r="G103">
        <f t="shared" si="7"/>
        <v>4</v>
      </c>
    </row>
    <row r="104" spans="1:7" x14ac:dyDescent="0.2">
      <c r="A104">
        <v>37.9</v>
      </c>
      <c r="B104">
        <v>5</v>
      </c>
      <c r="C104">
        <v>1</v>
      </c>
      <c r="D104" t="e">
        <f t="shared" si="4"/>
        <v>#N/A</v>
      </c>
      <c r="E104" t="e">
        <f t="shared" si="5"/>
        <v>#N/A</v>
      </c>
      <c r="F104">
        <f t="shared" si="6"/>
        <v>37.9</v>
      </c>
      <c r="G104">
        <f t="shared" si="7"/>
        <v>5</v>
      </c>
    </row>
    <row r="105" spans="1:7" x14ac:dyDescent="0.2">
      <c r="A105">
        <v>34.9</v>
      </c>
      <c r="B105">
        <v>3</v>
      </c>
      <c r="C105">
        <v>1</v>
      </c>
      <c r="D105" t="e">
        <f t="shared" si="4"/>
        <v>#N/A</v>
      </c>
      <c r="E105" t="e">
        <f t="shared" si="5"/>
        <v>#N/A</v>
      </c>
      <c r="F105">
        <f t="shared" si="6"/>
        <v>34.9</v>
      </c>
      <c r="G105">
        <f t="shared" si="7"/>
        <v>3</v>
      </c>
    </row>
    <row r="106" spans="1:7" x14ac:dyDescent="0.2">
      <c r="A106">
        <v>78.3</v>
      </c>
      <c r="B106">
        <v>1</v>
      </c>
      <c r="C106">
        <v>1</v>
      </c>
      <c r="D106" t="e">
        <f t="shared" si="4"/>
        <v>#N/A</v>
      </c>
      <c r="E106" t="e">
        <f t="shared" si="5"/>
        <v>#N/A</v>
      </c>
      <c r="F106">
        <f t="shared" si="6"/>
        <v>78.3</v>
      </c>
      <c r="G106">
        <f t="shared" si="7"/>
        <v>1</v>
      </c>
    </row>
    <row r="107" spans="1:7" x14ac:dyDescent="0.2">
      <c r="A107">
        <v>13.2</v>
      </c>
      <c r="B107">
        <v>5</v>
      </c>
      <c r="C107">
        <v>0</v>
      </c>
      <c r="D107">
        <f t="shared" si="4"/>
        <v>13.2</v>
      </c>
      <c r="E107">
        <f t="shared" si="5"/>
        <v>5</v>
      </c>
      <c r="F107" t="e">
        <f t="shared" si="6"/>
        <v>#N/A</v>
      </c>
      <c r="G107" t="e">
        <f t="shared" si="7"/>
        <v>#N/A</v>
      </c>
    </row>
    <row r="108" spans="1:7" x14ac:dyDescent="0.2">
      <c r="A108">
        <v>27.5</v>
      </c>
      <c r="B108">
        <v>9</v>
      </c>
      <c r="C108">
        <v>0</v>
      </c>
      <c r="D108">
        <f t="shared" si="4"/>
        <v>27.5</v>
      </c>
      <c r="E108">
        <f t="shared" si="5"/>
        <v>9</v>
      </c>
      <c r="F108" t="e">
        <f t="shared" si="6"/>
        <v>#N/A</v>
      </c>
      <c r="G108" t="e">
        <f t="shared" si="7"/>
        <v>#N/A</v>
      </c>
    </row>
    <row r="109" spans="1:7" x14ac:dyDescent="0.2">
      <c r="A109">
        <v>74.599999999999994</v>
      </c>
      <c r="B109">
        <v>9</v>
      </c>
      <c r="C109">
        <v>0</v>
      </c>
      <c r="D109">
        <f t="shared" si="4"/>
        <v>74.599999999999994</v>
      </c>
      <c r="E109">
        <f t="shared" si="5"/>
        <v>9</v>
      </c>
      <c r="F109" t="e">
        <f t="shared" si="6"/>
        <v>#N/A</v>
      </c>
      <c r="G109" t="e">
        <f t="shared" si="7"/>
        <v>#N/A</v>
      </c>
    </row>
    <row r="110" spans="1:7" x14ac:dyDescent="0.2">
      <c r="A110">
        <v>57.1</v>
      </c>
      <c r="B110">
        <v>4</v>
      </c>
      <c r="C110">
        <v>1</v>
      </c>
      <c r="D110" t="e">
        <f t="shared" si="4"/>
        <v>#N/A</v>
      </c>
      <c r="E110" t="e">
        <f t="shared" si="5"/>
        <v>#N/A</v>
      </c>
      <c r="F110">
        <f t="shared" si="6"/>
        <v>57.1</v>
      </c>
      <c r="G110">
        <f t="shared" si="7"/>
        <v>4</v>
      </c>
    </row>
    <row r="111" spans="1:7" x14ac:dyDescent="0.2">
      <c r="A111">
        <v>17.2</v>
      </c>
      <c r="B111">
        <v>3</v>
      </c>
      <c r="C111">
        <v>0</v>
      </c>
      <c r="D111">
        <f t="shared" si="4"/>
        <v>17.2</v>
      </c>
      <c r="E111">
        <f t="shared" si="5"/>
        <v>3</v>
      </c>
      <c r="F111" t="e">
        <f t="shared" si="6"/>
        <v>#N/A</v>
      </c>
      <c r="G111" t="e">
        <f t="shared" si="7"/>
        <v>#N/A</v>
      </c>
    </row>
    <row r="112" spans="1:7" x14ac:dyDescent="0.2">
      <c r="A112">
        <v>88.8</v>
      </c>
      <c r="B112">
        <v>1</v>
      </c>
      <c r="C112">
        <v>0</v>
      </c>
      <c r="D112">
        <f t="shared" si="4"/>
        <v>88.8</v>
      </c>
      <c r="E112">
        <f t="shared" si="5"/>
        <v>1</v>
      </c>
      <c r="F112" t="e">
        <f t="shared" si="6"/>
        <v>#N/A</v>
      </c>
      <c r="G112" t="e">
        <f t="shared" si="7"/>
        <v>#N/A</v>
      </c>
    </row>
    <row r="113" spans="1:7" x14ac:dyDescent="0.2">
      <c r="A113">
        <v>42.4</v>
      </c>
      <c r="B113">
        <v>2</v>
      </c>
      <c r="C113">
        <v>0</v>
      </c>
      <c r="D113">
        <f t="shared" si="4"/>
        <v>42.4</v>
      </c>
      <c r="E113">
        <f t="shared" si="5"/>
        <v>2</v>
      </c>
      <c r="F113" t="e">
        <f t="shared" si="6"/>
        <v>#N/A</v>
      </c>
      <c r="G113" t="e">
        <f t="shared" si="7"/>
        <v>#N/A</v>
      </c>
    </row>
    <row r="114" spans="1:7" x14ac:dyDescent="0.2">
      <c r="A114">
        <v>83.6</v>
      </c>
      <c r="B114">
        <v>8</v>
      </c>
      <c r="C114">
        <v>0</v>
      </c>
      <c r="D114">
        <f t="shared" si="4"/>
        <v>83.6</v>
      </c>
      <c r="E114">
        <f t="shared" si="5"/>
        <v>8</v>
      </c>
      <c r="F114" t="e">
        <f t="shared" si="6"/>
        <v>#N/A</v>
      </c>
      <c r="G114" t="e">
        <f t="shared" si="7"/>
        <v>#N/A</v>
      </c>
    </row>
    <row r="115" spans="1:7" x14ac:dyDescent="0.2">
      <c r="A115">
        <v>79.8</v>
      </c>
      <c r="B115">
        <v>1</v>
      </c>
      <c r="C115">
        <v>1</v>
      </c>
      <c r="D115" t="e">
        <f t="shared" si="4"/>
        <v>#N/A</v>
      </c>
      <c r="E115" t="e">
        <f t="shared" si="5"/>
        <v>#N/A</v>
      </c>
      <c r="F115">
        <f t="shared" si="6"/>
        <v>79.8</v>
      </c>
      <c r="G115">
        <f t="shared" si="7"/>
        <v>1</v>
      </c>
    </row>
    <row r="116" spans="1:7" x14ac:dyDescent="0.2">
      <c r="A116">
        <v>64.3</v>
      </c>
      <c r="B116">
        <v>8</v>
      </c>
      <c r="C116">
        <v>0</v>
      </c>
      <c r="D116">
        <f t="shared" si="4"/>
        <v>64.3</v>
      </c>
      <c r="E116">
        <f t="shared" si="5"/>
        <v>8</v>
      </c>
      <c r="F116" t="e">
        <f t="shared" si="6"/>
        <v>#N/A</v>
      </c>
      <c r="G116" t="e">
        <f t="shared" si="7"/>
        <v>#N/A</v>
      </c>
    </row>
    <row r="117" spans="1:7" x14ac:dyDescent="0.2">
      <c r="A117">
        <v>52</v>
      </c>
      <c r="B117">
        <v>7</v>
      </c>
      <c r="C117">
        <v>1</v>
      </c>
      <c r="D117" t="e">
        <f t="shared" si="4"/>
        <v>#N/A</v>
      </c>
      <c r="E117" t="e">
        <f t="shared" si="5"/>
        <v>#N/A</v>
      </c>
      <c r="F117">
        <f t="shared" si="6"/>
        <v>52</v>
      </c>
      <c r="G117">
        <f t="shared" si="7"/>
        <v>7</v>
      </c>
    </row>
    <row r="118" spans="1:7" x14ac:dyDescent="0.2">
      <c r="A118">
        <v>98.1</v>
      </c>
      <c r="B118">
        <v>8</v>
      </c>
      <c r="C118">
        <v>1</v>
      </c>
      <c r="D118" t="e">
        <f t="shared" si="4"/>
        <v>#N/A</v>
      </c>
      <c r="E118" t="e">
        <f t="shared" si="5"/>
        <v>#N/A</v>
      </c>
      <c r="F118">
        <f t="shared" si="6"/>
        <v>98.1</v>
      </c>
      <c r="G118">
        <f t="shared" si="7"/>
        <v>8</v>
      </c>
    </row>
    <row r="119" spans="1:7" x14ac:dyDescent="0.2">
      <c r="A119">
        <v>18.8</v>
      </c>
      <c r="B119">
        <v>6</v>
      </c>
      <c r="C119">
        <v>1</v>
      </c>
      <c r="D119" t="e">
        <f t="shared" si="4"/>
        <v>#N/A</v>
      </c>
      <c r="E119" t="e">
        <f t="shared" si="5"/>
        <v>#N/A</v>
      </c>
      <c r="F119">
        <f t="shared" si="6"/>
        <v>18.8</v>
      </c>
      <c r="G119">
        <f t="shared" si="7"/>
        <v>6</v>
      </c>
    </row>
    <row r="120" spans="1:7" x14ac:dyDescent="0.2">
      <c r="A120">
        <v>73.900000000000006</v>
      </c>
      <c r="B120">
        <v>9</v>
      </c>
      <c r="C120">
        <v>0</v>
      </c>
      <c r="D120">
        <f t="shared" si="4"/>
        <v>73.900000000000006</v>
      </c>
      <c r="E120">
        <f t="shared" si="5"/>
        <v>9</v>
      </c>
      <c r="F120" t="e">
        <f t="shared" si="6"/>
        <v>#N/A</v>
      </c>
      <c r="G120" t="e">
        <f t="shared" si="7"/>
        <v>#N/A</v>
      </c>
    </row>
    <row r="121" spans="1:7" x14ac:dyDescent="0.2">
      <c r="A121">
        <v>23.2</v>
      </c>
      <c r="B121">
        <v>3</v>
      </c>
      <c r="C121">
        <v>0</v>
      </c>
      <c r="D121">
        <f t="shared" si="4"/>
        <v>23.2</v>
      </c>
      <c r="E121">
        <f t="shared" si="5"/>
        <v>3</v>
      </c>
      <c r="F121" t="e">
        <f t="shared" si="6"/>
        <v>#N/A</v>
      </c>
      <c r="G121" t="e">
        <f t="shared" si="7"/>
        <v>#N/A</v>
      </c>
    </row>
    <row r="122" spans="1:7" x14ac:dyDescent="0.2">
      <c r="A122">
        <v>37.1</v>
      </c>
      <c r="B122">
        <v>10</v>
      </c>
      <c r="C122">
        <v>0</v>
      </c>
      <c r="D122">
        <f t="shared" si="4"/>
        <v>37.1</v>
      </c>
      <c r="E122">
        <f t="shared" si="5"/>
        <v>10</v>
      </c>
      <c r="F122" t="e">
        <f t="shared" si="6"/>
        <v>#N/A</v>
      </c>
      <c r="G122" t="e">
        <f t="shared" si="7"/>
        <v>#N/A</v>
      </c>
    </row>
    <row r="123" spans="1:7" x14ac:dyDescent="0.2">
      <c r="A123">
        <v>34.299999999999997</v>
      </c>
      <c r="B123">
        <v>4</v>
      </c>
      <c r="C123">
        <v>1</v>
      </c>
      <c r="D123" t="e">
        <f t="shared" si="4"/>
        <v>#N/A</v>
      </c>
      <c r="E123" t="e">
        <f t="shared" si="5"/>
        <v>#N/A</v>
      </c>
      <c r="F123">
        <f t="shared" si="6"/>
        <v>34.299999999999997</v>
      </c>
      <c r="G123">
        <f t="shared" si="7"/>
        <v>4</v>
      </c>
    </row>
    <row r="124" spans="1:7" x14ac:dyDescent="0.2">
      <c r="A124">
        <v>95</v>
      </c>
      <c r="B124">
        <v>6</v>
      </c>
      <c r="C124">
        <v>0</v>
      </c>
      <c r="D124">
        <f t="shared" si="4"/>
        <v>95</v>
      </c>
      <c r="E124">
        <f t="shared" si="5"/>
        <v>6</v>
      </c>
      <c r="F124" t="e">
        <f t="shared" si="6"/>
        <v>#N/A</v>
      </c>
      <c r="G124" t="e">
        <f t="shared" si="7"/>
        <v>#N/A</v>
      </c>
    </row>
    <row r="125" spans="1:7" x14ac:dyDescent="0.2">
      <c r="A125">
        <v>96.9</v>
      </c>
      <c r="B125">
        <v>8</v>
      </c>
      <c r="C125">
        <v>0</v>
      </c>
      <c r="D125">
        <f t="shared" si="4"/>
        <v>96.9</v>
      </c>
      <c r="E125">
        <f t="shared" si="5"/>
        <v>8</v>
      </c>
      <c r="F125" t="e">
        <f t="shared" si="6"/>
        <v>#N/A</v>
      </c>
      <c r="G125" t="e">
        <f t="shared" si="7"/>
        <v>#N/A</v>
      </c>
    </row>
    <row r="126" spans="1:7" x14ac:dyDescent="0.2">
      <c r="A126">
        <v>22.4</v>
      </c>
      <c r="B126">
        <v>5</v>
      </c>
      <c r="C126">
        <v>0</v>
      </c>
      <c r="D126">
        <f t="shared" si="4"/>
        <v>22.4</v>
      </c>
      <c r="E126">
        <f t="shared" si="5"/>
        <v>5</v>
      </c>
      <c r="F126" t="e">
        <f t="shared" si="6"/>
        <v>#N/A</v>
      </c>
      <c r="G126" t="e">
        <f t="shared" si="7"/>
        <v>#N/A</v>
      </c>
    </row>
    <row r="127" spans="1:7" x14ac:dyDescent="0.2">
      <c r="A127">
        <v>7.1</v>
      </c>
      <c r="B127">
        <v>3</v>
      </c>
      <c r="C127">
        <v>0</v>
      </c>
      <c r="D127">
        <f t="shared" si="4"/>
        <v>7.1</v>
      </c>
      <c r="E127">
        <f t="shared" si="5"/>
        <v>3</v>
      </c>
      <c r="F127" t="e">
        <f t="shared" si="6"/>
        <v>#N/A</v>
      </c>
      <c r="G127" t="e">
        <f t="shared" si="7"/>
        <v>#N/A</v>
      </c>
    </row>
    <row r="128" spans="1:7" x14ac:dyDescent="0.2">
      <c r="A128">
        <v>73.400000000000006</v>
      </c>
      <c r="B128">
        <v>6</v>
      </c>
      <c r="C128">
        <v>0</v>
      </c>
      <c r="D128">
        <f t="shared" si="4"/>
        <v>73.400000000000006</v>
      </c>
      <c r="E128">
        <f t="shared" si="5"/>
        <v>6</v>
      </c>
      <c r="F128" t="e">
        <f t="shared" si="6"/>
        <v>#N/A</v>
      </c>
      <c r="G128" t="e">
        <f t="shared" si="7"/>
        <v>#N/A</v>
      </c>
    </row>
    <row r="129" spans="1:7" x14ac:dyDescent="0.2">
      <c r="A129">
        <v>44.7</v>
      </c>
      <c r="B129">
        <v>4</v>
      </c>
      <c r="C129">
        <v>0</v>
      </c>
      <c r="D129">
        <f t="shared" si="4"/>
        <v>44.7</v>
      </c>
      <c r="E129">
        <f t="shared" si="5"/>
        <v>4</v>
      </c>
      <c r="F129" t="e">
        <f t="shared" si="6"/>
        <v>#N/A</v>
      </c>
      <c r="G129" t="e">
        <f t="shared" si="7"/>
        <v>#N/A</v>
      </c>
    </row>
    <row r="130" spans="1:7" x14ac:dyDescent="0.2">
      <c r="A130">
        <v>13.4</v>
      </c>
      <c r="B130">
        <v>9</v>
      </c>
      <c r="C130">
        <v>1</v>
      </c>
      <c r="D130" t="e">
        <f t="shared" si="4"/>
        <v>#N/A</v>
      </c>
      <c r="E130" t="e">
        <f t="shared" si="5"/>
        <v>#N/A</v>
      </c>
      <c r="F130">
        <f t="shared" si="6"/>
        <v>13.4</v>
      </c>
      <c r="G130">
        <f t="shared" si="7"/>
        <v>9</v>
      </c>
    </row>
    <row r="131" spans="1:7" x14ac:dyDescent="0.2">
      <c r="A131">
        <v>70</v>
      </c>
      <c r="B131">
        <v>3</v>
      </c>
      <c r="C131">
        <v>1</v>
      </c>
      <c r="D131" t="e">
        <f t="shared" ref="D131:D194" si="8" xml:space="preserve"> IF($C131=0, $A131, NA())</f>
        <v>#N/A</v>
      </c>
      <c r="E131" t="e">
        <f t="shared" ref="E131:E194" si="9" xml:space="preserve"> IF($C131=0, B131, NA())</f>
        <v>#N/A</v>
      </c>
      <c r="F131">
        <f t="shared" ref="F131:F194" si="10" xml:space="preserve"> IF($C131=1, A131, NA())</f>
        <v>70</v>
      </c>
      <c r="G131">
        <f t="shared" ref="G131:G194" si="11" xml:space="preserve"> IF($C131=1, $B131, NA())</f>
        <v>3</v>
      </c>
    </row>
    <row r="132" spans="1:7" x14ac:dyDescent="0.2">
      <c r="A132">
        <v>56.8</v>
      </c>
      <c r="B132">
        <v>4</v>
      </c>
      <c r="C132">
        <v>1</v>
      </c>
      <c r="D132" t="e">
        <f t="shared" si="8"/>
        <v>#N/A</v>
      </c>
      <c r="E132" t="e">
        <f t="shared" si="9"/>
        <v>#N/A</v>
      </c>
      <c r="F132">
        <f t="shared" si="10"/>
        <v>56.8</v>
      </c>
      <c r="G132">
        <f t="shared" si="11"/>
        <v>4</v>
      </c>
    </row>
    <row r="133" spans="1:7" x14ac:dyDescent="0.2">
      <c r="A133">
        <v>98.1</v>
      </c>
      <c r="B133">
        <v>7</v>
      </c>
      <c r="C133">
        <v>1</v>
      </c>
      <c r="D133" t="e">
        <f t="shared" si="8"/>
        <v>#N/A</v>
      </c>
      <c r="E133" t="e">
        <f t="shared" si="9"/>
        <v>#N/A</v>
      </c>
      <c r="F133">
        <f t="shared" si="10"/>
        <v>98.1</v>
      </c>
      <c r="G133">
        <f t="shared" si="11"/>
        <v>7</v>
      </c>
    </row>
    <row r="134" spans="1:7" x14ac:dyDescent="0.2">
      <c r="A134">
        <v>26.6</v>
      </c>
      <c r="B134">
        <v>7</v>
      </c>
      <c r="C134">
        <v>1</v>
      </c>
      <c r="D134" t="e">
        <f t="shared" si="8"/>
        <v>#N/A</v>
      </c>
      <c r="E134" t="e">
        <f t="shared" si="9"/>
        <v>#N/A</v>
      </c>
      <c r="F134">
        <f t="shared" si="10"/>
        <v>26.6</v>
      </c>
      <c r="G134">
        <f t="shared" si="11"/>
        <v>7</v>
      </c>
    </row>
    <row r="135" spans="1:7" x14ac:dyDescent="0.2">
      <c r="A135">
        <v>43.4</v>
      </c>
      <c r="B135">
        <v>4</v>
      </c>
      <c r="C135">
        <v>1</v>
      </c>
      <c r="D135" t="e">
        <f t="shared" si="8"/>
        <v>#N/A</v>
      </c>
      <c r="E135" t="e">
        <f t="shared" si="9"/>
        <v>#N/A</v>
      </c>
      <c r="F135">
        <f t="shared" si="10"/>
        <v>43.4</v>
      </c>
      <c r="G135">
        <f t="shared" si="11"/>
        <v>4</v>
      </c>
    </row>
    <row r="136" spans="1:7" x14ac:dyDescent="0.2">
      <c r="A136">
        <v>56.5</v>
      </c>
      <c r="B136">
        <v>6</v>
      </c>
      <c r="C136">
        <v>0</v>
      </c>
      <c r="D136">
        <f t="shared" si="8"/>
        <v>56.5</v>
      </c>
      <c r="E136">
        <f t="shared" si="9"/>
        <v>6</v>
      </c>
      <c r="F136" t="e">
        <f t="shared" si="10"/>
        <v>#N/A</v>
      </c>
      <c r="G136" t="e">
        <f t="shared" si="11"/>
        <v>#N/A</v>
      </c>
    </row>
    <row r="137" spans="1:7" x14ac:dyDescent="0.2">
      <c r="A137">
        <v>80.2</v>
      </c>
      <c r="B137">
        <v>3</v>
      </c>
      <c r="C137">
        <v>1</v>
      </c>
      <c r="D137" t="e">
        <f t="shared" si="8"/>
        <v>#N/A</v>
      </c>
      <c r="E137" t="e">
        <f t="shared" si="9"/>
        <v>#N/A</v>
      </c>
      <c r="F137">
        <f t="shared" si="10"/>
        <v>80.2</v>
      </c>
      <c r="G137">
        <f t="shared" si="11"/>
        <v>3</v>
      </c>
    </row>
    <row r="138" spans="1:7" x14ac:dyDescent="0.2">
      <c r="A138">
        <v>57.1</v>
      </c>
      <c r="B138">
        <v>6</v>
      </c>
      <c r="C138">
        <v>1</v>
      </c>
      <c r="D138" t="e">
        <f t="shared" si="8"/>
        <v>#N/A</v>
      </c>
      <c r="E138" t="e">
        <f t="shared" si="9"/>
        <v>#N/A</v>
      </c>
      <c r="F138">
        <f t="shared" si="10"/>
        <v>57.1</v>
      </c>
      <c r="G138">
        <f t="shared" si="11"/>
        <v>6</v>
      </c>
    </row>
    <row r="139" spans="1:7" x14ac:dyDescent="0.2">
      <c r="A139">
        <v>63.2</v>
      </c>
      <c r="B139">
        <v>2</v>
      </c>
      <c r="C139">
        <v>0</v>
      </c>
      <c r="D139">
        <f t="shared" si="8"/>
        <v>63.2</v>
      </c>
      <c r="E139">
        <f t="shared" si="9"/>
        <v>2</v>
      </c>
      <c r="F139" t="e">
        <f t="shared" si="10"/>
        <v>#N/A</v>
      </c>
      <c r="G139" t="e">
        <f t="shared" si="11"/>
        <v>#N/A</v>
      </c>
    </row>
    <row r="140" spans="1:7" x14ac:dyDescent="0.2">
      <c r="A140">
        <v>26.5</v>
      </c>
      <c r="B140">
        <v>8</v>
      </c>
      <c r="C140">
        <v>0</v>
      </c>
      <c r="D140">
        <f t="shared" si="8"/>
        <v>26.5</v>
      </c>
      <c r="E140">
        <f t="shared" si="9"/>
        <v>8</v>
      </c>
      <c r="F140" t="e">
        <f t="shared" si="10"/>
        <v>#N/A</v>
      </c>
      <c r="G140" t="e">
        <f t="shared" si="11"/>
        <v>#N/A</v>
      </c>
    </row>
    <row r="141" spans="1:7" x14ac:dyDescent="0.2">
      <c r="A141">
        <v>85.5</v>
      </c>
      <c r="B141">
        <v>2</v>
      </c>
      <c r="C141">
        <v>1</v>
      </c>
      <c r="D141" t="e">
        <f t="shared" si="8"/>
        <v>#N/A</v>
      </c>
      <c r="E141" t="e">
        <f t="shared" si="9"/>
        <v>#N/A</v>
      </c>
      <c r="F141">
        <f t="shared" si="10"/>
        <v>85.5</v>
      </c>
      <c r="G141">
        <f t="shared" si="11"/>
        <v>2</v>
      </c>
    </row>
    <row r="142" spans="1:7" x14ac:dyDescent="0.2">
      <c r="A142">
        <v>45.7</v>
      </c>
      <c r="B142">
        <v>7</v>
      </c>
      <c r="C142">
        <v>0</v>
      </c>
      <c r="D142">
        <f t="shared" si="8"/>
        <v>45.7</v>
      </c>
      <c r="E142">
        <f t="shared" si="9"/>
        <v>7</v>
      </c>
      <c r="F142" t="e">
        <f t="shared" si="10"/>
        <v>#N/A</v>
      </c>
      <c r="G142" t="e">
        <f t="shared" si="11"/>
        <v>#N/A</v>
      </c>
    </row>
    <row r="143" spans="1:7" x14ac:dyDescent="0.2">
      <c r="A143">
        <v>18.399999999999999</v>
      </c>
      <c r="B143">
        <v>9</v>
      </c>
      <c r="C143">
        <v>0</v>
      </c>
      <c r="D143">
        <f t="shared" si="8"/>
        <v>18.399999999999999</v>
      </c>
      <c r="E143">
        <f t="shared" si="9"/>
        <v>9</v>
      </c>
      <c r="F143" t="e">
        <f t="shared" si="10"/>
        <v>#N/A</v>
      </c>
      <c r="G143" t="e">
        <f t="shared" si="11"/>
        <v>#N/A</v>
      </c>
    </row>
    <row r="144" spans="1:7" x14ac:dyDescent="0.2">
      <c r="A144">
        <v>68.099999999999994</v>
      </c>
      <c r="B144">
        <v>1</v>
      </c>
      <c r="C144">
        <v>1</v>
      </c>
      <c r="D144" t="e">
        <f t="shared" si="8"/>
        <v>#N/A</v>
      </c>
      <c r="E144" t="e">
        <f t="shared" si="9"/>
        <v>#N/A</v>
      </c>
      <c r="F144">
        <f t="shared" si="10"/>
        <v>68.099999999999994</v>
      </c>
      <c r="G144">
        <f t="shared" si="11"/>
        <v>1</v>
      </c>
    </row>
    <row r="145" spans="1:7" x14ac:dyDescent="0.2">
      <c r="A145">
        <v>25.5</v>
      </c>
      <c r="B145">
        <v>8</v>
      </c>
      <c r="C145">
        <v>0</v>
      </c>
      <c r="D145">
        <f t="shared" si="8"/>
        <v>25.5</v>
      </c>
      <c r="E145">
        <f t="shared" si="9"/>
        <v>8</v>
      </c>
      <c r="F145" t="e">
        <f t="shared" si="10"/>
        <v>#N/A</v>
      </c>
      <c r="G145" t="e">
        <f t="shared" si="11"/>
        <v>#N/A</v>
      </c>
    </row>
    <row r="146" spans="1:7" x14ac:dyDescent="0.2">
      <c r="A146">
        <v>14.3</v>
      </c>
      <c r="B146">
        <v>7</v>
      </c>
      <c r="C146">
        <v>0</v>
      </c>
      <c r="D146">
        <f t="shared" si="8"/>
        <v>14.3</v>
      </c>
      <c r="E146">
        <f t="shared" si="9"/>
        <v>7</v>
      </c>
      <c r="F146" t="e">
        <f t="shared" si="10"/>
        <v>#N/A</v>
      </c>
      <c r="G146" t="e">
        <f t="shared" si="11"/>
        <v>#N/A</v>
      </c>
    </row>
    <row r="147" spans="1:7" x14ac:dyDescent="0.2">
      <c r="A147">
        <v>86.9</v>
      </c>
      <c r="B147">
        <v>6</v>
      </c>
      <c r="C147">
        <v>0</v>
      </c>
      <c r="D147">
        <f t="shared" si="8"/>
        <v>86.9</v>
      </c>
      <c r="E147">
        <f t="shared" si="9"/>
        <v>6</v>
      </c>
      <c r="F147" t="e">
        <f t="shared" si="10"/>
        <v>#N/A</v>
      </c>
      <c r="G147" t="e">
        <f t="shared" si="11"/>
        <v>#N/A</v>
      </c>
    </row>
    <row r="148" spans="1:7" x14ac:dyDescent="0.2">
      <c r="A148">
        <v>48.7</v>
      </c>
      <c r="B148">
        <v>6</v>
      </c>
      <c r="C148">
        <v>0</v>
      </c>
      <c r="D148">
        <f t="shared" si="8"/>
        <v>48.7</v>
      </c>
      <c r="E148">
        <f t="shared" si="9"/>
        <v>6</v>
      </c>
      <c r="F148" t="e">
        <f t="shared" si="10"/>
        <v>#N/A</v>
      </c>
      <c r="G148" t="e">
        <f t="shared" si="11"/>
        <v>#N/A</v>
      </c>
    </row>
    <row r="149" spans="1:7" x14ac:dyDescent="0.2">
      <c r="A149">
        <v>76.2</v>
      </c>
      <c r="B149">
        <v>6</v>
      </c>
      <c r="C149">
        <v>0</v>
      </c>
      <c r="D149">
        <f t="shared" si="8"/>
        <v>76.2</v>
      </c>
      <c r="E149">
        <f t="shared" si="9"/>
        <v>6</v>
      </c>
      <c r="F149" t="e">
        <f t="shared" si="10"/>
        <v>#N/A</v>
      </c>
      <c r="G149" t="e">
        <f t="shared" si="11"/>
        <v>#N/A</v>
      </c>
    </row>
    <row r="150" spans="1:7" x14ac:dyDescent="0.2">
      <c r="A150">
        <v>32.6</v>
      </c>
      <c r="B150">
        <v>9</v>
      </c>
      <c r="C150">
        <v>1</v>
      </c>
      <c r="D150" t="e">
        <f t="shared" si="8"/>
        <v>#N/A</v>
      </c>
      <c r="E150" t="e">
        <f t="shared" si="9"/>
        <v>#N/A</v>
      </c>
      <c r="F150">
        <f t="shared" si="10"/>
        <v>32.6</v>
      </c>
      <c r="G150">
        <f t="shared" si="11"/>
        <v>9</v>
      </c>
    </row>
    <row r="151" spans="1:7" x14ac:dyDescent="0.2">
      <c r="A151">
        <v>79.8</v>
      </c>
      <c r="B151">
        <v>2</v>
      </c>
      <c r="C151">
        <v>1</v>
      </c>
      <c r="D151" t="e">
        <f t="shared" si="8"/>
        <v>#N/A</v>
      </c>
      <c r="E151" t="e">
        <f t="shared" si="9"/>
        <v>#N/A</v>
      </c>
      <c r="F151">
        <f t="shared" si="10"/>
        <v>79.8</v>
      </c>
      <c r="G151">
        <f t="shared" si="11"/>
        <v>2</v>
      </c>
    </row>
    <row r="152" spans="1:7" x14ac:dyDescent="0.2">
      <c r="A152">
        <v>15.6</v>
      </c>
      <c r="B152">
        <v>1</v>
      </c>
      <c r="C152">
        <v>1</v>
      </c>
      <c r="D152" t="e">
        <f t="shared" si="8"/>
        <v>#N/A</v>
      </c>
      <c r="E152" t="e">
        <f t="shared" si="9"/>
        <v>#N/A</v>
      </c>
      <c r="F152">
        <f t="shared" si="10"/>
        <v>15.6</v>
      </c>
      <c r="G152">
        <f t="shared" si="11"/>
        <v>1</v>
      </c>
    </row>
    <row r="153" spans="1:7" x14ac:dyDescent="0.2">
      <c r="A153">
        <v>38.799999999999997</v>
      </c>
      <c r="B153">
        <v>6</v>
      </c>
      <c r="C153">
        <v>0</v>
      </c>
      <c r="D153">
        <f t="shared" si="8"/>
        <v>38.799999999999997</v>
      </c>
      <c r="E153">
        <f t="shared" si="9"/>
        <v>6</v>
      </c>
      <c r="F153" t="e">
        <f t="shared" si="10"/>
        <v>#N/A</v>
      </c>
      <c r="G153" t="e">
        <f t="shared" si="11"/>
        <v>#N/A</v>
      </c>
    </row>
    <row r="154" spans="1:7" x14ac:dyDescent="0.2">
      <c r="A154">
        <v>97.9</v>
      </c>
      <c r="B154">
        <v>10</v>
      </c>
      <c r="C154">
        <v>0</v>
      </c>
      <c r="D154">
        <f t="shared" si="8"/>
        <v>97.9</v>
      </c>
      <c r="E154">
        <f t="shared" si="9"/>
        <v>10</v>
      </c>
      <c r="F154" t="e">
        <f t="shared" si="10"/>
        <v>#N/A</v>
      </c>
      <c r="G154" t="e">
        <f t="shared" si="11"/>
        <v>#N/A</v>
      </c>
    </row>
    <row r="155" spans="1:7" x14ac:dyDescent="0.2">
      <c r="A155">
        <v>80.400000000000006</v>
      </c>
      <c r="B155">
        <v>8</v>
      </c>
      <c r="C155">
        <v>1</v>
      </c>
      <c r="D155" t="e">
        <f t="shared" si="8"/>
        <v>#N/A</v>
      </c>
      <c r="E155" t="e">
        <f t="shared" si="9"/>
        <v>#N/A</v>
      </c>
      <c r="F155">
        <f t="shared" si="10"/>
        <v>80.400000000000006</v>
      </c>
      <c r="G155">
        <f t="shared" si="11"/>
        <v>8</v>
      </c>
    </row>
    <row r="156" spans="1:7" x14ac:dyDescent="0.2">
      <c r="A156">
        <v>52.2</v>
      </c>
      <c r="B156">
        <v>3</v>
      </c>
      <c r="C156">
        <v>0</v>
      </c>
      <c r="D156">
        <f t="shared" si="8"/>
        <v>52.2</v>
      </c>
      <c r="E156">
        <f t="shared" si="9"/>
        <v>3</v>
      </c>
      <c r="F156" t="e">
        <f t="shared" si="10"/>
        <v>#N/A</v>
      </c>
      <c r="G156" t="e">
        <f t="shared" si="11"/>
        <v>#N/A</v>
      </c>
    </row>
    <row r="157" spans="1:7" x14ac:dyDescent="0.2">
      <c r="A157">
        <v>37.299999999999997</v>
      </c>
      <c r="B157">
        <v>10</v>
      </c>
      <c r="C157">
        <v>0</v>
      </c>
      <c r="D157">
        <f t="shared" si="8"/>
        <v>37.299999999999997</v>
      </c>
      <c r="E157">
        <f t="shared" si="9"/>
        <v>10</v>
      </c>
      <c r="F157" t="e">
        <f t="shared" si="10"/>
        <v>#N/A</v>
      </c>
      <c r="G157" t="e">
        <f t="shared" si="11"/>
        <v>#N/A</v>
      </c>
    </row>
    <row r="158" spans="1:7" x14ac:dyDescent="0.2">
      <c r="A158">
        <v>87.9</v>
      </c>
      <c r="B158">
        <v>1</v>
      </c>
      <c r="C158">
        <v>1</v>
      </c>
      <c r="D158" t="e">
        <f t="shared" si="8"/>
        <v>#N/A</v>
      </c>
      <c r="E158" t="e">
        <f t="shared" si="9"/>
        <v>#N/A</v>
      </c>
      <c r="F158">
        <f t="shared" si="10"/>
        <v>87.9</v>
      </c>
      <c r="G158">
        <f t="shared" si="11"/>
        <v>1</v>
      </c>
    </row>
    <row r="159" spans="1:7" x14ac:dyDescent="0.2">
      <c r="A159">
        <v>56.8</v>
      </c>
      <c r="B159">
        <v>9</v>
      </c>
      <c r="C159">
        <v>0</v>
      </c>
      <c r="D159">
        <f t="shared" si="8"/>
        <v>56.8</v>
      </c>
      <c r="E159">
        <f t="shared" si="9"/>
        <v>9</v>
      </c>
      <c r="F159" t="e">
        <f t="shared" si="10"/>
        <v>#N/A</v>
      </c>
      <c r="G159" t="e">
        <f t="shared" si="11"/>
        <v>#N/A</v>
      </c>
    </row>
    <row r="160" spans="1:7" x14ac:dyDescent="0.2">
      <c r="A160">
        <v>77.099999999999994</v>
      </c>
      <c r="B160">
        <v>1</v>
      </c>
      <c r="C160">
        <v>0</v>
      </c>
      <c r="D160">
        <f t="shared" si="8"/>
        <v>77.099999999999994</v>
      </c>
      <c r="E160">
        <f t="shared" si="9"/>
        <v>1</v>
      </c>
      <c r="F160" t="e">
        <f t="shared" si="10"/>
        <v>#N/A</v>
      </c>
      <c r="G160" t="e">
        <f t="shared" si="11"/>
        <v>#N/A</v>
      </c>
    </row>
    <row r="161" spans="1:7" x14ac:dyDescent="0.2">
      <c r="A161">
        <v>76.599999999999994</v>
      </c>
      <c r="B161">
        <v>3</v>
      </c>
      <c r="C161">
        <v>1</v>
      </c>
      <c r="D161" t="e">
        <f t="shared" si="8"/>
        <v>#N/A</v>
      </c>
      <c r="E161" t="e">
        <f t="shared" si="9"/>
        <v>#N/A</v>
      </c>
      <c r="F161">
        <f t="shared" si="10"/>
        <v>76.599999999999994</v>
      </c>
      <c r="G161">
        <f t="shared" si="11"/>
        <v>3</v>
      </c>
    </row>
    <row r="162" spans="1:7" x14ac:dyDescent="0.2">
      <c r="A162">
        <v>6.7</v>
      </c>
      <c r="B162">
        <v>8</v>
      </c>
      <c r="C162">
        <v>0</v>
      </c>
      <c r="D162">
        <f t="shared" si="8"/>
        <v>6.7</v>
      </c>
      <c r="E162">
        <f t="shared" si="9"/>
        <v>8</v>
      </c>
      <c r="F162" t="e">
        <f t="shared" si="10"/>
        <v>#N/A</v>
      </c>
      <c r="G162" t="e">
        <f t="shared" si="11"/>
        <v>#N/A</v>
      </c>
    </row>
    <row r="163" spans="1:7" x14ac:dyDescent="0.2">
      <c r="A163">
        <v>17</v>
      </c>
      <c r="B163">
        <v>3</v>
      </c>
      <c r="C163">
        <v>0</v>
      </c>
      <c r="D163">
        <f t="shared" si="8"/>
        <v>17</v>
      </c>
      <c r="E163">
        <f t="shared" si="9"/>
        <v>3</v>
      </c>
      <c r="F163" t="e">
        <f t="shared" si="10"/>
        <v>#N/A</v>
      </c>
      <c r="G163" t="e">
        <f t="shared" si="11"/>
        <v>#N/A</v>
      </c>
    </row>
    <row r="164" spans="1:7" x14ac:dyDescent="0.2">
      <c r="A164">
        <v>67.7</v>
      </c>
      <c r="B164">
        <v>4</v>
      </c>
      <c r="C164">
        <v>1</v>
      </c>
      <c r="D164" t="e">
        <f t="shared" si="8"/>
        <v>#N/A</v>
      </c>
      <c r="E164" t="e">
        <f t="shared" si="9"/>
        <v>#N/A</v>
      </c>
      <c r="F164">
        <f t="shared" si="10"/>
        <v>67.7</v>
      </c>
      <c r="G164">
        <f t="shared" si="11"/>
        <v>4</v>
      </c>
    </row>
    <row r="165" spans="1:7" x14ac:dyDescent="0.2">
      <c r="A165">
        <v>20.399999999999999</v>
      </c>
      <c r="B165">
        <v>8</v>
      </c>
      <c r="C165">
        <v>0</v>
      </c>
      <c r="D165">
        <f t="shared" si="8"/>
        <v>20.399999999999999</v>
      </c>
      <c r="E165">
        <f t="shared" si="9"/>
        <v>8</v>
      </c>
      <c r="F165" t="e">
        <f t="shared" si="10"/>
        <v>#N/A</v>
      </c>
      <c r="G165" t="e">
        <f t="shared" si="11"/>
        <v>#N/A</v>
      </c>
    </row>
    <row r="166" spans="1:7" x14ac:dyDescent="0.2">
      <c r="A166">
        <v>29.3</v>
      </c>
      <c r="B166">
        <v>1</v>
      </c>
      <c r="C166">
        <v>1</v>
      </c>
      <c r="D166" t="e">
        <f t="shared" si="8"/>
        <v>#N/A</v>
      </c>
      <c r="E166" t="e">
        <f t="shared" si="9"/>
        <v>#N/A</v>
      </c>
      <c r="F166">
        <f t="shared" si="10"/>
        <v>29.3</v>
      </c>
      <c r="G166">
        <f t="shared" si="11"/>
        <v>1</v>
      </c>
    </row>
    <row r="167" spans="1:7" x14ac:dyDescent="0.2">
      <c r="A167">
        <v>94.9</v>
      </c>
      <c r="B167">
        <v>6</v>
      </c>
      <c r="C167">
        <v>1</v>
      </c>
      <c r="D167" t="e">
        <f t="shared" si="8"/>
        <v>#N/A</v>
      </c>
      <c r="E167" t="e">
        <f t="shared" si="9"/>
        <v>#N/A</v>
      </c>
      <c r="F167">
        <f t="shared" si="10"/>
        <v>94.9</v>
      </c>
      <c r="G167">
        <f t="shared" si="11"/>
        <v>6</v>
      </c>
    </row>
    <row r="168" spans="1:7" x14ac:dyDescent="0.2">
      <c r="A168">
        <v>58.2</v>
      </c>
      <c r="B168">
        <v>1</v>
      </c>
      <c r="C168">
        <v>1</v>
      </c>
      <c r="D168" t="e">
        <f t="shared" si="8"/>
        <v>#N/A</v>
      </c>
      <c r="E168" t="e">
        <f t="shared" si="9"/>
        <v>#N/A</v>
      </c>
      <c r="F168">
        <f t="shared" si="10"/>
        <v>58.2</v>
      </c>
      <c r="G168">
        <f t="shared" si="11"/>
        <v>1</v>
      </c>
    </row>
    <row r="169" spans="1:7" x14ac:dyDescent="0.2">
      <c r="A169">
        <v>76.3</v>
      </c>
      <c r="B169">
        <v>1</v>
      </c>
      <c r="C169">
        <v>1</v>
      </c>
      <c r="D169" t="e">
        <f t="shared" si="8"/>
        <v>#N/A</v>
      </c>
      <c r="E169" t="e">
        <f t="shared" si="9"/>
        <v>#N/A</v>
      </c>
      <c r="F169">
        <f t="shared" si="10"/>
        <v>76.3</v>
      </c>
      <c r="G169">
        <f t="shared" si="11"/>
        <v>1</v>
      </c>
    </row>
    <row r="170" spans="1:7" x14ac:dyDescent="0.2">
      <c r="A170">
        <v>58</v>
      </c>
      <c r="B170">
        <v>8</v>
      </c>
      <c r="C170">
        <v>1</v>
      </c>
      <c r="D170" t="e">
        <f t="shared" si="8"/>
        <v>#N/A</v>
      </c>
      <c r="E170" t="e">
        <f t="shared" si="9"/>
        <v>#N/A</v>
      </c>
      <c r="F170">
        <f t="shared" si="10"/>
        <v>58</v>
      </c>
      <c r="G170">
        <f t="shared" si="11"/>
        <v>8</v>
      </c>
    </row>
    <row r="171" spans="1:7" x14ac:dyDescent="0.2">
      <c r="A171">
        <v>57.5</v>
      </c>
      <c r="B171">
        <v>4</v>
      </c>
      <c r="C171">
        <v>1</v>
      </c>
      <c r="D171" t="e">
        <f t="shared" si="8"/>
        <v>#N/A</v>
      </c>
      <c r="E171" t="e">
        <f t="shared" si="9"/>
        <v>#N/A</v>
      </c>
      <c r="F171">
        <f t="shared" si="10"/>
        <v>57.5</v>
      </c>
      <c r="G171">
        <f t="shared" si="11"/>
        <v>4</v>
      </c>
    </row>
    <row r="172" spans="1:7" x14ac:dyDescent="0.2">
      <c r="A172">
        <v>13.9</v>
      </c>
      <c r="B172">
        <v>1</v>
      </c>
      <c r="C172">
        <v>0</v>
      </c>
      <c r="D172">
        <f t="shared" si="8"/>
        <v>13.9</v>
      </c>
      <c r="E172">
        <f t="shared" si="9"/>
        <v>1</v>
      </c>
      <c r="F172" t="e">
        <f t="shared" si="10"/>
        <v>#N/A</v>
      </c>
      <c r="G172" t="e">
        <f t="shared" si="11"/>
        <v>#N/A</v>
      </c>
    </row>
    <row r="173" spans="1:7" x14ac:dyDescent="0.2">
      <c r="A173">
        <v>37.6</v>
      </c>
      <c r="B173">
        <v>10</v>
      </c>
      <c r="C173">
        <v>0</v>
      </c>
      <c r="D173">
        <f t="shared" si="8"/>
        <v>37.6</v>
      </c>
      <c r="E173">
        <f t="shared" si="9"/>
        <v>10</v>
      </c>
      <c r="F173" t="e">
        <f t="shared" si="10"/>
        <v>#N/A</v>
      </c>
      <c r="G173" t="e">
        <f t="shared" si="11"/>
        <v>#N/A</v>
      </c>
    </row>
    <row r="174" spans="1:7" x14ac:dyDescent="0.2">
      <c r="A174">
        <v>31.8</v>
      </c>
      <c r="B174">
        <v>7</v>
      </c>
      <c r="C174">
        <v>0</v>
      </c>
      <c r="D174">
        <f t="shared" si="8"/>
        <v>31.8</v>
      </c>
      <c r="E174">
        <f t="shared" si="9"/>
        <v>7</v>
      </c>
      <c r="F174" t="e">
        <f t="shared" si="10"/>
        <v>#N/A</v>
      </c>
      <c r="G174" t="e">
        <f t="shared" si="11"/>
        <v>#N/A</v>
      </c>
    </row>
    <row r="175" spans="1:7" x14ac:dyDescent="0.2">
      <c r="A175">
        <v>42.1</v>
      </c>
      <c r="B175">
        <v>5</v>
      </c>
      <c r="C175">
        <v>0</v>
      </c>
      <c r="D175">
        <f t="shared" si="8"/>
        <v>42.1</v>
      </c>
      <c r="E175">
        <f t="shared" si="9"/>
        <v>5</v>
      </c>
      <c r="F175" t="e">
        <f t="shared" si="10"/>
        <v>#N/A</v>
      </c>
      <c r="G175" t="e">
        <f t="shared" si="11"/>
        <v>#N/A</v>
      </c>
    </row>
    <row r="176" spans="1:7" x14ac:dyDescent="0.2">
      <c r="A176">
        <v>80.8</v>
      </c>
      <c r="B176">
        <v>5</v>
      </c>
      <c r="C176">
        <v>0</v>
      </c>
      <c r="D176">
        <f t="shared" si="8"/>
        <v>80.8</v>
      </c>
      <c r="E176">
        <f t="shared" si="9"/>
        <v>5</v>
      </c>
      <c r="F176" t="e">
        <f t="shared" si="10"/>
        <v>#N/A</v>
      </c>
      <c r="G176" t="e">
        <f t="shared" si="11"/>
        <v>#N/A</v>
      </c>
    </row>
    <row r="177" spans="1:7" x14ac:dyDescent="0.2">
      <c r="A177">
        <v>40.299999999999997</v>
      </c>
      <c r="B177">
        <v>1</v>
      </c>
      <c r="C177">
        <v>0</v>
      </c>
      <c r="D177">
        <f t="shared" si="8"/>
        <v>40.299999999999997</v>
      </c>
      <c r="E177">
        <f t="shared" si="9"/>
        <v>1</v>
      </c>
      <c r="F177" t="e">
        <f t="shared" si="10"/>
        <v>#N/A</v>
      </c>
      <c r="G177" t="e">
        <f t="shared" si="11"/>
        <v>#N/A</v>
      </c>
    </row>
    <row r="178" spans="1:7" x14ac:dyDescent="0.2">
      <c r="A178">
        <v>47.9</v>
      </c>
      <c r="B178">
        <v>10</v>
      </c>
      <c r="C178">
        <v>1</v>
      </c>
      <c r="D178" t="e">
        <f t="shared" si="8"/>
        <v>#N/A</v>
      </c>
      <c r="E178" t="e">
        <f t="shared" si="9"/>
        <v>#N/A</v>
      </c>
      <c r="F178">
        <f t="shared" si="10"/>
        <v>47.9</v>
      </c>
      <c r="G178">
        <f t="shared" si="11"/>
        <v>10</v>
      </c>
    </row>
    <row r="179" spans="1:7" x14ac:dyDescent="0.2">
      <c r="A179">
        <v>42.8</v>
      </c>
      <c r="B179">
        <v>6</v>
      </c>
      <c r="C179">
        <v>0</v>
      </c>
      <c r="D179">
        <f t="shared" si="8"/>
        <v>42.8</v>
      </c>
      <c r="E179">
        <f t="shared" si="9"/>
        <v>6</v>
      </c>
      <c r="F179" t="e">
        <f t="shared" si="10"/>
        <v>#N/A</v>
      </c>
      <c r="G179" t="e">
        <f t="shared" si="11"/>
        <v>#N/A</v>
      </c>
    </row>
    <row r="180" spans="1:7" x14ac:dyDescent="0.2">
      <c r="A180">
        <v>13.9</v>
      </c>
      <c r="B180">
        <v>9</v>
      </c>
      <c r="C180">
        <v>0</v>
      </c>
      <c r="D180">
        <f t="shared" si="8"/>
        <v>13.9</v>
      </c>
      <c r="E180">
        <f t="shared" si="9"/>
        <v>9</v>
      </c>
      <c r="F180" t="e">
        <f t="shared" si="10"/>
        <v>#N/A</v>
      </c>
      <c r="G180" t="e">
        <f t="shared" si="11"/>
        <v>#N/A</v>
      </c>
    </row>
    <row r="181" spans="1:7" x14ac:dyDescent="0.2">
      <c r="A181">
        <v>46.9</v>
      </c>
      <c r="B181">
        <v>9</v>
      </c>
      <c r="C181">
        <v>0</v>
      </c>
      <c r="D181">
        <f t="shared" si="8"/>
        <v>46.9</v>
      </c>
      <c r="E181">
        <f t="shared" si="9"/>
        <v>9</v>
      </c>
      <c r="F181" t="e">
        <f t="shared" si="10"/>
        <v>#N/A</v>
      </c>
      <c r="G181" t="e">
        <f t="shared" si="11"/>
        <v>#N/A</v>
      </c>
    </row>
    <row r="182" spans="1:7" x14ac:dyDescent="0.2">
      <c r="A182">
        <v>23.6</v>
      </c>
      <c r="B182">
        <v>8</v>
      </c>
      <c r="C182">
        <v>0</v>
      </c>
      <c r="D182">
        <f t="shared" si="8"/>
        <v>23.6</v>
      </c>
      <c r="E182">
        <f t="shared" si="9"/>
        <v>8</v>
      </c>
      <c r="F182" t="e">
        <f t="shared" si="10"/>
        <v>#N/A</v>
      </c>
      <c r="G182" t="e">
        <f t="shared" si="11"/>
        <v>#N/A</v>
      </c>
    </row>
    <row r="183" spans="1:7" x14ac:dyDescent="0.2">
      <c r="A183">
        <v>22.7</v>
      </c>
      <c r="B183">
        <v>5</v>
      </c>
      <c r="C183">
        <v>0</v>
      </c>
      <c r="D183">
        <f t="shared" si="8"/>
        <v>22.7</v>
      </c>
      <c r="E183">
        <f t="shared" si="9"/>
        <v>5</v>
      </c>
      <c r="F183" t="e">
        <f t="shared" si="10"/>
        <v>#N/A</v>
      </c>
      <c r="G183" t="e">
        <f t="shared" si="11"/>
        <v>#N/A</v>
      </c>
    </row>
    <row r="184" spans="1:7" x14ac:dyDescent="0.2">
      <c r="A184">
        <v>13.9</v>
      </c>
      <c r="B184">
        <v>1</v>
      </c>
      <c r="C184">
        <v>1</v>
      </c>
      <c r="D184" t="e">
        <f t="shared" si="8"/>
        <v>#N/A</v>
      </c>
      <c r="E184" t="e">
        <f t="shared" si="9"/>
        <v>#N/A</v>
      </c>
      <c r="F184">
        <f t="shared" si="10"/>
        <v>13.9</v>
      </c>
      <c r="G184">
        <f t="shared" si="11"/>
        <v>1</v>
      </c>
    </row>
    <row r="185" spans="1:7" x14ac:dyDescent="0.2">
      <c r="A185">
        <v>38.9</v>
      </c>
      <c r="B185">
        <v>9</v>
      </c>
      <c r="C185">
        <v>1</v>
      </c>
      <c r="D185" t="e">
        <f t="shared" si="8"/>
        <v>#N/A</v>
      </c>
      <c r="E185" t="e">
        <f t="shared" si="9"/>
        <v>#N/A</v>
      </c>
      <c r="F185">
        <f t="shared" si="10"/>
        <v>38.9</v>
      </c>
      <c r="G185">
        <f t="shared" si="11"/>
        <v>9</v>
      </c>
    </row>
    <row r="186" spans="1:7" x14ac:dyDescent="0.2">
      <c r="A186">
        <v>77</v>
      </c>
      <c r="B186">
        <v>1</v>
      </c>
      <c r="C186">
        <v>1</v>
      </c>
      <c r="D186" t="e">
        <f t="shared" si="8"/>
        <v>#N/A</v>
      </c>
      <c r="E186" t="e">
        <f t="shared" si="9"/>
        <v>#N/A</v>
      </c>
      <c r="F186">
        <f t="shared" si="10"/>
        <v>77</v>
      </c>
      <c r="G186">
        <f t="shared" si="11"/>
        <v>1</v>
      </c>
    </row>
    <row r="187" spans="1:7" x14ac:dyDescent="0.2">
      <c r="A187">
        <v>31.3</v>
      </c>
      <c r="B187">
        <v>8</v>
      </c>
      <c r="C187">
        <v>1</v>
      </c>
      <c r="D187" t="e">
        <f t="shared" si="8"/>
        <v>#N/A</v>
      </c>
      <c r="E187" t="e">
        <f t="shared" si="9"/>
        <v>#N/A</v>
      </c>
      <c r="F187">
        <f t="shared" si="10"/>
        <v>31.3</v>
      </c>
      <c r="G187">
        <f t="shared" si="11"/>
        <v>8</v>
      </c>
    </row>
    <row r="188" spans="1:7" x14ac:dyDescent="0.2">
      <c r="A188">
        <v>34.700000000000003</v>
      </c>
      <c r="B188">
        <v>5</v>
      </c>
      <c r="C188">
        <v>0</v>
      </c>
      <c r="D188">
        <f t="shared" si="8"/>
        <v>34.700000000000003</v>
      </c>
      <c r="E188">
        <f t="shared" si="9"/>
        <v>5</v>
      </c>
      <c r="F188" t="e">
        <f t="shared" si="10"/>
        <v>#N/A</v>
      </c>
      <c r="G188" t="e">
        <f t="shared" si="11"/>
        <v>#N/A</v>
      </c>
    </row>
    <row r="189" spans="1:7" x14ac:dyDescent="0.2">
      <c r="A189">
        <v>66.099999999999994</v>
      </c>
      <c r="B189">
        <v>3</v>
      </c>
      <c r="C189">
        <v>0</v>
      </c>
      <c r="D189">
        <f t="shared" si="8"/>
        <v>66.099999999999994</v>
      </c>
      <c r="E189">
        <f t="shared" si="9"/>
        <v>3</v>
      </c>
      <c r="F189" t="e">
        <f t="shared" si="10"/>
        <v>#N/A</v>
      </c>
      <c r="G189" t="e">
        <f t="shared" si="11"/>
        <v>#N/A</v>
      </c>
    </row>
    <row r="190" spans="1:7" x14ac:dyDescent="0.2">
      <c r="A190">
        <v>23.6</v>
      </c>
      <c r="B190">
        <v>7</v>
      </c>
      <c r="C190">
        <v>1</v>
      </c>
      <c r="D190" t="e">
        <f t="shared" si="8"/>
        <v>#N/A</v>
      </c>
      <c r="E190" t="e">
        <f t="shared" si="9"/>
        <v>#N/A</v>
      </c>
      <c r="F190">
        <f t="shared" si="10"/>
        <v>23.6</v>
      </c>
      <c r="G190">
        <f t="shared" si="11"/>
        <v>7</v>
      </c>
    </row>
    <row r="191" spans="1:7" x14ac:dyDescent="0.2">
      <c r="A191">
        <v>90.2</v>
      </c>
      <c r="B191">
        <v>7</v>
      </c>
      <c r="C191">
        <v>0</v>
      </c>
      <c r="D191">
        <f t="shared" si="8"/>
        <v>90.2</v>
      </c>
      <c r="E191">
        <f t="shared" si="9"/>
        <v>7</v>
      </c>
      <c r="F191" t="e">
        <f t="shared" si="10"/>
        <v>#N/A</v>
      </c>
      <c r="G191" t="e">
        <f t="shared" si="11"/>
        <v>#N/A</v>
      </c>
    </row>
    <row r="192" spans="1:7" x14ac:dyDescent="0.2">
      <c r="A192">
        <v>54.4</v>
      </c>
      <c r="B192">
        <v>9</v>
      </c>
      <c r="C192">
        <v>0</v>
      </c>
      <c r="D192">
        <f t="shared" si="8"/>
        <v>54.4</v>
      </c>
      <c r="E192">
        <f t="shared" si="9"/>
        <v>9</v>
      </c>
      <c r="F192" t="e">
        <f t="shared" si="10"/>
        <v>#N/A</v>
      </c>
      <c r="G192" t="e">
        <f t="shared" si="11"/>
        <v>#N/A</v>
      </c>
    </row>
    <row r="193" spans="1:7" x14ac:dyDescent="0.2">
      <c r="A193">
        <v>47.5</v>
      </c>
      <c r="B193">
        <v>7</v>
      </c>
      <c r="C193">
        <v>0</v>
      </c>
      <c r="D193">
        <f t="shared" si="8"/>
        <v>47.5</v>
      </c>
      <c r="E193">
        <f t="shared" si="9"/>
        <v>7</v>
      </c>
      <c r="F193" t="e">
        <f t="shared" si="10"/>
        <v>#N/A</v>
      </c>
      <c r="G193" t="e">
        <f t="shared" si="11"/>
        <v>#N/A</v>
      </c>
    </row>
    <row r="194" spans="1:7" x14ac:dyDescent="0.2">
      <c r="A194">
        <v>58</v>
      </c>
      <c r="B194">
        <v>3</v>
      </c>
      <c r="C194">
        <v>0</v>
      </c>
      <c r="D194">
        <f t="shared" si="8"/>
        <v>58</v>
      </c>
      <c r="E194">
        <f t="shared" si="9"/>
        <v>3</v>
      </c>
      <c r="F194" t="e">
        <f t="shared" si="10"/>
        <v>#N/A</v>
      </c>
      <c r="G194" t="e">
        <f t="shared" si="11"/>
        <v>#N/A</v>
      </c>
    </row>
    <row r="195" spans="1:7" x14ac:dyDescent="0.2">
      <c r="A195">
        <v>20.8</v>
      </c>
      <c r="B195">
        <v>1</v>
      </c>
      <c r="C195">
        <v>1</v>
      </c>
      <c r="D195" t="e">
        <f t="shared" ref="D195:D251" si="12" xml:space="preserve"> IF($C195=0, $A195, NA())</f>
        <v>#N/A</v>
      </c>
      <c r="E195" t="e">
        <f t="shared" ref="E195:E251" si="13" xml:space="preserve"> IF($C195=0, B195, NA())</f>
        <v>#N/A</v>
      </c>
      <c r="F195">
        <f t="shared" ref="F195:F251" si="14" xml:space="preserve"> IF($C195=1, A195, NA())</f>
        <v>20.8</v>
      </c>
      <c r="G195">
        <f t="shared" ref="G195:G251" si="15" xml:space="preserve"> IF($C195=1, $B195, NA())</f>
        <v>1</v>
      </c>
    </row>
    <row r="196" spans="1:7" x14ac:dyDescent="0.2">
      <c r="A196">
        <v>63.3</v>
      </c>
      <c r="B196">
        <v>8</v>
      </c>
      <c r="C196">
        <v>0</v>
      </c>
      <c r="D196">
        <f t="shared" si="12"/>
        <v>63.3</v>
      </c>
      <c r="E196">
        <f t="shared" si="13"/>
        <v>8</v>
      </c>
      <c r="F196" t="e">
        <f t="shared" si="14"/>
        <v>#N/A</v>
      </c>
      <c r="G196" t="e">
        <f t="shared" si="15"/>
        <v>#N/A</v>
      </c>
    </row>
    <row r="197" spans="1:7" x14ac:dyDescent="0.2">
      <c r="A197">
        <v>39.5</v>
      </c>
      <c r="B197">
        <v>3</v>
      </c>
      <c r="C197">
        <v>0</v>
      </c>
      <c r="D197">
        <f t="shared" si="12"/>
        <v>39.5</v>
      </c>
      <c r="E197">
        <f t="shared" si="13"/>
        <v>3</v>
      </c>
      <c r="F197" t="e">
        <f t="shared" si="14"/>
        <v>#N/A</v>
      </c>
      <c r="G197" t="e">
        <f t="shared" si="15"/>
        <v>#N/A</v>
      </c>
    </row>
    <row r="198" spans="1:7" x14ac:dyDescent="0.2">
      <c r="A198">
        <v>90.2</v>
      </c>
      <c r="B198">
        <v>8</v>
      </c>
      <c r="C198">
        <v>1</v>
      </c>
      <c r="D198" t="e">
        <f t="shared" si="12"/>
        <v>#N/A</v>
      </c>
      <c r="E198" t="e">
        <f t="shared" si="13"/>
        <v>#N/A</v>
      </c>
      <c r="F198">
        <f t="shared" si="14"/>
        <v>90.2</v>
      </c>
      <c r="G198">
        <f t="shared" si="15"/>
        <v>8</v>
      </c>
    </row>
    <row r="199" spans="1:7" x14ac:dyDescent="0.2">
      <c r="A199">
        <v>21</v>
      </c>
      <c r="B199">
        <v>8</v>
      </c>
      <c r="C199">
        <v>0</v>
      </c>
      <c r="D199">
        <f t="shared" si="12"/>
        <v>21</v>
      </c>
      <c r="E199">
        <f t="shared" si="13"/>
        <v>8</v>
      </c>
      <c r="F199" t="e">
        <f t="shared" si="14"/>
        <v>#N/A</v>
      </c>
      <c r="G199" t="e">
        <f t="shared" si="15"/>
        <v>#N/A</v>
      </c>
    </row>
    <row r="200" spans="1:7" x14ac:dyDescent="0.2">
      <c r="A200">
        <v>53.2</v>
      </c>
      <c r="B200">
        <v>5</v>
      </c>
      <c r="C200">
        <v>0</v>
      </c>
      <c r="D200">
        <f t="shared" si="12"/>
        <v>53.2</v>
      </c>
      <c r="E200">
        <f t="shared" si="13"/>
        <v>5</v>
      </c>
      <c r="F200" t="e">
        <f t="shared" si="14"/>
        <v>#N/A</v>
      </c>
      <c r="G200" t="e">
        <f t="shared" si="15"/>
        <v>#N/A</v>
      </c>
    </row>
    <row r="201" spans="1:7" x14ac:dyDescent="0.2">
      <c r="A201">
        <v>61.8</v>
      </c>
      <c r="B201">
        <v>1</v>
      </c>
      <c r="C201">
        <v>1</v>
      </c>
      <c r="D201" t="e">
        <f t="shared" si="12"/>
        <v>#N/A</v>
      </c>
      <c r="E201" t="e">
        <f t="shared" si="13"/>
        <v>#N/A</v>
      </c>
      <c r="F201">
        <f t="shared" si="14"/>
        <v>61.8</v>
      </c>
      <c r="G201">
        <f t="shared" si="15"/>
        <v>1</v>
      </c>
    </row>
    <row r="202" spans="1:7" x14ac:dyDescent="0.2">
      <c r="A202">
        <v>8.1999999999999993</v>
      </c>
      <c r="B202">
        <v>10</v>
      </c>
      <c r="C202">
        <v>0</v>
      </c>
      <c r="D202">
        <f t="shared" si="12"/>
        <v>8.1999999999999993</v>
      </c>
      <c r="E202">
        <f t="shared" si="13"/>
        <v>10</v>
      </c>
      <c r="F202" t="e">
        <f t="shared" si="14"/>
        <v>#N/A</v>
      </c>
      <c r="G202" t="e">
        <f t="shared" si="15"/>
        <v>#N/A</v>
      </c>
    </row>
    <row r="203" spans="1:7" x14ac:dyDescent="0.2">
      <c r="A203">
        <v>39.6</v>
      </c>
      <c r="B203">
        <v>7</v>
      </c>
      <c r="C203">
        <v>0</v>
      </c>
      <c r="D203">
        <f t="shared" si="12"/>
        <v>39.6</v>
      </c>
      <c r="E203">
        <f t="shared" si="13"/>
        <v>7</v>
      </c>
      <c r="F203" t="e">
        <f t="shared" si="14"/>
        <v>#N/A</v>
      </c>
      <c r="G203" t="e">
        <f t="shared" si="15"/>
        <v>#N/A</v>
      </c>
    </row>
    <row r="204" spans="1:7" x14ac:dyDescent="0.2">
      <c r="A204">
        <v>74.599999999999994</v>
      </c>
      <c r="B204">
        <v>10</v>
      </c>
      <c r="C204">
        <v>1</v>
      </c>
      <c r="D204" t="e">
        <f t="shared" si="12"/>
        <v>#N/A</v>
      </c>
      <c r="E204" t="e">
        <f t="shared" si="13"/>
        <v>#N/A</v>
      </c>
      <c r="F204">
        <f t="shared" si="14"/>
        <v>74.599999999999994</v>
      </c>
      <c r="G204">
        <f t="shared" si="15"/>
        <v>10</v>
      </c>
    </row>
    <row r="205" spans="1:7" x14ac:dyDescent="0.2">
      <c r="A205">
        <v>82.9</v>
      </c>
      <c r="B205">
        <v>5</v>
      </c>
      <c r="C205">
        <v>0</v>
      </c>
      <c r="D205">
        <f t="shared" si="12"/>
        <v>82.9</v>
      </c>
      <c r="E205">
        <f t="shared" si="13"/>
        <v>5</v>
      </c>
      <c r="F205" t="e">
        <f t="shared" si="14"/>
        <v>#N/A</v>
      </c>
      <c r="G205" t="e">
        <f t="shared" si="15"/>
        <v>#N/A</v>
      </c>
    </row>
    <row r="206" spans="1:7" x14ac:dyDescent="0.2">
      <c r="A206">
        <v>34.799999999999997</v>
      </c>
      <c r="B206">
        <v>8</v>
      </c>
      <c r="C206">
        <v>0</v>
      </c>
      <c r="D206">
        <f t="shared" si="12"/>
        <v>34.799999999999997</v>
      </c>
      <c r="E206">
        <f t="shared" si="13"/>
        <v>8</v>
      </c>
      <c r="F206" t="e">
        <f t="shared" si="14"/>
        <v>#N/A</v>
      </c>
      <c r="G206" t="e">
        <f t="shared" si="15"/>
        <v>#N/A</v>
      </c>
    </row>
    <row r="207" spans="1:7" x14ac:dyDescent="0.2">
      <c r="A207">
        <v>80.900000000000006</v>
      </c>
      <c r="B207">
        <v>9</v>
      </c>
      <c r="C207">
        <v>0</v>
      </c>
      <c r="D207">
        <f t="shared" si="12"/>
        <v>80.900000000000006</v>
      </c>
      <c r="E207">
        <f t="shared" si="13"/>
        <v>9</v>
      </c>
      <c r="F207" t="e">
        <f t="shared" si="14"/>
        <v>#N/A</v>
      </c>
      <c r="G207" t="e">
        <f t="shared" si="15"/>
        <v>#N/A</v>
      </c>
    </row>
    <row r="208" spans="1:7" x14ac:dyDescent="0.2">
      <c r="A208">
        <v>96.9</v>
      </c>
      <c r="B208">
        <v>7</v>
      </c>
      <c r="C208">
        <v>1</v>
      </c>
      <c r="D208" t="e">
        <f t="shared" si="12"/>
        <v>#N/A</v>
      </c>
      <c r="E208" t="e">
        <f t="shared" si="13"/>
        <v>#N/A</v>
      </c>
      <c r="F208">
        <f t="shared" si="14"/>
        <v>96.9</v>
      </c>
      <c r="G208">
        <f t="shared" si="15"/>
        <v>7</v>
      </c>
    </row>
    <row r="209" spans="1:7" x14ac:dyDescent="0.2">
      <c r="A209">
        <v>86.4</v>
      </c>
      <c r="B209">
        <v>7</v>
      </c>
      <c r="C209">
        <v>1</v>
      </c>
      <c r="D209" t="e">
        <f t="shared" si="12"/>
        <v>#N/A</v>
      </c>
      <c r="E209" t="e">
        <f t="shared" si="13"/>
        <v>#N/A</v>
      </c>
      <c r="F209">
        <f t="shared" si="14"/>
        <v>86.4</v>
      </c>
      <c r="G209">
        <f t="shared" si="15"/>
        <v>7</v>
      </c>
    </row>
    <row r="210" spans="1:7" x14ac:dyDescent="0.2">
      <c r="A210">
        <v>16.2</v>
      </c>
      <c r="B210">
        <v>1</v>
      </c>
      <c r="C210">
        <v>1</v>
      </c>
      <c r="D210" t="e">
        <f t="shared" si="12"/>
        <v>#N/A</v>
      </c>
      <c r="E210" t="e">
        <f t="shared" si="13"/>
        <v>#N/A</v>
      </c>
      <c r="F210">
        <f t="shared" si="14"/>
        <v>16.2</v>
      </c>
      <c r="G210">
        <f t="shared" si="15"/>
        <v>1</v>
      </c>
    </row>
    <row r="211" spans="1:7" x14ac:dyDescent="0.2">
      <c r="A211">
        <v>75.3</v>
      </c>
      <c r="B211">
        <v>4</v>
      </c>
      <c r="C211">
        <v>0</v>
      </c>
      <c r="D211">
        <f t="shared" si="12"/>
        <v>75.3</v>
      </c>
      <c r="E211">
        <f t="shared" si="13"/>
        <v>4</v>
      </c>
      <c r="F211" t="e">
        <f t="shared" si="14"/>
        <v>#N/A</v>
      </c>
      <c r="G211" t="e">
        <f t="shared" si="15"/>
        <v>#N/A</v>
      </c>
    </row>
    <row r="212" spans="1:7" x14ac:dyDescent="0.2">
      <c r="A212">
        <v>35.4</v>
      </c>
      <c r="B212">
        <v>2</v>
      </c>
      <c r="C212">
        <v>1</v>
      </c>
      <c r="D212" t="e">
        <f t="shared" si="12"/>
        <v>#N/A</v>
      </c>
      <c r="E212" t="e">
        <f t="shared" si="13"/>
        <v>#N/A</v>
      </c>
      <c r="F212">
        <f t="shared" si="14"/>
        <v>35.4</v>
      </c>
      <c r="G212">
        <f t="shared" si="15"/>
        <v>2</v>
      </c>
    </row>
    <row r="213" spans="1:7" x14ac:dyDescent="0.2">
      <c r="A213">
        <v>98.9</v>
      </c>
      <c r="B213">
        <v>2</v>
      </c>
      <c r="C213">
        <v>1</v>
      </c>
      <c r="D213" t="e">
        <f t="shared" si="12"/>
        <v>#N/A</v>
      </c>
      <c r="E213" t="e">
        <f t="shared" si="13"/>
        <v>#N/A</v>
      </c>
      <c r="F213">
        <f t="shared" si="14"/>
        <v>98.9</v>
      </c>
      <c r="G213">
        <f t="shared" si="15"/>
        <v>2</v>
      </c>
    </row>
    <row r="214" spans="1:7" x14ac:dyDescent="0.2">
      <c r="A214">
        <v>51.1</v>
      </c>
      <c r="B214">
        <v>2</v>
      </c>
      <c r="C214">
        <v>1</v>
      </c>
      <c r="D214" t="e">
        <f t="shared" si="12"/>
        <v>#N/A</v>
      </c>
      <c r="E214" t="e">
        <f t="shared" si="13"/>
        <v>#N/A</v>
      </c>
      <c r="F214">
        <f t="shared" si="14"/>
        <v>51.1</v>
      </c>
      <c r="G214">
        <f t="shared" si="15"/>
        <v>2</v>
      </c>
    </row>
    <row r="215" spans="1:7" x14ac:dyDescent="0.2">
      <c r="A215">
        <v>16.600000000000001</v>
      </c>
      <c r="B215">
        <v>4</v>
      </c>
      <c r="C215">
        <v>1</v>
      </c>
      <c r="D215" t="e">
        <f t="shared" si="12"/>
        <v>#N/A</v>
      </c>
      <c r="E215" t="e">
        <f t="shared" si="13"/>
        <v>#N/A</v>
      </c>
      <c r="F215">
        <f t="shared" si="14"/>
        <v>16.600000000000001</v>
      </c>
      <c r="G215">
        <f t="shared" si="15"/>
        <v>4</v>
      </c>
    </row>
    <row r="216" spans="1:7" x14ac:dyDescent="0.2">
      <c r="A216">
        <v>73.900000000000006</v>
      </c>
      <c r="B216">
        <v>1</v>
      </c>
      <c r="C216">
        <v>0</v>
      </c>
      <c r="D216">
        <f t="shared" si="12"/>
        <v>73.900000000000006</v>
      </c>
      <c r="E216">
        <f t="shared" si="13"/>
        <v>1</v>
      </c>
      <c r="F216" t="e">
        <f t="shared" si="14"/>
        <v>#N/A</v>
      </c>
      <c r="G216" t="e">
        <f t="shared" si="15"/>
        <v>#N/A</v>
      </c>
    </row>
    <row r="217" spans="1:7" x14ac:dyDescent="0.2">
      <c r="A217">
        <v>35.700000000000003</v>
      </c>
      <c r="B217">
        <v>4</v>
      </c>
      <c r="C217">
        <v>0</v>
      </c>
      <c r="D217">
        <f t="shared" si="12"/>
        <v>35.700000000000003</v>
      </c>
      <c r="E217">
        <f t="shared" si="13"/>
        <v>4</v>
      </c>
      <c r="F217" t="e">
        <f t="shared" si="14"/>
        <v>#N/A</v>
      </c>
      <c r="G217" t="e">
        <f t="shared" si="15"/>
        <v>#N/A</v>
      </c>
    </row>
    <row r="218" spans="1:7" x14ac:dyDescent="0.2">
      <c r="A218">
        <v>99.7</v>
      </c>
      <c r="B218">
        <v>2</v>
      </c>
      <c r="C218">
        <v>1</v>
      </c>
      <c r="D218" t="e">
        <f t="shared" si="12"/>
        <v>#N/A</v>
      </c>
      <c r="E218" t="e">
        <f t="shared" si="13"/>
        <v>#N/A</v>
      </c>
      <c r="F218">
        <f t="shared" si="14"/>
        <v>99.7</v>
      </c>
      <c r="G218">
        <f t="shared" si="15"/>
        <v>2</v>
      </c>
    </row>
    <row r="219" spans="1:7" x14ac:dyDescent="0.2">
      <c r="A219">
        <v>98.1</v>
      </c>
      <c r="B219">
        <v>5</v>
      </c>
      <c r="C219">
        <v>0</v>
      </c>
      <c r="D219">
        <f t="shared" si="12"/>
        <v>98.1</v>
      </c>
      <c r="E219">
        <f t="shared" si="13"/>
        <v>5</v>
      </c>
      <c r="F219" t="e">
        <f t="shared" si="14"/>
        <v>#N/A</v>
      </c>
      <c r="G219" t="e">
        <f t="shared" si="15"/>
        <v>#N/A</v>
      </c>
    </row>
    <row r="220" spans="1:7" x14ac:dyDescent="0.2">
      <c r="A220">
        <v>67.3</v>
      </c>
      <c r="B220">
        <v>3</v>
      </c>
      <c r="C220">
        <v>1</v>
      </c>
      <c r="D220" t="e">
        <f t="shared" si="12"/>
        <v>#N/A</v>
      </c>
      <c r="E220" t="e">
        <f t="shared" si="13"/>
        <v>#N/A</v>
      </c>
      <c r="F220">
        <f t="shared" si="14"/>
        <v>67.3</v>
      </c>
      <c r="G220">
        <f t="shared" si="15"/>
        <v>3</v>
      </c>
    </row>
    <row r="221" spans="1:7" x14ac:dyDescent="0.2">
      <c r="A221">
        <v>17.3</v>
      </c>
      <c r="B221">
        <v>8</v>
      </c>
      <c r="C221">
        <v>0</v>
      </c>
      <c r="D221">
        <f t="shared" si="12"/>
        <v>17.3</v>
      </c>
      <c r="E221">
        <f t="shared" si="13"/>
        <v>8</v>
      </c>
      <c r="F221" t="e">
        <f t="shared" si="14"/>
        <v>#N/A</v>
      </c>
      <c r="G221" t="e">
        <f t="shared" si="15"/>
        <v>#N/A</v>
      </c>
    </row>
    <row r="222" spans="1:7" x14ac:dyDescent="0.2">
      <c r="A222">
        <v>70.3</v>
      </c>
      <c r="B222">
        <v>4</v>
      </c>
      <c r="C222">
        <v>0</v>
      </c>
      <c r="D222">
        <f t="shared" si="12"/>
        <v>70.3</v>
      </c>
      <c r="E222">
        <f t="shared" si="13"/>
        <v>4</v>
      </c>
      <c r="F222" t="e">
        <f t="shared" si="14"/>
        <v>#N/A</v>
      </c>
      <c r="G222" t="e">
        <f t="shared" si="15"/>
        <v>#N/A</v>
      </c>
    </row>
    <row r="223" spans="1:7" x14ac:dyDescent="0.2">
      <c r="A223">
        <v>13.8</v>
      </c>
      <c r="B223">
        <v>1</v>
      </c>
      <c r="C223">
        <v>1</v>
      </c>
      <c r="D223" t="e">
        <f t="shared" si="12"/>
        <v>#N/A</v>
      </c>
      <c r="E223" t="e">
        <f t="shared" si="13"/>
        <v>#N/A</v>
      </c>
      <c r="F223">
        <f t="shared" si="14"/>
        <v>13.8</v>
      </c>
      <c r="G223">
        <f t="shared" si="15"/>
        <v>1</v>
      </c>
    </row>
    <row r="224" spans="1:7" x14ac:dyDescent="0.2">
      <c r="A224">
        <v>7.8</v>
      </c>
      <c r="B224">
        <v>1</v>
      </c>
      <c r="C224">
        <v>1</v>
      </c>
      <c r="D224" t="e">
        <f t="shared" si="12"/>
        <v>#N/A</v>
      </c>
      <c r="E224" t="e">
        <f t="shared" si="13"/>
        <v>#N/A</v>
      </c>
      <c r="F224">
        <f t="shared" si="14"/>
        <v>7.8</v>
      </c>
      <c r="G224">
        <f t="shared" si="15"/>
        <v>1</v>
      </c>
    </row>
    <row r="225" spans="1:7" x14ac:dyDescent="0.2">
      <c r="A225">
        <v>83.2</v>
      </c>
      <c r="B225">
        <v>10</v>
      </c>
      <c r="C225">
        <v>1</v>
      </c>
      <c r="D225" t="e">
        <f t="shared" si="12"/>
        <v>#N/A</v>
      </c>
      <c r="E225" t="e">
        <f t="shared" si="13"/>
        <v>#N/A</v>
      </c>
      <c r="F225">
        <f t="shared" si="14"/>
        <v>83.2</v>
      </c>
      <c r="G225">
        <f t="shared" si="15"/>
        <v>10</v>
      </c>
    </row>
    <row r="226" spans="1:7" x14ac:dyDescent="0.2">
      <c r="A226">
        <v>24.9</v>
      </c>
      <c r="B226">
        <v>3</v>
      </c>
      <c r="C226">
        <v>0</v>
      </c>
      <c r="D226">
        <f t="shared" si="12"/>
        <v>24.9</v>
      </c>
      <c r="E226">
        <f t="shared" si="13"/>
        <v>3</v>
      </c>
      <c r="F226" t="e">
        <f t="shared" si="14"/>
        <v>#N/A</v>
      </c>
      <c r="G226" t="e">
        <f t="shared" si="15"/>
        <v>#N/A</v>
      </c>
    </row>
    <row r="227" spans="1:7" x14ac:dyDescent="0.2">
      <c r="A227">
        <v>41</v>
      </c>
      <c r="B227">
        <v>9</v>
      </c>
      <c r="C227">
        <v>0</v>
      </c>
      <c r="D227">
        <f t="shared" si="12"/>
        <v>41</v>
      </c>
      <c r="E227">
        <f t="shared" si="13"/>
        <v>9</v>
      </c>
      <c r="F227" t="e">
        <f t="shared" si="14"/>
        <v>#N/A</v>
      </c>
      <c r="G227" t="e">
        <f t="shared" si="15"/>
        <v>#N/A</v>
      </c>
    </row>
    <row r="228" spans="1:7" x14ac:dyDescent="0.2">
      <c r="A228">
        <v>97.5</v>
      </c>
      <c r="B228">
        <v>7</v>
      </c>
      <c r="C228">
        <v>1</v>
      </c>
      <c r="D228" t="e">
        <f t="shared" si="12"/>
        <v>#N/A</v>
      </c>
      <c r="E228" t="e">
        <f t="shared" si="13"/>
        <v>#N/A</v>
      </c>
      <c r="F228">
        <f t="shared" si="14"/>
        <v>97.5</v>
      </c>
      <c r="G228">
        <f t="shared" si="15"/>
        <v>7</v>
      </c>
    </row>
    <row r="229" spans="1:7" x14ac:dyDescent="0.2">
      <c r="A229">
        <v>37</v>
      </c>
      <c r="B229">
        <v>2</v>
      </c>
      <c r="C229">
        <v>0</v>
      </c>
      <c r="D229">
        <f t="shared" si="12"/>
        <v>37</v>
      </c>
      <c r="E229">
        <f t="shared" si="13"/>
        <v>2</v>
      </c>
      <c r="F229" t="e">
        <f t="shared" si="14"/>
        <v>#N/A</v>
      </c>
      <c r="G229" t="e">
        <f t="shared" si="15"/>
        <v>#N/A</v>
      </c>
    </row>
    <row r="230" spans="1:7" x14ac:dyDescent="0.2">
      <c r="A230">
        <v>33.200000000000003</v>
      </c>
      <c r="B230">
        <v>9</v>
      </c>
      <c r="C230">
        <v>1</v>
      </c>
      <c r="D230" t="e">
        <f t="shared" si="12"/>
        <v>#N/A</v>
      </c>
      <c r="E230" t="e">
        <f t="shared" si="13"/>
        <v>#N/A</v>
      </c>
      <c r="F230">
        <f t="shared" si="14"/>
        <v>33.200000000000003</v>
      </c>
      <c r="G230">
        <f t="shared" si="15"/>
        <v>9</v>
      </c>
    </row>
    <row r="231" spans="1:7" x14ac:dyDescent="0.2">
      <c r="A231">
        <v>92.2</v>
      </c>
      <c r="B231">
        <v>10</v>
      </c>
      <c r="C231">
        <v>1</v>
      </c>
      <c r="D231" t="e">
        <f t="shared" si="12"/>
        <v>#N/A</v>
      </c>
      <c r="E231" t="e">
        <f t="shared" si="13"/>
        <v>#N/A</v>
      </c>
      <c r="F231">
        <f t="shared" si="14"/>
        <v>92.2</v>
      </c>
      <c r="G231">
        <f t="shared" si="15"/>
        <v>10</v>
      </c>
    </row>
    <row r="232" spans="1:7" x14ac:dyDescent="0.2">
      <c r="A232">
        <v>15.5</v>
      </c>
      <c r="B232">
        <v>2</v>
      </c>
      <c r="C232">
        <v>0</v>
      </c>
      <c r="D232">
        <f t="shared" si="12"/>
        <v>15.5</v>
      </c>
      <c r="E232">
        <f t="shared" si="13"/>
        <v>2</v>
      </c>
      <c r="F232" t="e">
        <f t="shared" si="14"/>
        <v>#N/A</v>
      </c>
      <c r="G232" t="e">
        <f t="shared" si="15"/>
        <v>#N/A</v>
      </c>
    </row>
    <row r="233" spans="1:7" x14ac:dyDescent="0.2">
      <c r="A233">
        <v>77.2</v>
      </c>
      <c r="B233">
        <v>3</v>
      </c>
      <c r="C233">
        <v>0</v>
      </c>
      <c r="D233">
        <f t="shared" si="12"/>
        <v>77.2</v>
      </c>
      <c r="E233">
        <f t="shared" si="13"/>
        <v>3</v>
      </c>
      <c r="F233" t="e">
        <f t="shared" si="14"/>
        <v>#N/A</v>
      </c>
      <c r="G233" t="e">
        <f t="shared" si="15"/>
        <v>#N/A</v>
      </c>
    </row>
    <row r="234" spans="1:7" x14ac:dyDescent="0.2">
      <c r="A234">
        <v>98.9</v>
      </c>
      <c r="B234">
        <v>10</v>
      </c>
      <c r="C234">
        <v>0</v>
      </c>
      <c r="D234">
        <f t="shared" si="12"/>
        <v>98.9</v>
      </c>
      <c r="E234">
        <f t="shared" si="13"/>
        <v>10</v>
      </c>
      <c r="F234" t="e">
        <f t="shared" si="14"/>
        <v>#N/A</v>
      </c>
      <c r="G234" t="e">
        <f t="shared" si="15"/>
        <v>#N/A</v>
      </c>
    </row>
    <row r="235" spans="1:7" x14ac:dyDescent="0.2">
      <c r="A235">
        <v>90.6</v>
      </c>
      <c r="B235">
        <v>2</v>
      </c>
      <c r="C235">
        <v>1</v>
      </c>
      <c r="D235" t="e">
        <f t="shared" si="12"/>
        <v>#N/A</v>
      </c>
      <c r="E235" t="e">
        <f t="shared" si="13"/>
        <v>#N/A</v>
      </c>
      <c r="F235">
        <f t="shared" si="14"/>
        <v>90.6</v>
      </c>
      <c r="G235">
        <f t="shared" si="15"/>
        <v>2</v>
      </c>
    </row>
    <row r="236" spans="1:7" x14ac:dyDescent="0.2">
      <c r="A236">
        <v>66.900000000000006</v>
      </c>
      <c r="B236">
        <v>3</v>
      </c>
      <c r="C236">
        <v>1</v>
      </c>
      <c r="D236" t="e">
        <f t="shared" si="12"/>
        <v>#N/A</v>
      </c>
      <c r="E236" t="e">
        <f t="shared" si="13"/>
        <v>#N/A</v>
      </c>
      <c r="F236">
        <f t="shared" si="14"/>
        <v>66.900000000000006</v>
      </c>
      <c r="G236">
        <f t="shared" si="15"/>
        <v>3</v>
      </c>
    </row>
    <row r="237" spans="1:7" x14ac:dyDescent="0.2">
      <c r="A237">
        <v>34.799999999999997</v>
      </c>
      <c r="B237">
        <v>6</v>
      </c>
      <c r="C237">
        <v>0</v>
      </c>
      <c r="D237">
        <f t="shared" si="12"/>
        <v>34.799999999999997</v>
      </c>
      <c r="E237">
        <f t="shared" si="13"/>
        <v>6</v>
      </c>
      <c r="F237" t="e">
        <f t="shared" si="14"/>
        <v>#N/A</v>
      </c>
      <c r="G237" t="e">
        <f t="shared" si="15"/>
        <v>#N/A</v>
      </c>
    </row>
    <row r="238" spans="1:7" x14ac:dyDescent="0.2">
      <c r="A238">
        <v>29.2</v>
      </c>
      <c r="B238">
        <v>9</v>
      </c>
      <c r="C238">
        <v>0</v>
      </c>
      <c r="D238">
        <f t="shared" si="12"/>
        <v>29.2</v>
      </c>
      <c r="E238">
        <f t="shared" si="13"/>
        <v>9</v>
      </c>
      <c r="F238" t="e">
        <f t="shared" si="14"/>
        <v>#N/A</v>
      </c>
      <c r="G238" t="e">
        <f t="shared" si="15"/>
        <v>#N/A</v>
      </c>
    </row>
    <row r="239" spans="1:7" x14ac:dyDescent="0.2">
      <c r="A239">
        <v>82.8</v>
      </c>
      <c r="B239">
        <v>9</v>
      </c>
      <c r="C239">
        <v>0</v>
      </c>
      <c r="D239">
        <f t="shared" si="12"/>
        <v>82.8</v>
      </c>
      <c r="E239">
        <f t="shared" si="13"/>
        <v>9</v>
      </c>
      <c r="F239" t="e">
        <f t="shared" si="14"/>
        <v>#N/A</v>
      </c>
      <c r="G239" t="e">
        <f t="shared" si="15"/>
        <v>#N/A</v>
      </c>
    </row>
    <row r="240" spans="1:7" x14ac:dyDescent="0.2">
      <c r="A240">
        <v>88.6</v>
      </c>
      <c r="B240">
        <v>7</v>
      </c>
      <c r="C240">
        <v>1</v>
      </c>
      <c r="D240" t="e">
        <f t="shared" si="12"/>
        <v>#N/A</v>
      </c>
      <c r="E240" t="e">
        <f t="shared" si="13"/>
        <v>#N/A</v>
      </c>
      <c r="F240">
        <f t="shared" si="14"/>
        <v>88.6</v>
      </c>
      <c r="G240">
        <f t="shared" si="15"/>
        <v>7</v>
      </c>
    </row>
    <row r="241" spans="1:7" x14ac:dyDescent="0.2">
      <c r="A241">
        <v>54.9</v>
      </c>
      <c r="B241">
        <v>3</v>
      </c>
      <c r="C241">
        <v>0</v>
      </c>
      <c r="D241">
        <f t="shared" si="12"/>
        <v>54.9</v>
      </c>
      <c r="E241">
        <f t="shared" si="13"/>
        <v>3</v>
      </c>
      <c r="F241" t="e">
        <f t="shared" si="14"/>
        <v>#N/A</v>
      </c>
      <c r="G241" t="e">
        <f t="shared" si="15"/>
        <v>#N/A</v>
      </c>
    </row>
    <row r="242" spans="1:7" x14ac:dyDescent="0.2">
      <c r="A242">
        <v>28.2</v>
      </c>
      <c r="B242">
        <v>4</v>
      </c>
      <c r="C242">
        <v>1</v>
      </c>
      <c r="D242" t="e">
        <f t="shared" si="12"/>
        <v>#N/A</v>
      </c>
      <c r="E242" t="e">
        <f t="shared" si="13"/>
        <v>#N/A</v>
      </c>
      <c r="F242">
        <f t="shared" si="14"/>
        <v>28.2</v>
      </c>
      <c r="G242">
        <f t="shared" si="15"/>
        <v>4</v>
      </c>
    </row>
    <row r="243" spans="1:7" x14ac:dyDescent="0.2">
      <c r="A243">
        <v>15.7</v>
      </c>
      <c r="B243">
        <v>6</v>
      </c>
      <c r="C243">
        <v>1</v>
      </c>
      <c r="D243" t="e">
        <f t="shared" si="12"/>
        <v>#N/A</v>
      </c>
      <c r="E243" t="e">
        <f t="shared" si="13"/>
        <v>#N/A</v>
      </c>
      <c r="F243">
        <f t="shared" si="14"/>
        <v>15.7</v>
      </c>
      <c r="G243">
        <f t="shared" si="15"/>
        <v>6</v>
      </c>
    </row>
    <row r="244" spans="1:7" x14ac:dyDescent="0.2">
      <c r="A244">
        <v>13.3</v>
      </c>
      <c r="B244">
        <v>5</v>
      </c>
      <c r="C244">
        <v>0</v>
      </c>
      <c r="D244">
        <f t="shared" si="12"/>
        <v>13.3</v>
      </c>
      <c r="E244">
        <f t="shared" si="13"/>
        <v>5</v>
      </c>
      <c r="F244" t="e">
        <f t="shared" si="14"/>
        <v>#N/A</v>
      </c>
      <c r="G244" t="e">
        <f t="shared" si="15"/>
        <v>#N/A</v>
      </c>
    </row>
    <row r="245" spans="1:7" x14ac:dyDescent="0.2">
      <c r="A245">
        <v>73.3</v>
      </c>
      <c r="B245">
        <v>2</v>
      </c>
      <c r="C245">
        <v>1</v>
      </c>
      <c r="D245" t="e">
        <f t="shared" si="12"/>
        <v>#N/A</v>
      </c>
      <c r="E245" t="e">
        <f t="shared" si="13"/>
        <v>#N/A</v>
      </c>
      <c r="F245">
        <f t="shared" si="14"/>
        <v>73.3</v>
      </c>
      <c r="G245">
        <f t="shared" si="15"/>
        <v>2</v>
      </c>
    </row>
    <row r="246" spans="1:7" x14ac:dyDescent="0.2">
      <c r="A246">
        <v>44.9</v>
      </c>
      <c r="B246">
        <v>6</v>
      </c>
      <c r="C246">
        <v>0</v>
      </c>
      <c r="D246">
        <f t="shared" si="12"/>
        <v>44.9</v>
      </c>
      <c r="E246">
        <f t="shared" si="13"/>
        <v>6</v>
      </c>
      <c r="F246" t="e">
        <f t="shared" si="14"/>
        <v>#N/A</v>
      </c>
      <c r="G246" t="e">
        <f t="shared" si="15"/>
        <v>#N/A</v>
      </c>
    </row>
    <row r="247" spans="1:7" x14ac:dyDescent="0.2">
      <c r="A247">
        <v>91</v>
      </c>
      <c r="B247">
        <v>3</v>
      </c>
      <c r="C247">
        <v>1</v>
      </c>
      <c r="D247" t="e">
        <f t="shared" si="12"/>
        <v>#N/A</v>
      </c>
      <c r="E247" t="e">
        <f t="shared" si="13"/>
        <v>#N/A</v>
      </c>
      <c r="F247">
        <f t="shared" si="14"/>
        <v>91</v>
      </c>
      <c r="G247">
        <f t="shared" si="15"/>
        <v>3</v>
      </c>
    </row>
    <row r="248" spans="1:7" x14ac:dyDescent="0.2">
      <c r="A248">
        <v>75.3</v>
      </c>
      <c r="B248">
        <v>8</v>
      </c>
      <c r="C248">
        <v>1</v>
      </c>
      <c r="D248" t="e">
        <f t="shared" si="12"/>
        <v>#N/A</v>
      </c>
      <c r="E248" t="e">
        <f t="shared" si="13"/>
        <v>#N/A</v>
      </c>
      <c r="F248">
        <f t="shared" si="14"/>
        <v>75.3</v>
      </c>
      <c r="G248">
        <f t="shared" si="15"/>
        <v>8</v>
      </c>
    </row>
    <row r="249" spans="1:7" x14ac:dyDescent="0.2">
      <c r="A249">
        <v>23.2</v>
      </c>
      <c r="B249">
        <v>2</v>
      </c>
      <c r="C249">
        <v>1</v>
      </c>
      <c r="D249" t="e">
        <f t="shared" si="12"/>
        <v>#N/A</v>
      </c>
      <c r="E249" t="e">
        <f t="shared" si="13"/>
        <v>#N/A</v>
      </c>
      <c r="F249">
        <f t="shared" si="14"/>
        <v>23.2</v>
      </c>
      <c r="G249">
        <f t="shared" si="15"/>
        <v>2</v>
      </c>
    </row>
    <row r="250" spans="1:7" x14ac:dyDescent="0.2">
      <c r="A250">
        <v>63.3</v>
      </c>
      <c r="B250">
        <v>1</v>
      </c>
      <c r="C250">
        <v>1</v>
      </c>
      <c r="D250" t="e">
        <f t="shared" si="12"/>
        <v>#N/A</v>
      </c>
      <c r="E250" t="e">
        <f t="shared" si="13"/>
        <v>#N/A</v>
      </c>
      <c r="F250">
        <f t="shared" si="14"/>
        <v>63.3</v>
      </c>
      <c r="G250">
        <f t="shared" si="15"/>
        <v>1</v>
      </c>
    </row>
    <row r="251" spans="1:7" x14ac:dyDescent="0.2">
      <c r="A251">
        <v>46.4</v>
      </c>
      <c r="B251">
        <v>9</v>
      </c>
      <c r="C251">
        <v>0</v>
      </c>
      <c r="D251">
        <f t="shared" si="12"/>
        <v>46.4</v>
      </c>
      <c r="E251">
        <f t="shared" si="13"/>
        <v>9</v>
      </c>
      <c r="F251" t="e">
        <f t="shared" si="14"/>
        <v>#N/A</v>
      </c>
      <c r="G251" t="e">
        <f t="shared" si="15"/>
        <v>#N/A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E072-DF47-F54E-B2B8-074D32BEF7AB}">
  <dimension ref="A1:G251"/>
  <sheetViews>
    <sheetView topLeftCell="F1" zoomScale="156" workbookViewId="0">
      <selection sqref="A1:B133"/>
    </sheetView>
  </sheetViews>
  <sheetFormatPr baseColWidth="10" defaultRowHeight="15" x14ac:dyDescent="0.2"/>
  <sheetData>
    <row r="1" spans="1:7" x14ac:dyDescent="0.2">
      <c r="A1" t="s">
        <v>9</v>
      </c>
      <c r="B1" t="s">
        <v>11</v>
      </c>
      <c r="C1" t="s">
        <v>13</v>
      </c>
      <c r="D1" t="s">
        <v>26</v>
      </c>
      <c r="E1" t="s">
        <v>28</v>
      </c>
      <c r="F1" t="s">
        <v>27</v>
      </c>
      <c r="G1" t="s">
        <v>13</v>
      </c>
    </row>
    <row r="2" spans="1:7" x14ac:dyDescent="0.2">
      <c r="A2">
        <v>2</v>
      </c>
      <c r="B2">
        <v>6</v>
      </c>
      <c r="C2">
        <v>1</v>
      </c>
      <c r="D2" t="e">
        <f xml:space="preserve"> IF($C2=0, $A2, NA())</f>
        <v>#N/A</v>
      </c>
      <c r="E2" t="e">
        <f xml:space="preserve"> IF($C2=0, B2, NA())</f>
        <v>#N/A</v>
      </c>
      <c r="F2">
        <f xml:space="preserve"> IF($C2=1, A2, NA())</f>
        <v>2</v>
      </c>
      <c r="G2">
        <f xml:space="preserve"> IF($C2=1, $B2, NA())</f>
        <v>6</v>
      </c>
    </row>
    <row r="3" spans="1:7" x14ac:dyDescent="0.2">
      <c r="A3">
        <v>1</v>
      </c>
      <c r="B3">
        <v>1</v>
      </c>
      <c r="C3">
        <v>1</v>
      </c>
      <c r="D3" t="e">
        <f t="shared" ref="D3:D66" si="0" xml:space="preserve"> IF($C3=0, $A3, NA())</f>
        <v>#N/A</v>
      </c>
      <c r="E3" t="e">
        <f t="shared" ref="E3:E66" si="1" xml:space="preserve"> IF($C3=0, B3, NA())</f>
        <v>#N/A</v>
      </c>
      <c r="F3">
        <f t="shared" ref="F3:F66" si="2" xml:space="preserve"> IF($C3=1, A3, NA())</f>
        <v>1</v>
      </c>
      <c r="G3">
        <f t="shared" ref="G3:G66" si="3" xml:space="preserve"> IF($C3=1, $B3, NA())</f>
        <v>1</v>
      </c>
    </row>
    <row r="4" spans="1:7" x14ac:dyDescent="0.2">
      <c r="A4">
        <v>1</v>
      </c>
      <c r="B4">
        <v>5</v>
      </c>
      <c r="C4">
        <v>0</v>
      </c>
      <c r="D4">
        <f t="shared" si="0"/>
        <v>1</v>
      </c>
      <c r="E4">
        <f t="shared" si="1"/>
        <v>5</v>
      </c>
      <c r="F4" t="e">
        <f t="shared" si="2"/>
        <v>#N/A</v>
      </c>
      <c r="G4" t="e">
        <f t="shared" si="3"/>
        <v>#N/A</v>
      </c>
    </row>
    <row r="5" spans="1:7" x14ac:dyDescent="0.2">
      <c r="A5">
        <v>1</v>
      </c>
      <c r="B5">
        <v>3</v>
      </c>
      <c r="C5">
        <v>1</v>
      </c>
      <c r="D5" t="e">
        <f t="shared" si="0"/>
        <v>#N/A</v>
      </c>
      <c r="E5" t="e">
        <f t="shared" si="1"/>
        <v>#N/A</v>
      </c>
      <c r="F5">
        <f t="shared" si="2"/>
        <v>1</v>
      </c>
      <c r="G5">
        <f t="shared" si="3"/>
        <v>3</v>
      </c>
    </row>
    <row r="6" spans="1:7" x14ac:dyDescent="0.2">
      <c r="A6">
        <v>3</v>
      </c>
      <c r="B6">
        <v>1</v>
      </c>
      <c r="C6">
        <v>1</v>
      </c>
      <c r="D6" t="e">
        <f t="shared" si="0"/>
        <v>#N/A</v>
      </c>
      <c r="E6" t="e">
        <f t="shared" si="1"/>
        <v>#N/A</v>
      </c>
      <c r="F6">
        <f t="shared" si="2"/>
        <v>3</v>
      </c>
      <c r="G6">
        <f t="shared" si="3"/>
        <v>1</v>
      </c>
    </row>
    <row r="7" spans="1:7" x14ac:dyDescent="0.2">
      <c r="A7">
        <v>2</v>
      </c>
      <c r="B7">
        <v>4</v>
      </c>
      <c r="C7">
        <v>1</v>
      </c>
      <c r="D7" t="e">
        <f t="shared" si="0"/>
        <v>#N/A</v>
      </c>
      <c r="E7" t="e">
        <f t="shared" si="1"/>
        <v>#N/A</v>
      </c>
      <c r="F7">
        <f t="shared" si="2"/>
        <v>2</v>
      </c>
      <c r="G7">
        <f t="shared" si="3"/>
        <v>4</v>
      </c>
    </row>
    <row r="8" spans="1:7" x14ac:dyDescent="0.2">
      <c r="A8">
        <v>2</v>
      </c>
      <c r="B8">
        <v>2</v>
      </c>
      <c r="C8">
        <v>1</v>
      </c>
      <c r="D8" t="e">
        <f t="shared" si="0"/>
        <v>#N/A</v>
      </c>
      <c r="E8" t="e">
        <f t="shared" si="1"/>
        <v>#N/A</v>
      </c>
      <c r="F8">
        <f t="shared" si="2"/>
        <v>2</v>
      </c>
      <c r="G8">
        <f t="shared" si="3"/>
        <v>2</v>
      </c>
    </row>
    <row r="9" spans="1:7" x14ac:dyDescent="0.2">
      <c r="A9">
        <v>3</v>
      </c>
      <c r="B9">
        <v>2</v>
      </c>
      <c r="C9">
        <v>0</v>
      </c>
      <c r="D9">
        <f t="shared" si="0"/>
        <v>3</v>
      </c>
      <c r="E9">
        <f t="shared" si="1"/>
        <v>2</v>
      </c>
      <c r="F9" t="e">
        <f t="shared" si="2"/>
        <v>#N/A</v>
      </c>
      <c r="G9" t="e">
        <f t="shared" si="3"/>
        <v>#N/A</v>
      </c>
    </row>
    <row r="10" spans="1:7" x14ac:dyDescent="0.2">
      <c r="A10">
        <v>0</v>
      </c>
      <c r="B10">
        <v>3</v>
      </c>
      <c r="C10">
        <v>1</v>
      </c>
      <c r="D10" t="e">
        <f t="shared" si="0"/>
        <v>#N/A</v>
      </c>
      <c r="E10" t="e">
        <f t="shared" si="1"/>
        <v>#N/A</v>
      </c>
      <c r="F10">
        <f t="shared" si="2"/>
        <v>0</v>
      </c>
      <c r="G10">
        <f t="shared" si="3"/>
        <v>3</v>
      </c>
    </row>
    <row r="11" spans="1:7" x14ac:dyDescent="0.2">
      <c r="A11">
        <v>5</v>
      </c>
      <c r="B11">
        <v>8</v>
      </c>
      <c r="C11">
        <v>0</v>
      </c>
      <c r="D11">
        <f t="shared" si="0"/>
        <v>5</v>
      </c>
      <c r="E11">
        <f t="shared" si="1"/>
        <v>8</v>
      </c>
      <c r="F11" t="e">
        <f t="shared" si="2"/>
        <v>#N/A</v>
      </c>
      <c r="G11" t="e">
        <f t="shared" si="3"/>
        <v>#N/A</v>
      </c>
    </row>
    <row r="12" spans="1:7" x14ac:dyDescent="0.2">
      <c r="A12">
        <v>1</v>
      </c>
      <c r="B12">
        <v>8</v>
      </c>
      <c r="C12">
        <v>0</v>
      </c>
      <c r="D12">
        <f t="shared" si="0"/>
        <v>1</v>
      </c>
      <c r="E12">
        <f t="shared" si="1"/>
        <v>8</v>
      </c>
      <c r="F12" t="e">
        <f t="shared" si="2"/>
        <v>#N/A</v>
      </c>
      <c r="G12" t="e">
        <f t="shared" si="3"/>
        <v>#N/A</v>
      </c>
    </row>
    <row r="13" spans="1:7" x14ac:dyDescent="0.2">
      <c r="A13">
        <v>3</v>
      </c>
      <c r="B13">
        <v>7</v>
      </c>
      <c r="C13">
        <v>0</v>
      </c>
      <c r="D13">
        <f t="shared" si="0"/>
        <v>3</v>
      </c>
      <c r="E13">
        <f t="shared" si="1"/>
        <v>7</v>
      </c>
      <c r="F13" t="e">
        <f t="shared" si="2"/>
        <v>#N/A</v>
      </c>
      <c r="G13" t="e">
        <f t="shared" si="3"/>
        <v>#N/A</v>
      </c>
    </row>
    <row r="14" spans="1:7" x14ac:dyDescent="0.2">
      <c r="A14">
        <v>0</v>
      </c>
      <c r="B14">
        <v>6</v>
      </c>
      <c r="C14">
        <v>0</v>
      </c>
      <c r="D14">
        <f t="shared" si="0"/>
        <v>0</v>
      </c>
      <c r="E14">
        <f t="shared" si="1"/>
        <v>6</v>
      </c>
      <c r="F14" t="e">
        <f t="shared" si="2"/>
        <v>#N/A</v>
      </c>
      <c r="G14" t="e">
        <f t="shared" si="3"/>
        <v>#N/A</v>
      </c>
    </row>
    <row r="15" spans="1:7" x14ac:dyDescent="0.2">
      <c r="A15">
        <v>1</v>
      </c>
      <c r="B15">
        <v>9</v>
      </c>
      <c r="C15">
        <v>1</v>
      </c>
      <c r="D15" t="e">
        <f t="shared" si="0"/>
        <v>#N/A</v>
      </c>
      <c r="E15" t="e">
        <f t="shared" si="1"/>
        <v>#N/A</v>
      </c>
      <c r="F15">
        <f t="shared" si="2"/>
        <v>1</v>
      </c>
      <c r="G15">
        <f t="shared" si="3"/>
        <v>9</v>
      </c>
    </row>
    <row r="16" spans="1:7" x14ac:dyDescent="0.2">
      <c r="A16">
        <v>1</v>
      </c>
      <c r="B16">
        <v>4</v>
      </c>
      <c r="C16">
        <v>0</v>
      </c>
      <c r="D16">
        <f t="shared" si="0"/>
        <v>1</v>
      </c>
      <c r="E16">
        <f t="shared" si="1"/>
        <v>4</v>
      </c>
      <c r="F16" t="e">
        <f t="shared" si="2"/>
        <v>#N/A</v>
      </c>
      <c r="G16" t="e">
        <f t="shared" si="3"/>
        <v>#N/A</v>
      </c>
    </row>
    <row r="17" spans="1:7" x14ac:dyDescent="0.2">
      <c r="A17">
        <v>3</v>
      </c>
      <c r="B17">
        <v>1</v>
      </c>
      <c r="C17">
        <v>1</v>
      </c>
      <c r="D17" t="e">
        <f t="shared" si="0"/>
        <v>#N/A</v>
      </c>
      <c r="E17" t="e">
        <f t="shared" si="1"/>
        <v>#N/A</v>
      </c>
      <c r="F17">
        <f t="shared" si="2"/>
        <v>3</v>
      </c>
      <c r="G17">
        <f t="shared" si="3"/>
        <v>1</v>
      </c>
    </row>
    <row r="18" spans="1:7" x14ac:dyDescent="0.2">
      <c r="A18">
        <v>3</v>
      </c>
      <c r="B18">
        <v>8</v>
      </c>
      <c r="C18">
        <v>0</v>
      </c>
      <c r="D18">
        <f t="shared" si="0"/>
        <v>3</v>
      </c>
      <c r="E18">
        <f t="shared" si="1"/>
        <v>8</v>
      </c>
      <c r="F18" t="e">
        <f t="shared" si="2"/>
        <v>#N/A</v>
      </c>
      <c r="G18" t="e">
        <f t="shared" si="3"/>
        <v>#N/A</v>
      </c>
    </row>
    <row r="19" spans="1:7" x14ac:dyDescent="0.2">
      <c r="A19">
        <v>2</v>
      </c>
      <c r="B19">
        <v>7</v>
      </c>
      <c r="C19">
        <v>0</v>
      </c>
      <c r="D19">
        <f t="shared" si="0"/>
        <v>2</v>
      </c>
      <c r="E19">
        <f t="shared" si="1"/>
        <v>7</v>
      </c>
      <c r="F19" t="e">
        <f t="shared" si="2"/>
        <v>#N/A</v>
      </c>
      <c r="G19" t="e">
        <f t="shared" si="3"/>
        <v>#N/A</v>
      </c>
    </row>
    <row r="20" spans="1:7" x14ac:dyDescent="0.2">
      <c r="A20">
        <v>6</v>
      </c>
      <c r="B20">
        <v>7</v>
      </c>
      <c r="C20">
        <v>1</v>
      </c>
      <c r="D20" t="e">
        <f t="shared" si="0"/>
        <v>#N/A</v>
      </c>
      <c r="E20" t="e">
        <f t="shared" si="1"/>
        <v>#N/A</v>
      </c>
      <c r="F20">
        <f t="shared" si="2"/>
        <v>6</v>
      </c>
      <c r="G20">
        <f t="shared" si="3"/>
        <v>7</v>
      </c>
    </row>
    <row r="21" spans="1:7" x14ac:dyDescent="0.2">
      <c r="A21">
        <v>3</v>
      </c>
      <c r="B21">
        <v>3</v>
      </c>
      <c r="C21">
        <v>1</v>
      </c>
      <c r="D21" t="e">
        <f t="shared" si="0"/>
        <v>#N/A</v>
      </c>
      <c r="E21" t="e">
        <f t="shared" si="1"/>
        <v>#N/A</v>
      </c>
      <c r="F21">
        <f t="shared" si="2"/>
        <v>3</v>
      </c>
      <c r="G21">
        <f t="shared" si="3"/>
        <v>3</v>
      </c>
    </row>
    <row r="22" spans="1:7" x14ac:dyDescent="0.2">
      <c r="A22">
        <v>4</v>
      </c>
      <c r="B22">
        <v>4</v>
      </c>
      <c r="C22">
        <v>0</v>
      </c>
      <c r="D22">
        <f t="shared" si="0"/>
        <v>4</v>
      </c>
      <c r="E22">
        <f t="shared" si="1"/>
        <v>4</v>
      </c>
      <c r="F22" t="e">
        <f t="shared" si="2"/>
        <v>#N/A</v>
      </c>
      <c r="G22" t="e">
        <f t="shared" si="3"/>
        <v>#N/A</v>
      </c>
    </row>
    <row r="23" spans="1:7" x14ac:dyDescent="0.2">
      <c r="A23">
        <v>1</v>
      </c>
      <c r="B23">
        <v>10</v>
      </c>
      <c r="C23">
        <v>1</v>
      </c>
      <c r="D23" t="e">
        <f t="shared" si="0"/>
        <v>#N/A</v>
      </c>
      <c r="E23" t="e">
        <f t="shared" si="1"/>
        <v>#N/A</v>
      </c>
      <c r="F23">
        <f t="shared" si="2"/>
        <v>1</v>
      </c>
      <c r="G23">
        <f t="shared" si="3"/>
        <v>10</v>
      </c>
    </row>
    <row r="24" spans="1:7" x14ac:dyDescent="0.2">
      <c r="A24">
        <v>0</v>
      </c>
      <c r="B24">
        <v>9</v>
      </c>
      <c r="C24">
        <v>1</v>
      </c>
      <c r="D24" t="e">
        <f t="shared" si="0"/>
        <v>#N/A</v>
      </c>
      <c r="E24" t="e">
        <f t="shared" si="1"/>
        <v>#N/A</v>
      </c>
      <c r="F24">
        <f t="shared" si="2"/>
        <v>0</v>
      </c>
      <c r="G24">
        <f t="shared" si="3"/>
        <v>9</v>
      </c>
    </row>
    <row r="25" spans="1:7" x14ac:dyDescent="0.2">
      <c r="A25">
        <v>1</v>
      </c>
      <c r="B25">
        <v>6</v>
      </c>
      <c r="C25">
        <v>0</v>
      </c>
      <c r="D25">
        <f t="shared" si="0"/>
        <v>1</v>
      </c>
      <c r="E25">
        <f t="shared" si="1"/>
        <v>6</v>
      </c>
      <c r="F25" t="e">
        <f t="shared" si="2"/>
        <v>#N/A</v>
      </c>
      <c r="G25" t="e">
        <f t="shared" si="3"/>
        <v>#N/A</v>
      </c>
    </row>
    <row r="26" spans="1:7" x14ac:dyDescent="0.2">
      <c r="A26">
        <v>1</v>
      </c>
      <c r="B26">
        <v>5</v>
      </c>
      <c r="C26">
        <v>0</v>
      </c>
      <c r="D26">
        <f t="shared" si="0"/>
        <v>1</v>
      </c>
      <c r="E26">
        <f t="shared" si="1"/>
        <v>5</v>
      </c>
      <c r="F26" t="e">
        <f t="shared" si="2"/>
        <v>#N/A</v>
      </c>
      <c r="G26" t="e">
        <f t="shared" si="3"/>
        <v>#N/A</v>
      </c>
    </row>
    <row r="27" spans="1:7" x14ac:dyDescent="0.2">
      <c r="A27">
        <v>4</v>
      </c>
      <c r="B27">
        <v>3</v>
      </c>
      <c r="C27">
        <v>0</v>
      </c>
      <c r="D27">
        <f t="shared" si="0"/>
        <v>4</v>
      </c>
      <c r="E27">
        <f t="shared" si="1"/>
        <v>3</v>
      </c>
      <c r="F27" t="e">
        <f t="shared" si="2"/>
        <v>#N/A</v>
      </c>
      <c r="G27" t="e">
        <f t="shared" si="3"/>
        <v>#N/A</v>
      </c>
    </row>
    <row r="28" spans="1:7" x14ac:dyDescent="0.2">
      <c r="A28">
        <v>1</v>
      </c>
      <c r="B28">
        <v>9</v>
      </c>
      <c r="C28">
        <v>0</v>
      </c>
      <c r="D28">
        <f t="shared" si="0"/>
        <v>1</v>
      </c>
      <c r="E28">
        <f t="shared" si="1"/>
        <v>9</v>
      </c>
      <c r="F28" t="e">
        <f t="shared" si="2"/>
        <v>#N/A</v>
      </c>
      <c r="G28" t="e">
        <f t="shared" si="3"/>
        <v>#N/A</v>
      </c>
    </row>
    <row r="29" spans="1:7" x14ac:dyDescent="0.2">
      <c r="A29">
        <v>2</v>
      </c>
      <c r="B29">
        <v>5</v>
      </c>
      <c r="C29">
        <v>0</v>
      </c>
      <c r="D29">
        <f t="shared" si="0"/>
        <v>2</v>
      </c>
      <c r="E29">
        <f t="shared" si="1"/>
        <v>5</v>
      </c>
      <c r="F29" t="e">
        <f t="shared" si="2"/>
        <v>#N/A</v>
      </c>
      <c r="G29" t="e">
        <f t="shared" si="3"/>
        <v>#N/A</v>
      </c>
    </row>
    <row r="30" spans="1:7" x14ac:dyDescent="0.2">
      <c r="A30">
        <v>1</v>
      </c>
      <c r="B30">
        <v>5</v>
      </c>
      <c r="C30">
        <v>0</v>
      </c>
      <c r="D30">
        <f t="shared" si="0"/>
        <v>1</v>
      </c>
      <c r="E30">
        <f t="shared" si="1"/>
        <v>5</v>
      </c>
      <c r="F30" t="e">
        <f t="shared" si="2"/>
        <v>#N/A</v>
      </c>
      <c r="G30" t="e">
        <f t="shared" si="3"/>
        <v>#N/A</v>
      </c>
    </row>
    <row r="31" spans="1:7" x14ac:dyDescent="0.2">
      <c r="A31">
        <v>1</v>
      </c>
      <c r="B31">
        <v>4</v>
      </c>
      <c r="C31">
        <v>1</v>
      </c>
      <c r="D31" t="e">
        <f t="shared" si="0"/>
        <v>#N/A</v>
      </c>
      <c r="E31" t="e">
        <f t="shared" si="1"/>
        <v>#N/A</v>
      </c>
      <c r="F31">
        <f t="shared" si="2"/>
        <v>1</v>
      </c>
      <c r="G31">
        <f t="shared" si="3"/>
        <v>4</v>
      </c>
    </row>
    <row r="32" spans="1:7" x14ac:dyDescent="0.2">
      <c r="A32">
        <v>2</v>
      </c>
      <c r="B32">
        <v>4</v>
      </c>
      <c r="C32">
        <v>1</v>
      </c>
      <c r="D32" t="e">
        <f t="shared" si="0"/>
        <v>#N/A</v>
      </c>
      <c r="E32" t="e">
        <f t="shared" si="1"/>
        <v>#N/A</v>
      </c>
      <c r="F32">
        <f t="shared" si="2"/>
        <v>2</v>
      </c>
      <c r="G32">
        <f t="shared" si="3"/>
        <v>4</v>
      </c>
    </row>
    <row r="33" spans="1:7" x14ac:dyDescent="0.2">
      <c r="A33">
        <v>2</v>
      </c>
      <c r="B33">
        <v>1</v>
      </c>
      <c r="C33">
        <v>0</v>
      </c>
      <c r="D33">
        <f t="shared" si="0"/>
        <v>2</v>
      </c>
      <c r="E33">
        <f t="shared" si="1"/>
        <v>1</v>
      </c>
      <c r="F33" t="e">
        <f t="shared" si="2"/>
        <v>#N/A</v>
      </c>
      <c r="G33" t="e">
        <f t="shared" si="3"/>
        <v>#N/A</v>
      </c>
    </row>
    <row r="34" spans="1:7" x14ac:dyDescent="0.2">
      <c r="A34">
        <v>4</v>
      </c>
      <c r="B34">
        <v>7</v>
      </c>
      <c r="C34">
        <v>0</v>
      </c>
      <c r="D34">
        <f t="shared" si="0"/>
        <v>4</v>
      </c>
      <c r="E34">
        <f t="shared" si="1"/>
        <v>7</v>
      </c>
      <c r="F34" t="e">
        <f t="shared" si="2"/>
        <v>#N/A</v>
      </c>
      <c r="G34" t="e">
        <f t="shared" si="3"/>
        <v>#N/A</v>
      </c>
    </row>
    <row r="35" spans="1:7" x14ac:dyDescent="0.2">
      <c r="A35">
        <v>5</v>
      </c>
      <c r="B35">
        <v>9</v>
      </c>
      <c r="C35">
        <v>1</v>
      </c>
      <c r="D35" t="e">
        <f t="shared" si="0"/>
        <v>#N/A</v>
      </c>
      <c r="E35" t="e">
        <f t="shared" si="1"/>
        <v>#N/A</v>
      </c>
      <c r="F35">
        <f t="shared" si="2"/>
        <v>5</v>
      </c>
      <c r="G35">
        <f t="shared" si="3"/>
        <v>9</v>
      </c>
    </row>
    <row r="36" spans="1:7" x14ac:dyDescent="0.2">
      <c r="A36">
        <v>0</v>
      </c>
      <c r="B36">
        <v>3</v>
      </c>
      <c r="C36">
        <v>1</v>
      </c>
      <c r="D36" t="e">
        <f t="shared" si="0"/>
        <v>#N/A</v>
      </c>
      <c r="E36" t="e">
        <f t="shared" si="1"/>
        <v>#N/A</v>
      </c>
      <c r="F36">
        <f t="shared" si="2"/>
        <v>0</v>
      </c>
      <c r="G36">
        <f t="shared" si="3"/>
        <v>3</v>
      </c>
    </row>
    <row r="37" spans="1:7" x14ac:dyDescent="0.2">
      <c r="A37">
        <v>1</v>
      </c>
      <c r="B37">
        <v>2</v>
      </c>
      <c r="C37">
        <v>0</v>
      </c>
      <c r="D37">
        <f t="shared" si="0"/>
        <v>1</v>
      </c>
      <c r="E37">
        <f t="shared" si="1"/>
        <v>2</v>
      </c>
      <c r="F37" t="e">
        <f t="shared" si="2"/>
        <v>#N/A</v>
      </c>
      <c r="G37" t="e">
        <f t="shared" si="3"/>
        <v>#N/A</v>
      </c>
    </row>
    <row r="38" spans="1:7" x14ac:dyDescent="0.2">
      <c r="A38">
        <v>1</v>
      </c>
      <c r="B38">
        <v>3</v>
      </c>
      <c r="C38">
        <v>0</v>
      </c>
      <c r="D38">
        <f t="shared" si="0"/>
        <v>1</v>
      </c>
      <c r="E38">
        <f t="shared" si="1"/>
        <v>3</v>
      </c>
      <c r="F38" t="e">
        <f t="shared" si="2"/>
        <v>#N/A</v>
      </c>
      <c r="G38" t="e">
        <f t="shared" si="3"/>
        <v>#N/A</v>
      </c>
    </row>
    <row r="39" spans="1:7" x14ac:dyDescent="0.2">
      <c r="A39">
        <v>3</v>
      </c>
      <c r="B39">
        <v>1</v>
      </c>
      <c r="C39">
        <v>0</v>
      </c>
      <c r="D39">
        <f t="shared" si="0"/>
        <v>3</v>
      </c>
      <c r="E39">
        <f t="shared" si="1"/>
        <v>1</v>
      </c>
      <c r="F39" t="e">
        <f t="shared" si="2"/>
        <v>#N/A</v>
      </c>
      <c r="G39" t="e">
        <f t="shared" si="3"/>
        <v>#N/A</v>
      </c>
    </row>
    <row r="40" spans="1:7" x14ac:dyDescent="0.2">
      <c r="A40">
        <v>2</v>
      </c>
      <c r="B40">
        <v>6</v>
      </c>
      <c r="C40">
        <v>1</v>
      </c>
      <c r="D40" t="e">
        <f t="shared" si="0"/>
        <v>#N/A</v>
      </c>
      <c r="E40" t="e">
        <f t="shared" si="1"/>
        <v>#N/A</v>
      </c>
      <c r="F40">
        <f t="shared" si="2"/>
        <v>2</v>
      </c>
      <c r="G40">
        <f t="shared" si="3"/>
        <v>6</v>
      </c>
    </row>
    <row r="41" spans="1:7" x14ac:dyDescent="0.2">
      <c r="A41">
        <v>2</v>
      </c>
      <c r="B41">
        <v>7</v>
      </c>
      <c r="C41">
        <v>0</v>
      </c>
      <c r="D41">
        <f t="shared" si="0"/>
        <v>2</v>
      </c>
      <c r="E41">
        <f t="shared" si="1"/>
        <v>7</v>
      </c>
      <c r="F41" t="e">
        <f t="shared" si="2"/>
        <v>#N/A</v>
      </c>
      <c r="G41" t="e">
        <f t="shared" si="3"/>
        <v>#N/A</v>
      </c>
    </row>
    <row r="42" spans="1:7" x14ac:dyDescent="0.2">
      <c r="A42">
        <v>3</v>
      </c>
      <c r="B42">
        <v>2</v>
      </c>
      <c r="C42">
        <v>1</v>
      </c>
      <c r="D42" t="e">
        <f t="shared" si="0"/>
        <v>#N/A</v>
      </c>
      <c r="E42" t="e">
        <f t="shared" si="1"/>
        <v>#N/A</v>
      </c>
      <c r="F42">
        <f t="shared" si="2"/>
        <v>3</v>
      </c>
      <c r="G42">
        <f t="shared" si="3"/>
        <v>2</v>
      </c>
    </row>
    <row r="43" spans="1:7" x14ac:dyDescent="0.2">
      <c r="A43">
        <v>0</v>
      </c>
      <c r="B43">
        <v>8</v>
      </c>
      <c r="C43">
        <v>1</v>
      </c>
      <c r="D43" t="e">
        <f t="shared" si="0"/>
        <v>#N/A</v>
      </c>
      <c r="E43" t="e">
        <f t="shared" si="1"/>
        <v>#N/A</v>
      </c>
      <c r="F43">
        <f t="shared" si="2"/>
        <v>0</v>
      </c>
      <c r="G43">
        <f t="shared" si="3"/>
        <v>8</v>
      </c>
    </row>
    <row r="44" spans="1:7" x14ac:dyDescent="0.2">
      <c r="A44">
        <v>2</v>
      </c>
      <c r="B44">
        <v>6</v>
      </c>
      <c r="C44">
        <v>1</v>
      </c>
      <c r="D44" t="e">
        <f t="shared" si="0"/>
        <v>#N/A</v>
      </c>
      <c r="E44" t="e">
        <f t="shared" si="1"/>
        <v>#N/A</v>
      </c>
      <c r="F44">
        <f t="shared" si="2"/>
        <v>2</v>
      </c>
      <c r="G44">
        <f t="shared" si="3"/>
        <v>6</v>
      </c>
    </row>
    <row r="45" spans="1:7" x14ac:dyDescent="0.2">
      <c r="A45">
        <v>4</v>
      </c>
      <c r="B45">
        <v>4</v>
      </c>
      <c r="C45">
        <v>0</v>
      </c>
      <c r="D45">
        <f t="shared" si="0"/>
        <v>4</v>
      </c>
      <c r="E45">
        <f t="shared" si="1"/>
        <v>4</v>
      </c>
      <c r="F45" t="e">
        <f t="shared" si="2"/>
        <v>#N/A</v>
      </c>
      <c r="G45" t="e">
        <f t="shared" si="3"/>
        <v>#N/A</v>
      </c>
    </row>
    <row r="46" spans="1:7" x14ac:dyDescent="0.2">
      <c r="A46">
        <v>5</v>
      </c>
      <c r="B46">
        <v>5</v>
      </c>
      <c r="C46">
        <v>1</v>
      </c>
      <c r="D46" t="e">
        <f t="shared" si="0"/>
        <v>#N/A</v>
      </c>
      <c r="E46" t="e">
        <f t="shared" si="1"/>
        <v>#N/A</v>
      </c>
      <c r="F46">
        <f t="shared" si="2"/>
        <v>5</v>
      </c>
      <c r="G46">
        <f t="shared" si="3"/>
        <v>5</v>
      </c>
    </row>
    <row r="47" spans="1:7" x14ac:dyDescent="0.2">
      <c r="A47">
        <v>4</v>
      </c>
      <c r="B47">
        <v>8</v>
      </c>
      <c r="C47">
        <v>0</v>
      </c>
      <c r="D47">
        <f t="shared" si="0"/>
        <v>4</v>
      </c>
      <c r="E47">
        <f t="shared" si="1"/>
        <v>8</v>
      </c>
      <c r="F47" t="e">
        <f t="shared" si="2"/>
        <v>#N/A</v>
      </c>
      <c r="G47" t="e">
        <f t="shared" si="3"/>
        <v>#N/A</v>
      </c>
    </row>
    <row r="48" spans="1:7" x14ac:dyDescent="0.2">
      <c r="A48">
        <v>0</v>
      </c>
      <c r="B48">
        <v>3</v>
      </c>
      <c r="C48">
        <v>0</v>
      </c>
      <c r="D48">
        <f t="shared" si="0"/>
        <v>0</v>
      </c>
      <c r="E48">
        <f t="shared" si="1"/>
        <v>3</v>
      </c>
      <c r="F48" t="e">
        <f t="shared" si="2"/>
        <v>#N/A</v>
      </c>
      <c r="G48" t="e">
        <f t="shared" si="3"/>
        <v>#N/A</v>
      </c>
    </row>
    <row r="49" spans="1:7" x14ac:dyDescent="0.2">
      <c r="A49">
        <v>1</v>
      </c>
      <c r="B49">
        <v>3</v>
      </c>
      <c r="C49">
        <v>1</v>
      </c>
      <c r="D49" t="e">
        <f t="shared" si="0"/>
        <v>#N/A</v>
      </c>
      <c r="E49" t="e">
        <f t="shared" si="1"/>
        <v>#N/A</v>
      </c>
      <c r="F49">
        <f t="shared" si="2"/>
        <v>1</v>
      </c>
      <c r="G49">
        <f t="shared" si="3"/>
        <v>3</v>
      </c>
    </row>
    <row r="50" spans="1:7" x14ac:dyDescent="0.2">
      <c r="A50">
        <v>3</v>
      </c>
      <c r="B50">
        <v>4</v>
      </c>
      <c r="C50">
        <v>0</v>
      </c>
      <c r="D50">
        <f t="shared" si="0"/>
        <v>3</v>
      </c>
      <c r="E50">
        <f t="shared" si="1"/>
        <v>4</v>
      </c>
      <c r="F50" t="e">
        <f t="shared" si="2"/>
        <v>#N/A</v>
      </c>
      <c r="G50" t="e">
        <f t="shared" si="3"/>
        <v>#N/A</v>
      </c>
    </row>
    <row r="51" spans="1:7" x14ac:dyDescent="0.2">
      <c r="A51">
        <v>2</v>
      </c>
      <c r="B51">
        <v>1</v>
      </c>
      <c r="C51">
        <v>1</v>
      </c>
      <c r="D51" t="e">
        <f t="shared" si="0"/>
        <v>#N/A</v>
      </c>
      <c r="E51" t="e">
        <f t="shared" si="1"/>
        <v>#N/A</v>
      </c>
      <c r="F51">
        <f t="shared" si="2"/>
        <v>2</v>
      </c>
      <c r="G51">
        <f t="shared" si="3"/>
        <v>1</v>
      </c>
    </row>
    <row r="52" spans="1:7" x14ac:dyDescent="0.2">
      <c r="A52">
        <v>3</v>
      </c>
      <c r="B52">
        <v>9</v>
      </c>
      <c r="C52">
        <v>0</v>
      </c>
      <c r="D52">
        <f t="shared" si="0"/>
        <v>3</v>
      </c>
      <c r="E52">
        <f t="shared" si="1"/>
        <v>9</v>
      </c>
      <c r="F52" t="e">
        <f t="shared" si="2"/>
        <v>#N/A</v>
      </c>
      <c r="G52" t="e">
        <f t="shared" si="3"/>
        <v>#N/A</v>
      </c>
    </row>
    <row r="53" spans="1:7" x14ac:dyDescent="0.2">
      <c r="A53">
        <v>1</v>
      </c>
      <c r="B53">
        <v>8</v>
      </c>
      <c r="C53">
        <v>0</v>
      </c>
      <c r="D53">
        <f t="shared" si="0"/>
        <v>1</v>
      </c>
      <c r="E53">
        <f t="shared" si="1"/>
        <v>8</v>
      </c>
      <c r="F53" t="e">
        <f t="shared" si="2"/>
        <v>#N/A</v>
      </c>
      <c r="G53" t="e">
        <f t="shared" si="3"/>
        <v>#N/A</v>
      </c>
    </row>
    <row r="54" spans="1:7" x14ac:dyDescent="0.2">
      <c r="A54">
        <v>2</v>
      </c>
      <c r="B54">
        <v>8</v>
      </c>
      <c r="C54">
        <v>0</v>
      </c>
      <c r="D54">
        <f t="shared" si="0"/>
        <v>2</v>
      </c>
      <c r="E54">
        <f t="shared" si="1"/>
        <v>8</v>
      </c>
      <c r="F54" t="e">
        <f t="shared" si="2"/>
        <v>#N/A</v>
      </c>
      <c r="G54" t="e">
        <f t="shared" si="3"/>
        <v>#N/A</v>
      </c>
    </row>
    <row r="55" spans="1:7" x14ac:dyDescent="0.2">
      <c r="A55">
        <v>1</v>
      </c>
      <c r="B55">
        <v>10</v>
      </c>
      <c r="C55">
        <v>0</v>
      </c>
      <c r="D55">
        <f t="shared" si="0"/>
        <v>1</v>
      </c>
      <c r="E55">
        <f t="shared" si="1"/>
        <v>10</v>
      </c>
      <c r="F55" t="e">
        <f t="shared" si="2"/>
        <v>#N/A</v>
      </c>
      <c r="G55" t="e">
        <f t="shared" si="3"/>
        <v>#N/A</v>
      </c>
    </row>
    <row r="56" spans="1:7" x14ac:dyDescent="0.2">
      <c r="A56">
        <v>1</v>
      </c>
      <c r="B56">
        <v>6</v>
      </c>
      <c r="C56">
        <v>1</v>
      </c>
      <c r="D56" t="e">
        <f t="shared" si="0"/>
        <v>#N/A</v>
      </c>
      <c r="E56" t="e">
        <f t="shared" si="1"/>
        <v>#N/A</v>
      </c>
      <c r="F56">
        <f t="shared" si="2"/>
        <v>1</v>
      </c>
      <c r="G56">
        <f t="shared" si="3"/>
        <v>6</v>
      </c>
    </row>
    <row r="57" spans="1:7" x14ac:dyDescent="0.2">
      <c r="A57">
        <v>1</v>
      </c>
      <c r="B57">
        <v>7</v>
      </c>
      <c r="C57">
        <v>1</v>
      </c>
      <c r="D57" t="e">
        <f t="shared" si="0"/>
        <v>#N/A</v>
      </c>
      <c r="E57" t="e">
        <f t="shared" si="1"/>
        <v>#N/A</v>
      </c>
      <c r="F57">
        <f t="shared" si="2"/>
        <v>1</v>
      </c>
      <c r="G57">
        <f t="shared" si="3"/>
        <v>7</v>
      </c>
    </row>
    <row r="58" spans="1:7" x14ac:dyDescent="0.2">
      <c r="A58">
        <v>3</v>
      </c>
      <c r="B58">
        <v>6</v>
      </c>
      <c r="C58">
        <v>0</v>
      </c>
      <c r="D58">
        <f t="shared" si="0"/>
        <v>3</v>
      </c>
      <c r="E58">
        <f t="shared" si="1"/>
        <v>6</v>
      </c>
      <c r="F58" t="e">
        <f t="shared" si="2"/>
        <v>#N/A</v>
      </c>
      <c r="G58" t="e">
        <f t="shared" si="3"/>
        <v>#N/A</v>
      </c>
    </row>
    <row r="59" spans="1:7" x14ac:dyDescent="0.2">
      <c r="A59">
        <v>5</v>
      </c>
      <c r="B59">
        <v>9</v>
      </c>
      <c r="C59">
        <v>0</v>
      </c>
      <c r="D59">
        <f t="shared" si="0"/>
        <v>5</v>
      </c>
      <c r="E59">
        <f t="shared" si="1"/>
        <v>9</v>
      </c>
      <c r="F59" t="e">
        <f t="shared" si="2"/>
        <v>#N/A</v>
      </c>
      <c r="G59" t="e">
        <f t="shared" si="3"/>
        <v>#N/A</v>
      </c>
    </row>
    <row r="60" spans="1:7" x14ac:dyDescent="0.2">
      <c r="A60">
        <v>2</v>
      </c>
      <c r="B60">
        <v>3</v>
      </c>
      <c r="C60">
        <v>1</v>
      </c>
      <c r="D60" t="e">
        <f t="shared" si="0"/>
        <v>#N/A</v>
      </c>
      <c r="E60" t="e">
        <f t="shared" si="1"/>
        <v>#N/A</v>
      </c>
      <c r="F60">
        <f t="shared" si="2"/>
        <v>2</v>
      </c>
      <c r="G60">
        <f t="shared" si="3"/>
        <v>3</v>
      </c>
    </row>
    <row r="61" spans="1:7" x14ac:dyDescent="0.2">
      <c r="A61">
        <v>3</v>
      </c>
      <c r="B61">
        <v>3</v>
      </c>
      <c r="C61">
        <v>0</v>
      </c>
      <c r="D61">
        <f t="shared" si="0"/>
        <v>3</v>
      </c>
      <c r="E61">
        <f t="shared" si="1"/>
        <v>3</v>
      </c>
      <c r="F61" t="e">
        <f t="shared" si="2"/>
        <v>#N/A</v>
      </c>
      <c r="G61" t="e">
        <f t="shared" si="3"/>
        <v>#N/A</v>
      </c>
    </row>
    <row r="62" spans="1:7" x14ac:dyDescent="0.2">
      <c r="A62">
        <v>3</v>
      </c>
      <c r="B62">
        <v>3</v>
      </c>
      <c r="C62">
        <v>1</v>
      </c>
      <c r="D62" t="e">
        <f t="shared" si="0"/>
        <v>#N/A</v>
      </c>
      <c r="E62" t="e">
        <f t="shared" si="1"/>
        <v>#N/A</v>
      </c>
      <c r="F62">
        <f t="shared" si="2"/>
        <v>3</v>
      </c>
      <c r="G62">
        <f t="shared" si="3"/>
        <v>3</v>
      </c>
    </row>
    <row r="63" spans="1:7" x14ac:dyDescent="0.2">
      <c r="A63">
        <v>3</v>
      </c>
      <c r="B63">
        <v>10</v>
      </c>
      <c r="C63">
        <v>0</v>
      </c>
      <c r="D63">
        <f t="shared" si="0"/>
        <v>3</v>
      </c>
      <c r="E63">
        <f t="shared" si="1"/>
        <v>10</v>
      </c>
      <c r="F63" t="e">
        <f t="shared" si="2"/>
        <v>#N/A</v>
      </c>
      <c r="G63" t="e">
        <f t="shared" si="3"/>
        <v>#N/A</v>
      </c>
    </row>
    <row r="64" spans="1:7" x14ac:dyDescent="0.2">
      <c r="A64">
        <v>3</v>
      </c>
      <c r="B64">
        <v>3</v>
      </c>
      <c r="C64">
        <v>1</v>
      </c>
      <c r="D64" t="e">
        <f t="shared" si="0"/>
        <v>#N/A</v>
      </c>
      <c r="E64" t="e">
        <f t="shared" si="1"/>
        <v>#N/A</v>
      </c>
      <c r="F64">
        <f t="shared" si="2"/>
        <v>3</v>
      </c>
      <c r="G64">
        <f t="shared" si="3"/>
        <v>3</v>
      </c>
    </row>
    <row r="65" spans="1:7" x14ac:dyDescent="0.2">
      <c r="A65">
        <v>2</v>
      </c>
      <c r="B65">
        <v>9</v>
      </c>
      <c r="C65">
        <v>0</v>
      </c>
      <c r="D65">
        <f t="shared" si="0"/>
        <v>2</v>
      </c>
      <c r="E65">
        <f t="shared" si="1"/>
        <v>9</v>
      </c>
      <c r="F65" t="e">
        <f t="shared" si="2"/>
        <v>#N/A</v>
      </c>
      <c r="G65" t="e">
        <f t="shared" si="3"/>
        <v>#N/A</v>
      </c>
    </row>
    <row r="66" spans="1:7" x14ac:dyDescent="0.2">
      <c r="A66">
        <v>0</v>
      </c>
      <c r="B66">
        <v>4</v>
      </c>
      <c r="C66">
        <v>1</v>
      </c>
      <c r="D66" t="e">
        <f t="shared" si="0"/>
        <v>#N/A</v>
      </c>
      <c r="E66" t="e">
        <f t="shared" si="1"/>
        <v>#N/A</v>
      </c>
      <c r="F66">
        <f t="shared" si="2"/>
        <v>0</v>
      </c>
      <c r="G66">
        <f t="shared" si="3"/>
        <v>4</v>
      </c>
    </row>
    <row r="67" spans="1:7" x14ac:dyDescent="0.2">
      <c r="A67">
        <v>1</v>
      </c>
      <c r="B67">
        <v>7</v>
      </c>
      <c r="C67">
        <v>1</v>
      </c>
      <c r="D67" t="e">
        <f t="shared" ref="D67:D130" si="4" xml:space="preserve"> IF($C67=0, $A67, NA())</f>
        <v>#N/A</v>
      </c>
      <c r="E67" t="e">
        <f t="shared" ref="E67:E130" si="5" xml:space="preserve"> IF($C67=0, B67, NA())</f>
        <v>#N/A</v>
      </c>
      <c r="F67">
        <f t="shared" ref="F67:F130" si="6" xml:space="preserve"> IF($C67=1, A67, NA())</f>
        <v>1</v>
      </c>
      <c r="G67">
        <f t="shared" ref="G67:G130" si="7" xml:space="preserve"> IF($C67=1, $B67, NA())</f>
        <v>7</v>
      </c>
    </row>
    <row r="68" spans="1:7" x14ac:dyDescent="0.2">
      <c r="A68">
        <v>3</v>
      </c>
      <c r="B68">
        <v>9</v>
      </c>
      <c r="C68">
        <v>1</v>
      </c>
      <c r="D68" t="e">
        <f t="shared" si="4"/>
        <v>#N/A</v>
      </c>
      <c r="E68" t="e">
        <f t="shared" si="5"/>
        <v>#N/A</v>
      </c>
      <c r="F68">
        <f t="shared" si="6"/>
        <v>3</v>
      </c>
      <c r="G68">
        <f t="shared" si="7"/>
        <v>9</v>
      </c>
    </row>
    <row r="69" spans="1:7" x14ac:dyDescent="0.2">
      <c r="A69">
        <v>0</v>
      </c>
      <c r="B69">
        <v>7</v>
      </c>
      <c r="C69">
        <v>1</v>
      </c>
      <c r="D69" t="e">
        <f t="shared" si="4"/>
        <v>#N/A</v>
      </c>
      <c r="E69" t="e">
        <f t="shared" si="5"/>
        <v>#N/A</v>
      </c>
      <c r="F69">
        <f t="shared" si="6"/>
        <v>0</v>
      </c>
      <c r="G69">
        <f t="shared" si="7"/>
        <v>7</v>
      </c>
    </row>
    <row r="70" spans="1:7" x14ac:dyDescent="0.2">
      <c r="A70">
        <v>2</v>
      </c>
      <c r="B70">
        <v>9</v>
      </c>
      <c r="C70">
        <v>0</v>
      </c>
      <c r="D70">
        <f t="shared" si="4"/>
        <v>2</v>
      </c>
      <c r="E70">
        <f t="shared" si="5"/>
        <v>9</v>
      </c>
      <c r="F70" t="e">
        <f t="shared" si="6"/>
        <v>#N/A</v>
      </c>
      <c r="G70" t="e">
        <f t="shared" si="7"/>
        <v>#N/A</v>
      </c>
    </row>
    <row r="71" spans="1:7" x14ac:dyDescent="0.2">
      <c r="A71">
        <v>1</v>
      </c>
      <c r="B71">
        <v>3</v>
      </c>
      <c r="C71">
        <v>1</v>
      </c>
      <c r="D71" t="e">
        <f t="shared" si="4"/>
        <v>#N/A</v>
      </c>
      <c r="E71" t="e">
        <f t="shared" si="5"/>
        <v>#N/A</v>
      </c>
      <c r="F71">
        <f t="shared" si="6"/>
        <v>1</v>
      </c>
      <c r="G71">
        <f t="shared" si="7"/>
        <v>3</v>
      </c>
    </row>
    <row r="72" spans="1:7" x14ac:dyDescent="0.2">
      <c r="A72">
        <v>3</v>
      </c>
      <c r="B72">
        <v>4</v>
      </c>
      <c r="C72">
        <v>0</v>
      </c>
      <c r="D72">
        <f t="shared" si="4"/>
        <v>3</v>
      </c>
      <c r="E72">
        <f t="shared" si="5"/>
        <v>4</v>
      </c>
      <c r="F72" t="e">
        <f t="shared" si="6"/>
        <v>#N/A</v>
      </c>
      <c r="G72" t="e">
        <f t="shared" si="7"/>
        <v>#N/A</v>
      </c>
    </row>
    <row r="73" spans="1:7" x14ac:dyDescent="0.2">
      <c r="A73">
        <v>2</v>
      </c>
      <c r="B73">
        <v>8</v>
      </c>
      <c r="C73">
        <v>1</v>
      </c>
      <c r="D73" t="e">
        <f t="shared" si="4"/>
        <v>#N/A</v>
      </c>
      <c r="E73" t="e">
        <f t="shared" si="5"/>
        <v>#N/A</v>
      </c>
      <c r="F73">
        <f t="shared" si="6"/>
        <v>2</v>
      </c>
      <c r="G73">
        <f t="shared" si="7"/>
        <v>8</v>
      </c>
    </row>
    <row r="74" spans="1:7" x14ac:dyDescent="0.2">
      <c r="A74">
        <v>2</v>
      </c>
      <c r="B74">
        <v>6</v>
      </c>
      <c r="C74">
        <v>1</v>
      </c>
      <c r="D74" t="e">
        <f t="shared" si="4"/>
        <v>#N/A</v>
      </c>
      <c r="E74" t="e">
        <f t="shared" si="5"/>
        <v>#N/A</v>
      </c>
      <c r="F74">
        <f t="shared" si="6"/>
        <v>2</v>
      </c>
      <c r="G74">
        <f t="shared" si="7"/>
        <v>6</v>
      </c>
    </row>
    <row r="75" spans="1:7" x14ac:dyDescent="0.2">
      <c r="A75">
        <v>1</v>
      </c>
      <c r="B75">
        <v>5</v>
      </c>
      <c r="C75">
        <v>1</v>
      </c>
      <c r="D75" t="e">
        <f t="shared" si="4"/>
        <v>#N/A</v>
      </c>
      <c r="E75" t="e">
        <f t="shared" si="5"/>
        <v>#N/A</v>
      </c>
      <c r="F75">
        <f t="shared" si="6"/>
        <v>1</v>
      </c>
      <c r="G75">
        <f t="shared" si="7"/>
        <v>5</v>
      </c>
    </row>
    <row r="76" spans="1:7" x14ac:dyDescent="0.2">
      <c r="A76">
        <v>3</v>
      </c>
      <c r="B76">
        <v>4</v>
      </c>
      <c r="C76">
        <v>1</v>
      </c>
      <c r="D76" t="e">
        <f t="shared" si="4"/>
        <v>#N/A</v>
      </c>
      <c r="E76" t="e">
        <f t="shared" si="5"/>
        <v>#N/A</v>
      </c>
      <c r="F76">
        <f t="shared" si="6"/>
        <v>3</v>
      </c>
      <c r="G76">
        <f t="shared" si="7"/>
        <v>4</v>
      </c>
    </row>
    <row r="77" spans="1:7" x14ac:dyDescent="0.2">
      <c r="A77">
        <v>2</v>
      </c>
      <c r="B77">
        <v>8</v>
      </c>
      <c r="C77">
        <v>1</v>
      </c>
      <c r="D77" t="e">
        <f t="shared" si="4"/>
        <v>#N/A</v>
      </c>
      <c r="E77" t="e">
        <f t="shared" si="5"/>
        <v>#N/A</v>
      </c>
      <c r="F77">
        <f t="shared" si="6"/>
        <v>2</v>
      </c>
      <c r="G77">
        <f t="shared" si="7"/>
        <v>8</v>
      </c>
    </row>
    <row r="78" spans="1:7" x14ac:dyDescent="0.2">
      <c r="A78">
        <v>3</v>
      </c>
      <c r="B78">
        <v>1</v>
      </c>
      <c r="C78">
        <v>0</v>
      </c>
      <c r="D78">
        <f t="shared" si="4"/>
        <v>3</v>
      </c>
      <c r="E78">
        <f t="shared" si="5"/>
        <v>1</v>
      </c>
      <c r="F78" t="e">
        <f t="shared" si="6"/>
        <v>#N/A</v>
      </c>
      <c r="G78" t="e">
        <f t="shared" si="7"/>
        <v>#N/A</v>
      </c>
    </row>
    <row r="79" spans="1:7" x14ac:dyDescent="0.2">
      <c r="A79">
        <v>3</v>
      </c>
      <c r="B79">
        <v>9</v>
      </c>
      <c r="C79">
        <v>0</v>
      </c>
      <c r="D79">
        <f t="shared" si="4"/>
        <v>3</v>
      </c>
      <c r="E79">
        <f t="shared" si="5"/>
        <v>9</v>
      </c>
      <c r="F79" t="e">
        <f t="shared" si="6"/>
        <v>#N/A</v>
      </c>
      <c r="G79" t="e">
        <f t="shared" si="7"/>
        <v>#N/A</v>
      </c>
    </row>
    <row r="80" spans="1:7" x14ac:dyDescent="0.2">
      <c r="A80">
        <v>1</v>
      </c>
      <c r="B80">
        <v>1</v>
      </c>
      <c r="C80">
        <v>1</v>
      </c>
      <c r="D80" t="e">
        <f t="shared" si="4"/>
        <v>#N/A</v>
      </c>
      <c r="E80" t="e">
        <f t="shared" si="5"/>
        <v>#N/A</v>
      </c>
      <c r="F80">
        <f t="shared" si="6"/>
        <v>1</v>
      </c>
      <c r="G80">
        <f t="shared" si="7"/>
        <v>1</v>
      </c>
    </row>
    <row r="81" spans="1:7" x14ac:dyDescent="0.2">
      <c r="A81">
        <v>1</v>
      </c>
      <c r="B81">
        <v>8</v>
      </c>
      <c r="C81">
        <v>0</v>
      </c>
      <c r="D81">
        <f t="shared" si="4"/>
        <v>1</v>
      </c>
      <c r="E81">
        <f t="shared" si="5"/>
        <v>8</v>
      </c>
      <c r="F81" t="e">
        <f t="shared" si="6"/>
        <v>#N/A</v>
      </c>
      <c r="G81" t="e">
        <f t="shared" si="7"/>
        <v>#N/A</v>
      </c>
    </row>
    <row r="82" spans="1:7" x14ac:dyDescent="0.2">
      <c r="A82">
        <v>2</v>
      </c>
      <c r="B82">
        <v>4</v>
      </c>
      <c r="C82">
        <v>1</v>
      </c>
      <c r="D82" t="e">
        <f t="shared" si="4"/>
        <v>#N/A</v>
      </c>
      <c r="E82" t="e">
        <f t="shared" si="5"/>
        <v>#N/A</v>
      </c>
      <c r="F82">
        <f t="shared" si="6"/>
        <v>2</v>
      </c>
      <c r="G82">
        <f t="shared" si="7"/>
        <v>4</v>
      </c>
    </row>
    <row r="83" spans="1:7" x14ac:dyDescent="0.2">
      <c r="A83">
        <v>0</v>
      </c>
      <c r="B83">
        <v>9</v>
      </c>
      <c r="C83">
        <v>1</v>
      </c>
      <c r="D83" t="e">
        <f t="shared" si="4"/>
        <v>#N/A</v>
      </c>
      <c r="E83" t="e">
        <f t="shared" si="5"/>
        <v>#N/A</v>
      </c>
      <c r="F83">
        <f t="shared" si="6"/>
        <v>0</v>
      </c>
      <c r="G83">
        <f t="shared" si="7"/>
        <v>9</v>
      </c>
    </row>
    <row r="84" spans="1:7" x14ac:dyDescent="0.2">
      <c r="A84">
        <v>0</v>
      </c>
      <c r="B84">
        <v>5</v>
      </c>
      <c r="C84">
        <v>0</v>
      </c>
      <c r="D84">
        <f t="shared" si="4"/>
        <v>0</v>
      </c>
      <c r="E84">
        <f t="shared" si="5"/>
        <v>5</v>
      </c>
      <c r="F84" t="e">
        <f t="shared" si="6"/>
        <v>#N/A</v>
      </c>
      <c r="G84" t="e">
        <f t="shared" si="7"/>
        <v>#N/A</v>
      </c>
    </row>
    <row r="85" spans="1:7" x14ac:dyDescent="0.2">
      <c r="A85">
        <v>3</v>
      </c>
      <c r="B85">
        <v>3</v>
      </c>
      <c r="C85">
        <v>0</v>
      </c>
      <c r="D85">
        <f t="shared" si="4"/>
        <v>3</v>
      </c>
      <c r="E85">
        <f t="shared" si="5"/>
        <v>3</v>
      </c>
      <c r="F85" t="e">
        <f t="shared" si="6"/>
        <v>#N/A</v>
      </c>
      <c r="G85" t="e">
        <f t="shared" si="7"/>
        <v>#N/A</v>
      </c>
    </row>
    <row r="86" spans="1:7" x14ac:dyDescent="0.2">
      <c r="A86">
        <v>1</v>
      </c>
      <c r="B86">
        <v>9</v>
      </c>
      <c r="C86">
        <v>0</v>
      </c>
      <c r="D86">
        <f t="shared" si="4"/>
        <v>1</v>
      </c>
      <c r="E86">
        <f t="shared" si="5"/>
        <v>9</v>
      </c>
      <c r="F86" t="e">
        <f t="shared" si="6"/>
        <v>#N/A</v>
      </c>
      <c r="G86" t="e">
        <f t="shared" si="7"/>
        <v>#N/A</v>
      </c>
    </row>
    <row r="87" spans="1:7" x14ac:dyDescent="0.2">
      <c r="A87">
        <v>3</v>
      </c>
      <c r="B87">
        <v>9</v>
      </c>
      <c r="C87">
        <v>0</v>
      </c>
      <c r="D87">
        <f t="shared" si="4"/>
        <v>3</v>
      </c>
      <c r="E87">
        <f t="shared" si="5"/>
        <v>9</v>
      </c>
      <c r="F87" t="e">
        <f t="shared" si="6"/>
        <v>#N/A</v>
      </c>
      <c r="G87" t="e">
        <f t="shared" si="7"/>
        <v>#N/A</v>
      </c>
    </row>
    <row r="88" spans="1:7" x14ac:dyDescent="0.2">
      <c r="A88">
        <v>2</v>
      </c>
      <c r="B88">
        <v>4</v>
      </c>
      <c r="C88">
        <v>1</v>
      </c>
      <c r="D88" t="e">
        <f t="shared" si="4"/>
        <v>#N/A</v>
      </c>
      <c r="E88" t="e">
        <f t="shared" si="5"/>
        <v>#N/A</v>
      </c>
      <c r="F88">
        <f t="shared" si="6"/>
        <v>2</v>
      </c>
      <c r="G88">
        <f t="shared" si="7"/>
        <v>4</v>
      </c>
    </row>
    <row r="89" spans="1:7" x14ac:dyDescent="0.2">
      <c r="A89">
        <v>0</v>
      </c>
      <c r="B89">
        <v>4</v>
      </c>
      <c r="C89">
        <v>0</v>
      </c>
      <c r="D89">
        <f t="shared" si="4"/>
        <v>0</v>
      </c>
      <c r="E89">
        <f t="shared" si="5"/>
        <v>4</v>
      </c>
      <c r="F89" t="e">
        <f t="shared" si="6"/>
        <v>#N/A</v>
      </c>
      <c r="G89" t="e">
        <f t="shared" si="7"/>
        <v>#N/A</v>
      </c>
    </row>
    <row r="90" spans="1:7" x14ac:dyDescent="0.2">
      <c r="A90">
        <v>0</v>
      </c>
      <c r="B90">
        <v>8</v>
      </c>
      <c r="C90">
        <v>0</v>
      </c>
      <c r="D90">
        <f t="shared" si="4"/>
        <v>0</v>
      </c>
      <c r="E90">
        <f t="shared" si="5"/>
        <v>8</v>
      </c>
      <c r="F90" t="e">
        <f t="shared" si="6"/>
        <v>#N/A</v>
      </c>
      <c r="G90" t="e">
        <f t="shared" si="7"/>
        <v>#N/A</v>
      </c>
    </row>
    <row r="91" spans="1:7" x14ac:dyDescent="0.2">
      <c r="A91">
        <v>1</v>
      </c>
      <c r="B91">
        <v>2</v>
      </c>
      <c r="C91">
        <v>1</v>
      </c>
      <c r="D91" t="e">
        <f t="shared" si="4"/>
        <v>#N/A</v>
      </c>
      <c r="E91" t="e">
        <f t="shared" si="5"/>
        <v>#N/A</v>
      </c>
      <c r="F91">
        <f t="shared" si="6"/>
        <v>1</v>
      </c>
      <c r="G91">
        <f t="shared" si="7"/>
        <v>2</v>
      </c>
    </row>
    <row r="92" spans="1:7" x14ac:dyDescent="0.2">
      <c r="A92">
        <v>1</v>
      </c>
      <c r="B92">
        <v>9</v>
      </c>
      <c r="C92">
        <v>0</v>
      </c>
      <c r="D92">
        <f t="shared" si="4"/>
        <v>1</v>
      </c>
      <c r="E92">
        <f t="shared" si="5"/>
        <v>9</v>
      </c>
      <c r="F92" t="e">
        <f t="shared" si="6"/>
        <v>#N/A</v>
      </c>
      <c r="G92" t="e">
        <f t="shared" si="7"/>
        <v>#N/A</v>
      </c>
    </row>
    <row r="93" spans="1:7" x14ac:dyDescent="0.2">
      <c r="A93">
        <v>2</v>
      </c>
      <c r="B93">
        <v>6</v>
      </c>
      <c r="C93">
        <v>1</v>
      </c>
      <c r="D93" t="e">
        <f t="shared" si="4"/>
        <v>#N/A</v>
      </c>
      <c r="E93" t="e">
        <f t="shared" si="5"/>
        <v>#N/A</v>
      </c>
      <c r="F93">
        <f t="shared" si="6"/>
        <v>2</v>
      </c>
      <c r="G93">
        <f t="shared" si="7"/>
        <v>6</v>
      </c>
    </row>
    <row r="94" spans="1:7" x14ac:dyDescent="0.2">
      <c r="A94">
        <v>2</v>
      </c>
      <c r="B94">
        <v>9</v>
      </c>
      <c r="C94">
        <v>1</v>
      </c>
      <c r="D94" t="e">
        <f t="shared" si="4"/>
        <v>#N/A</v>
      </c>
      <c r="E94" t="e">
        <f t="shared" si="5"/>
        <v>#N/A</v>
      </c>
      <c r="F94">
        <f t="shared" si="6"/>
        <v>2</v>
      </c>
      <c r="G94">
        <f t="shared" si="7"/>
        <v>9</v>
      </c>
    </row>
    <row r="95" spans="1:7" x14ac:dyDescent="0.2">
      <c r="A95">
        <v>3</v>
      </c>
      <c r="B95">
        <v>8</v>
      </c>
      <c r="C95">
        <v>0</v>
      </c>
      <c r="D95">
        <f t="shared" si="4"/>
        <v>3</v>
      </c>
      <c r="E95">
        <f t="shared" si="5"/>
        <v>8</v>
      </c>
      <c r="F95" t="e">
        <f t="shared" si="6"/>
        <v>#N/A</v>
      </c>
      <c r="G95" t="e">
        <f t="shared" si="7"/>
        <v>#N/A</v>
      </c>
    </row>
    <row r="96" spans="1:7" x14ac:dyDescent="0.2">
      <c r="A96">
        <v>3</v>
      </c>
      <c r="B96">
        <v>7</v>
      </c>
      <c r="C96">
        <v>0</v>
      </c>
      <c r="D96">
        <f t="shared" si="4"/>
        <v>3</v>
      </c>
      <c r="E96">
        <f t="shared" si="5"/>
        <v>7</v>
      </c>
      <c r="F96" t="e">
        <f t="shared" si="6"/>
        <v>#N/A</v>
      </c>
      <c r="G96" t="e">
        <f t="shared" si="7"/>
        <v>#N/A</v>
      </c>
    </row>
    <row r="97" spans="1:7" x14ac:dyDescent="0.2">
      <c r="A97">
        <v>0</v>
      </c>
      <c r="B97">
        <v>1</v>
      </c>
      <c r="C97">
        <v>1</v>
      </c>
      <c r="D97" t="e">
        <f t="shared" si="4"/>
        <v>#N/A</v>
      </c>
      <c r="E97" t="e">
        <f t="shared" si="5"/>
        <v>#N/A</v>
      </c>
      <c r="F97">
        <f t="shared" si="6"/>
        <v>0</v>
      </c>
      <c r="G97">
        <f t="shared" si="7"/>
        <v>1</v>
      </c>
    </row>
    <row r="98" spans="1:7" x14ac:dyDescent="0.2">
      <c r="A98">
        <v>6</v>
      </c>
      <c r="B98">
        <v>3</v>
      </c>
      <c r="C98">
        <v>1</v>
      </c>
      <c r="D98" t="e">
        <f t="shared" si="4"/>
        <v>#N/A</v>
      </c>
      <c r="E98" t="e">
        <f t="shared" si="5"/>
        <v>#N/A</v>
      </c>
      <c r="F98">
        <f t="shared" si="6"/>
        <v>6</v>
      </c>
      <c r="G98">
        <f t="shared" si="7"/>
        <v>3</v>
      </c>
    </row>
    <row r="99" spans="1:7" x14ac:dyDescent="0.2">
      <c r="A99">
        <v>1</v>
      </c>
      <c r="B99">
        <v>2</v>
      </c>
      <c r="C99">
        <v>1</v>
      </c>
      <c r="D99" t="e">
        <f t="shared" si="4"/>
        <v>#N/A</v>
      </c>
      <c r="E99" t="e">
        <f t="shared" si="5"/>
        <v>#N/A</v>
      </c>
      <c r="F99">
        <f t="shared" si="6"/>
        <v>1</v>
      </c>
      <c r="G99">
        <f t="shared" si="7"/>
        <v>2</v>
      </c>
    </row>
    <row r="100" spans="1:7" x14ac:dyDescent="0.2">
      <c r="A100">
        <v>4</v>
      </c>
      <c r="B100">
        <v>5</v>
      </c>
      <c r="C100">
        <v>1</v>
      </c>
      <c r="D100" t="e">
        <f t="shared" si="4"/>
        <v>#N/A</v>
      </c>
      <c r="E100" t="e">
        <f t="shared" si="5"/>
        <v>#N/A</v>
      </c>
      <c r="F100">
        <f t="shared" si="6"/>
        <v>4</v>
      </c>
      <c r="G100">
        <f t="shared" si="7"/>
        <v>5</v>
      </c>
    </row>
    <row r="101" spans="1:7" x14ac:dyDescent="0.2">
      <c r="A101">
        <v>0</v>
      </c>
      <c r="B101">
        <v>5</v>
      </c>
      <c r="C101">
        <v>0</v>
      </c>
      <c r="D101">
        <f t="shared" si="4"/>
        <v>0</v>
      </c>
      <c r="E101">
        <f t="shared" si="5"/>
        <v>5</v>
      </c>
      <c r="F101" t="e">
        <f t="shared" si="6"/>
        <v>#N/A</v>
      </c>
      <c r="G101" t="e">
        <f t="shared" si="7"/>
        <v>#N/A</v>
      </c>
    </row>
    <row r="102" spans="1:7" x14ac:dyDescent="0.2">
      <c r="A102">
        <v>1</v>
      </c>
      <c r="B102">
        <v>5</v>
      </c>
      <c r="C102">
        <v>0</v>
      </c>
      <c r="D102">
        <f t="shared" si="4"/>
        <v>1</v>
      </c>
      <c r="E102">
        <f t="shared" si="5"/>
        <v>5</v>
      </c>
      <c r="F102" t="e">
        <f t="shared" si="6"/>
        <v>#N/A</v>
      </c>
      <c r="G102" t="e">
        <f t="shared" si="7"/>
        <v>#N/A</v>
      </c>
    </row>
    <row r="103" spans="1:7" x14ac:dyDescent="0.2">
      <c r="A103">
        <v>6</v>
      </c>
      <c r="B103">
        <v>4</v>
      </c>
      <c r="C103">
        <v>1</v>
      </c>
      <c r="D103" t="e">
        <f t="shared" si="4"/>
        <v>#N/A</v>
      </c>
      <c r="E103" t="e">
        <f t="shared" si="5"/>
        <v>#N/A</v>
      </c>
      <c r="F103">
        <f t="shared" si="6"/>
        <v>6</v>
      </c>
      <c r="G103">
        <f t="shared" si="7"/>
        <v>4</v>
      </c>
    </row>
    <row r="104" spans="1:7" x14ac:dyDescent="0.2">
      <c r="A104">
        <v>2</v>
      </c>
      <c r="B104">
        <v>5</v>
      </c>
      <c r="C104">
        <v>1</v>
      </c>
      <c r="D104" t="e">
        <f t="shared" si="4"/>
        <v>#N/A</v>
      </c>
      <c r="E104" t="e">
        <f t="shared" si="5"/>
        <v>#N/A</v>
      </c>
      <c r="F104">
        <f t="shared" si="6"/>
        <v>2</v>
      </c>
      <c r="G104">
        <f t="shared" si="7"/>
        <v>5</v>
      </c>
    </row>
    <row r="105" spans="1:7" x14ac:dyDescent="0.2">
      <c r="A105">
        <v>2</v>
      </c>
      <c r="B105">
        <v>3</v>
      </c>
      <c r="C105">
        <v>1</v>
      </c>
      <c r="D105" t="e">
        <f t="shared" si="4"/>
        <v>#N/A</v>
      </c>
      <c r="E105" t="e">
        <f t="shared" si="5"/>
        <v>#N/A</v>
      </c>
      <c r="F105">
        <f t="shared" si="6"/>
        <v>2</v>
      </c>
      <c r="G105">
        <f t="shared" si="7"/>
        <v>3</v>
      </c>
    </row>
    <row r="106" spans="1:7" x14ac:dyDescent="0.2">
      <c r="A106">
        <v>2</v>
      </c>
      <c r="B106">
        <v>1</v>
      </c>
      <c r="C106">
        <v>1</v>
      </c>
      <c r="D106" t="e">
        <f t="shared" si="4"/>
        <v>#N/A</v>
      </c>
      <c r="E106" t="e">
        <f t="shared" si="5"/>
        <v>#N/A</v>
      </c>
      <c r="F106">
        <f t="shared" si="6"/>
        <v>2</v>
      </c>
      <c r="G106">
        <f t="shared" si="7"/>
        <v>1</v>
      </c>
    </row>
    <row r="107" spans="1:7" x14ac:dyDescent="0.2">
      <c r="A107">
        <v>3</v>
      </c>
      <c r="B107">
        <v>5</v>
      </c>
      <c r="C107">
        <v>0</v>
      </c>
      <c r="D107">
        <f t="shared" si="4"/>
        <v>3</v>
      </c>
      <c r="E107">
        <f t="shared" si="5"/>
        <v>5</v>
      </c>
      <c r="F107" t="e">
        <f t="shared" si="6"/>
        <v>#N/A</v>
      </c>
      <c r="G107" t="e">
        <f t="shared" si="7"/>
        <v>#N/A</v>
      </c>
    </row>
    <row r="108" spans="1:7" x14ac:dyDescent="0.2">
      <c r="A108">
        <v>0</v>
      </c>
      <c r="B108">
        <v>9</v>
      </c>
      <c r="C108">
        <v>0</v>
      </c>
      <c r="D108">
        <f t="shared" si="4"/>
        <v>0</v>
      </c>
      <c r="E108">
        <f t="shared" si="5"/>
        <v>9</v>
      </c>
      <c r="F108" t="e">
        <f t="shared" si="6"/>
        <v>#N/A</v>
      </c>
      <c r="G108" t="e">
        <f t="shared" si="7"/>
        <v>#N/A</v>
      </c>
    </row>
    <row r="109" spans="1:7" x14ac:dyDescent="0.2">
      <c r="A109">
        <v>1</v>
      </c>
      <c r="B109">
        <v>9</v>
      </c>
      <c r="C109">
        <v>0</v>
      </c>
      <c r="D109">
        <f t="shared" si="4"/>
        <v>1</v>
      </c>
      <c r="E109">
        <f t="shared" si="5"/>
        <v>9</v>
      </c>
      <c r="F109" t="e">
        <f t="shared" si="6"/>
        <v>#N/A</v>
      </c>
      <c r="G109" t="e">
        <f t="shared" si="7"/>
        <v>#N/A</v>
      </c>
    </row>
    <row r="110" spans="1:7" x14ac:dyDescent="0.2">
      <c r="A110">
        <v>3</v>
      </c>
      <c r="B110">
        <v>4</v>
      </c>
      <c r="C110">
        <v>1</v>
      </c>
      <c r="D110" t="e">
        <f t="shared" si="4"/>
        <v>#N/A</v>
      </c>
      <c r="E110" t="e">
        <f t="shared" si="5"/>
        <v>#N/A</v>
      </c>
      <c r="F110">
        <f t="shared" si="6"/>
        <v>3</v>
      </c>
      <c r="G110">
        <f t="shared" si="7"/>
        <v>4</v>
      </c>
    </row>
    <row r="111" spans="1:7" x14ac:dyDescent="0.2">
      <c r="A111">
        <v>4</v>
      </c>
      <c r="B111">
        <v>3</v>
      </c>
      <c r="C111">
        <v>0</v>
      </c>
      <c r="D111">
        <f t="shared" si="4"/>
        <v>4</v>
      </c>
      <c r="E111">
        <f t="shared" si="5"/>
        <v>3</v>
      </c>
      <c r="F111" t="e">
        <f t="shared" si="6"/>
        <v>#N/A</v>
      </c>
      <c r="G111" t="e">
        <f t="shared" si="7"/>
        <v>#N/A</v>
      </c>
    </row>
    <row r="112" spans="1:7" x14ac:dyDescent="0.2">
      <c r="A112">
        <v>1</v>
      </c>
      <c r="B112">
        <v>1</v>
      </c>
      <c r="C112">
        <v>0</v>
      </c>
      <c r="D112">
        <f t="shared" si="4"/>
        <v>1</v>
      </c>
      <c r="E112">
        <f t="shared" si="5"/>
        <v>1</v>
      </c>
      <c r="F112" t="e">
        <f t="shared" si="6"/>
        <v>#N/A</v>
      </c>
      <c r="G112" t="e">
        <f t="shared" si="7"/>
        <v>#N/A</v>
      </c>
    </row>
    <row r="113" spans="1:7" x14ac:dyDescent="0.2">
      <c r="A113">
        <v>1</v>
      </c>
      <c r="B113">
        <v>2</v>
      </c>
      <c r="C113">
        <v>0</v>
      </c>
      <c r="D113">
        <f t="shared" si="4"/>
        <v>1</v>
      </c>
      <c r="E113">
        <f t="shared" si="5"/>
        <v>2</v>
      </c>
      <c r="F113" t="e">
        <f t="shared" si="6"/>
        <v>#N/A</v>
      </c>
      <c r="G113" t="e">
        <f t="shared" si="7"/>
        <v>#N/A</v>
      </c>
    </row>
    <row r="114" spans="1:7" x14ac:dyDescent="0.2">
      <c r="A114">
        <v>3</v>
      </c>
      <c r="B114">
        <v>8</v>
      </c>
      <c r="C114">
        <v>0</v>
      </c>
      <c r="D114">
        <f t="shared" si="4"/>
        <v>3</v>
      </c>
      <c r="E114">
        <f t="shared" si="5"/>
        <v>8</v>
      </c>
      <c r="F114" t="e">
        <f t="shared" si="6"/>
        <v>#N/A</v>
      </c>
      <c r="G114" t="e">
        <f t="shared" si="7"/>
        <v>#N/A</v>
      </c>
    </row>
    <row r="115" spans="1:7" x14ac:dyDescent="0.2">
      <c r="A115">
        <v>4</v>
      </c>
      <c r="B115">
        <v>1</v>
      </c>
      <c r="C115">
        <v>1</v>
      </c>
      <c r="D115" t="e">
        <f t="shared" si="4"/>
        <v>#N/A</v>
      </c>
      <c r="E115" t="e">
        <f t="shared" si="5"/>
        <v>#N/A</v>
      </c>
      <c r="F115">
        <f t="shared" si="6"/>
        <v>4</v>
      </c>
      <c r="G115">
        <f t="shared" si="7"/>
        <v>1</v>
      </c>
    </row>
    <row r="116" spans="1:7" x14ac:dyDescent="0.2">
      <c r="A116">
        <v>3</v>
      </c>
      <c r="B116">
        <v>8</v>
      </c>
      <c r="C116">
        <v>0</v>
      </c>
      <c r="D116">
        <f t="shared" si="4"/>
        <v>3</v>
      </c>
      <c r="E116">
        <f t="shared" si="5"/>
        <v>8</v>
      </c>
      <c r="F116" t="e">
        <f t="shared" si="6"/>
        <v>#N/A</v>
      </c>
      <c r="G116" t="e">
        <f t="shared" si="7"/>
        <v>#N/A</v>
      </c>
    </row>
    <row r="117" spans="1:7" x14ac:dyDescent="0.2">
      <c r="A117">
        <v>1</v>
      </c>
      <c r="B117">
        <v>7</v>
      </c>
      <c r="C117">
        <v>1</v>
      </c>
      <c r="D117" t="e">
        <f t="shared" si="4"/>
        <v>#N/A</v>
      </c>
      <c r="E117" t="e">
        <f t="shared" si="5"/>
        <v>#N/A</v>
      </c>
      <c r="F117">
        <f t="shared" si="6"/>
        <v>1</v>
      </c>
      <c r="G117">
        <f t="shared" si="7"/>
        <v>7</v>
      </c>
    </row>
    <row r="118" spans="1:7" x14ac:dyDescent="0.2">
      <c r="A118">
        <v>1</v>
      </c>
      <c r="B118">
        <v>8</v>
      </c>
      <c r="C118">
        <v>1</v>
      </c>
      <c r="D118" t="e">
        <f t="shared" si="4"/>
        <v>#N/A</v>
      </c>
      <c r="E118" t="e">
        <f t="shared" si="5"/>
        <v>#N/A</v>
      </c>
      <c r="F118">
        <f t="shared" si="6"/>
        <v>1</v>
      </c>
      <c r="G118">
        <f t="shared" si="7"/>
        <v>8</v>
      </c>
    </row>
    <row r="119" spans="1:7" x14ac:dyDescent="0.2">
      <c r="A119">
        <v>4</v>
      </c>
      <c r="B119">
        <v>6</v>
      </c>
      <c r="C119">
        <v>1</v>
      </c>
      <c r="D119" t="e">
        <f t="shared" si="4"/>
        <v>#N/A</v>
      </c>
      <c r="E119" t="e">
        <f t="shared" si="5"/>
        <v>#N/A</v>
      </c>
      <c r="F119">
        <f t="shared" si="6"/>
        <v>4</v>
      </c>
      <c r="G119">
        <f t="shared" si="7"/>
        <v>6</v>
      </c>
    </row>
    <row r="120" spans="1:7" x14ac:dyDescent="0.2">
      <c r="A120">
        <v>0</v>
      </c>
      <c r="B120">
        <v>9</v>
      </c>
      <c r="C120">
        <v>0</v>
      </c>
      <c r="D120">
        <f t="shared" si="4"/>
        <v>0</v>
      </c>
      <c r="E120">
        <f t="shared" si="5"/>
        <v>9</v>
      </c>
      <c r="F120" t="e">
        <f t="shared" si="6"/>
        <v>#N/A</v>
      </c>
      <c r="G120" t="e">
        <f t="shared" si="7"/>
        <v>#N/A</v>
      </c>
    </row>
    <row r="121" spans="1:7" x14ac:dyDescent="0.2">
      <c r="A121">
        <v>4</v>
      </c>
      <c r="B121">
        <v>3</v>
      </c>
      <c r="C121">
        <v>0</v>
      </c>
      <c r="D121">
        <f t="shared" si="4"/>
        <v>4</v>
      </c>
      <c r="E121">
        <f t="shared" si="5"/>
        <v>3</v>
      </c>
      <c r="F121" t="e">
        <f t="shared" si="6"/>
        <v>#N/A</v>
      </c>
      <c r="G121" t="e">
        <f t="shared" si="7"/>
        <v>#N/A</v>
      </c>
    </row>
    <row r="122" spans="1:7" x14ac:dyDescent="0.2">
      <c r="A122">
        <v>0</v>
      </c>
      <c r="B122">
        <v>10</v>
      </c>
      <c r="C122">
        <v>0</v>
      </c>
      <c r="D122">
        <f t="shared" si="4"/>
        <v>0</v>
      </c>
      <c r="E122">
        <f t="shared" si="5"/>
        <v>10</v>
      </c>
      <c r="F122" t="e">
        <f t="shared" si="6"/>
        <v>#N/A</v>
      </c>
      <c r="G122" t="e">
        <f t="shared" si="7"/>
        <v>#N/A</v>
      </c>
    </row>
    <row r="123" spans="1:7" x14ac:dyDescent="0.2">
      <c r="A123">
        <v>2</v>
      </c>
      <c r="B123">
        <v>4</v>
      </c>
      <c r="C123">
        <v>1</v>
      </c>
      <c r="D123" t="e">
        <f t="shared" si="4"/>
        <v>#N/A</v>
      </c>
      <c r="E123" t="e">
        <f t="shared" si="5"/>
        <v>#N/A</v>
      </c>
      <c r="F123">
        <f t="shared" si="6"/>
        <v>2</v>
      </c>
      <c r="G123">
        <f t="shared" si="7"/>
        <v>4</v>
      </c>
    </row>
    <row r="124" spans="1:7" x14ac:dyDescent="0.2">
      <c r="A124">
        <v>2</v>
      </c>
      <c r="B124">
        <v>6</v>
      </c>
      <c r="C124">
        <v>0</v>
      </c>
      <c r="D124">
        <f t="shared" si="4"/>
        <v>2</v>
      </c>
      <c r="E124">
        <f t="shared" si="5"/>
        <v>6</v>
      </c>
      <c r="F124" t="e">
        <f t="shared" si="6"/>
        <v>#N/A</v>
      </c>
      <c r="G124" t="e">
        <f t="shared" si="7"/>
        <v>#N/A</v>
      </c>
    </row>
    <row r="125" spans="1:7" x14ac:dyDescent="0.2">
      <c r="A125">
        <v>2</v>
      </c>
      <c r="B125">
        <v>8</v>
      </c>
      <c r="C125">
        <v>0</v>
      </c>
      <c r="D125">
        <f t="shared" si="4"/>
        <v>2</v>
      </c>
      <c r="E125">
        <f t="shared" si="5"/>
        <v>8</v>
      </c>
      <c r="F125" t="e">
        <f t="shared" si="6"/>
        <v>#N/A</v>
      </c>
      <c r="G125" t="e">
        <f t="shared" si="7"/>
        <v>#N/A</v>
      </c>
    </row>
    <row r="126" spans="1:7" x14ac:dyDescent="0.2">
      <c r="A126">
        <v>3</v>
      </c>
      <c r="B126">
        <v>5</v>
      </c>
      <c r="C126">
        <v>0</v>
      </c>
      <c r="D126">
        <f t="shared" si="4"/>
        <v>3</v>
      </c>
      <c r="E126">
        <f t="shared" si="5"/>
        <v>5</v>
      </c>
      <c r="F126" t="e">
        <f t="shared" si="6"/>
        <v>#N/A</v>
      </c>
      <c r="G126" t="e">
        <f t="shared" si="7"/>
        <v>#N/A</v>
      </c>
    </row>
    <row r="127" spans="1:7" x14ac:dyDescent="0.2">
      <c r="A127">
        <v>0</v>
      </c>
      <c r="B127">
        <v>3</v>
      </c>
      <c r="C127">
        <v>0</v>
      </c>
      <c r="D127">
        <f t="shared" si="4"/>
        <v>0</v>
      </c>
      <c r="E127">
        <f t="shared" si="5"/>
        <v>3</v>
      </c>
      <c r="F127" t="e">
        <f t="shared" si="6"/>
        <v>#N/A</v>
      </c>
      <c r="G127" t="e">
        <f t="shared" si="7"/>
        <v>#N/A</v>
      </c>
    </row>
    <row r="128" spans="1:7" x14ac:dyDescent="0.2">
      <c r="A128">
        <v>4</v>
      </c>
      <c r="B128">
        <v>6</v>
      </c>
      <c r="C128">
        <v>0</v>
      </c>
      <c r="D128">
        <f t="shared" si="4"/>
        <v>4</v>
      </c>
      <c r="E128">
        <f t="shared" si="5"/>
        <v>6</v>
      </c>
      <c r="F128" t="e">
        <f t="shared" si="6"/>
        <v>#N/A</v>
      </c>
      <c r="G128" t="e">
        <f t="shared" si="7"/>
        <v>#N/A</v>
      </c>
    </row>
    <row r="129" spans="1:7" x14ac:dyDescent="0.2">
      <c r="A129">
        <v>1</v>
      </c>
      <c r="B129">
        <v>4</v>
      </c>
      <c r="C129">
        <v>0</v>
      </c>
      <c r="D129">
        <f t="shared" si="4"/>
        <v>1</v>
      </c>
      <c r="E129">
        <f t="shared" si="5"/>
        <v>4</v>
      </c>
      <c r="F129" t="e">
        <f t="shared" si="6"/>
        <v>#N/A</v>
      </c>
      <c r="G129" t="e">
        <f t="shared" si="7"/>
        <v>#N/A</v>
      </c>
    </row>
    <row r="130" spans="1:7" x14ac:dyDescent="0.2">
      <c r="A130">
        <v>3</v>
      </c>
      <c r="B130">
        <v>9</v>
      </c>
      <c r="C130">
        <v>1</v>
      </c>
      <c r="D130" t="e">
        <f t="shared" si="4"/>
        <v>#N/A</v>
      </c>
      <c r="E130" t="e">
        <f t="shared" si="5"/>
        <v>#N/A</v>
      </c>
      <c r="F130">
        <f t="shared" si="6"/>
        <v>3</v>
      </c>
      <c r="G130">
        <f t="shared" si="7"/>
        <v>9</v>
      </c>
    </row>
    <row r="131" spans="1:7" x14ac:dyDescent="0.2">
      <c r="A131">
        <v>3</v>
      </c>
      <c r="B131">
        <v>3</v>
      </c>
      <c r="C131">
        <v>1</v>
      </c>
      <c r="D131" t="e">
        <f t="shared" ref="D131:D194" si="8" xml:space="preserve"> IF($C131=0, $A131, NA())</f>
        <v>#N/A</v>
      </c>
      <c r="E131" t="e">
        <f t="shared" ref="E131:E194" si="9" xml:space="preserve"> IF($C131=0, B131, NA())</f>
        <v>#N/A</v>
      </c>
      <c r="F131">
        <f t="shared" ref="F131:F194" si="10" xml:space="preserve"> IF($C131=1, A131, NA())</f>
        <v>3</v>
      </c>
      <c r="G131">
        <f t="shared" ref="G131:G194" si="11" xml:space="preserve"> IF($C131=1, $B131, NA())</f>
        <v>3</v>
      </c>
    </row>
    <row r="132" spans="1:7" x14ac:dyDescent="0.2">
      <c r="A132">
        <v>2</v>
      </c>
      <c r="B132">
        <v>4</v>
      </c>
      <c r="C132">
        <v>1</v>
      </c>
      <c r="D132" t="e">
        <f t="shared" si="8"/>
        <v>#N/A</v>
      </c>
      <c r="E132" t="e">
        <f t="shared" si="9"/>
        <v>#N/A</v>
      </c>
      <c r="F132">
        <f t="shared" si="10"/>
        <v>2</v>
      </c>
      <c r="G132">
        <f t="shared" si="11"/>
        <v>4</v>
      </c>
    </row>
    <row r="133" spans="1:7" x14ac:dyDescent="0.2">
      <c r="A133">
        <v>1</v>
      </c>
      <c r="B133">
        <v>7</v>
      </c>
      <c r="C133">
        <v>1</v>
      </c>
      <c r="D133" t="e">
        <f t="shared" si="8"/>
        <v>#N/A</v>
      </c>
      <c r="E133" t="e">
        <f t="shared" si="9"/>
        <v>#N/A</v>
      </c>
      <c r="F133">
        <f t="shared" si="10"/>
        <v>1</v>
      </c>
      <c r="G133">
        <f t="shared" si="11"/>
        <v>7</v>
      </c>
    </row>
    <row r="134" spans="1:7" x14ac:dyDescent="0.2">
      <c r="A134">
        <v>2</v>
      </c>
      <c r="B134">
        <v>7</v>
      </c>
      <c r="C134">
        <v>1</v>
      </c>
      <c r="D134" t="e">
        <f t="shared" si="8"/>
        <v>#N/A</v>
      </c>
      <c r="E134" t="e">
        <f t="shared" si="9"/>
        <v>#N/A</v>
      </c>
      <c r="F134">
        <f t="shared" si="10"/>
        <v>2</v>
      </c>
      <c r="G134">
        <f t="shared" si="11"/>
        <v>7</v>
      </c>
    </row>
    <row r="135" spans="1:7" x14ac:dyDescent="0.2">
      <c r="A135">
        <v>1</v>
      </c>
      <c r="B135">
        <v>4</v>
      </c>
      <c r="C135">
        <v>1</v>
      </c>
      <c r="D135" t="e">
        <f t="shared" si="8"/>
        <v>#N/A</v>
      </c>
      <c r="E135" t="e">
        <f t="shared" si="9"/>
        <v>#N/A</v>
      </c>
      <c r="F135">
        <f t="shared" si="10"/>
        <v>1</v>
      </c>
      <c r="G135">
        <f t="shared" si="11"/>
        <v>4</v>
      </c>
    </row>
    <row r="136" spans="1:7" x14ac:dyDescent="0.2">
      <c r="A136">
        <v>1</v>
      </c>
      <c r="B136">
        <v>6</v>
      </c>
      <c r="C136">
        <v>0</v>
      </c>
      <c r="D136">
        <f t="shared" si="8"/>
        <v>1</v>
      </c>
      <c r="E136">
        <f t="shared" si="9"/>
        <v>6</v>
      </c>
      <c r="F136" t="e">
        <f t="shared" si="10"/>
        <v>#N/A</v>
      </c>
      <c r="G136" t="e">
        <f t="shared" si="11"/>
        <v>#N/A</v>
      </c>
    </row>
    <row r="137" spans="1:7" x14ac:dyDescent="0.2">
      <c r="A137">
        <v>1</v>
      </c>
      <c r="B137">
        <v>3</v>
      </c>
      <c r="C137">
        <v>1</v>
      </c>
      <c r="D137" t="e">
        <f t="shared" si="8"/>
        <v>#N/A</v>
      </c>
      <c r="E137" t="e">
        <f t="shared" si="9"/>
        <v>#N/A</v>
      </c>
      <c r="F137">
        <f t="shared" si="10"/>
        <v>1</v>
      </c>
      <c r="G137">
        <f t="shared" si="11"/>
        <v>3</v>
      </c>
    </row>
    <row r="138" spans="1:7" x14ac:dyDescent="0.2">
      <c r="A138">
        <v>2</v>
      </c>
      <c r="B138">
        <v>6</v>
      </c>
      <c r="C138">
        <v>1</v>
      </c>
      <c r="D138" t="e">
        <f t="shared" si="8"/>
        <v>#N/A</v>
      </c>
      <c r="E138" t="e">
        <f t="shared" si="9"/>
        <v>#N/A</v>
      </c>
      <c r="F138">
        <f t="shared" si="10"/>
        <v>2</v>
      </c>
      <c r="G138">
        <f t="shared" si="11"/>
        <v>6</v>
      </c>
    </row>
    <row r="139" spans="1:7" x14ac:dyDescent="0.2">
      <c r="A139">
        <v>1</v>
      </c>
      <c r="B139">
        <v>2</v>
      </c>
      <c r="C139">
        <v>0</v>
      </c>
      <c r="D139">
        <f t="shared" si="8"/>
        <v>1</v>
      </c>
      <c r="E139">
        <f t="shared" si="9"/>
        <v>2</v>
      </c>
      <c r="F139" t="e">
        <f t="shared" si="10"/>
        <v>#N/A</v>
      </c>
      <c r="G139" t="e">
        <f t="shared" si="11"/>
        <v>#N/A</v>
      </c>
    </row>
    <row r="140" spans="1:7" x14ac:dyDescent="0.2">
      <c r="A140">
        <v>3</v>
      </c>
      <c r="B140">
        <v>8</v>
      </c>
      <c r="C140">
        <v>0</v>
      </c>
      <c r="D140">
        <f t="shared" si="8"/>
        <v>3</v>
      </c>
      <c r="E140">
        <f t="shared" si="9"/>
        <v>8</v>
      </c>
      <c r="F140" t="e">
        <f t="shared" si="10"/>
        <v>#N/A</v>
      </c>
      <c r="G140" t="e">
        <f t="shared" si="11"/>
        <v>#N/A</v>
      </c>
    </row>
    <row r="141" spans="1:7" x14ac:dyDescent="0.2">
      <c r="A141">
        <v>1</v>
      </c>
      <c r="B141">
        <v>2</v>
      </c>
      <c r="C141">
        <v>1</v>
      </c>
      <c r="D141" t="e">
        <f t="shared" si="8"/>
        <v>#N/A</v>
      </c>
      <c r="E141" t="e">
        <f t="shared" si="9"/>
        <v>#N/A</v>
      </c>
      <c r="F141">
        <f t="shared" si="10"/>
        <v>1</v>
      </c>
      <c r="G141">
        <f t="shared" si="11"/>
        <v>2</v>
      </c>
    </row>
    <row r="142" spans="1:7" x14ac:dyDescent="0.2">
      <c r="A142">
        <v>3</v>
      </c>
      <c r="B142">
        <v>7</v>
      </c>
      <c r="C142">
        <v>0</v>
      </c>
      <c r="D142">
        <f t="shared" si="8"/>
        <v>3</v>
      </c>
      <c r="E142">
        <f t="shared" si="9"/>
        <v>7</v>
      </c>
      <c r="F142" t="e">
        <f t="shared" si="10"/>
        <v>#N/A</v>
      </c>
      <c r="G142" t="e">
        <f t="shared" si="11"/>
        <v>#N/A</v>
      </c>
    </row>
    <row r="143" spans="1:7" x14ac:dyDescent="0.2">
      <c r="A143">
        <v>3</v>
      </c>
      <c r="B143">
        <v>9</v>
      </c>
      <c r="C143">
        <v>0</v>
      </c>
      <c r="D143">
        <f t="shared" si="8"/>
        <v>3</v>
      </c>
      <c r="E143">
        <f t="shared" si="9"/>
        <v>9</v>
      </c>
      <c r="F143" t="e">
        <f t="shared" si="10"/>
        <v>#N/A</v>
      </c>
      <c r="G143" t="e">
        <f t="shared" si="11"/>
        <v>#N/A</v>
      </c>
    </row>
    <row r="144" spans="1:7" x14ac:dyDescent="0.2">
      <c r="A144">
        <v>2</v>
      </c>
      <c r="B144">
        <v>1</v>
      </c>
      <c r="C144">
        <v>1</v>
      </c>
      <c r="D144" t="e">
        <f t="shared" si="8"/>
        <v>#N/A</v>
      </c>
      <c r="E144" t="e">
        <f t="shared" si="9"/>
        <v>#N/A</v>
      </c>
      <c r="F144">
        <f t="shared" si="10"/>
        <v>2</v>
      </c>
      <c r="G144">
        <f t="shared" si="11"/>
        <v>1</v>
      </c>
    </row>
    <row r="145" spans="1:7" x14ac:dyDescent="0.2">
      <c r="A145">
        <v>2</v>
      </c>
      <c r="B145">
        <v>8</v>
      </c>
      <c r="C145">
        <v>0</v>
      </c>
      <c r="D145">
        <f t="shared" si="8"/>
        <v>2</v>
      </c>
      <c r="E145">
        <f t="shared" si="9"/>
        <v>8</v>
      </c>
      <c r="F145" t="e">
        <f t="shared" si="10"/>
        <v>#N/A</v>
      </c>
      <c r="G145" t="e">
        <f t="shared" si="11"/>
        <v>#N/A</v>
      </c>
    </row>
    <row r="146" spans="1:7" x14ac:dyDescent="0.2">
      <c r="A146">
        <v>2</v>
      </c>
      <c r="B146">
        <v>7</v>
      </c>
      <c r="C146">
        <v>0</v>
      </c>
      <c r="D146">
        <f t="shared" si="8"/>
        <v>2</v>
      </c>
      <c r="E146">
        <f t="shared" si="9"/>
        <v>7</v>
      </c>
      <c r="F146" t="e">
        <f t="shared" si="10"/>
        <v>#N/A</v>
      </c>
      <c r="G146" t="e">
        <f t="shared" si="11"/>
        <v>#N/A</v>
      </c>
    </row>
    <row r="147" spans="1:7" x14ac:dyDescent="0.2">
      <c r="A147">
        <v>2</v>
      </c>
      <c r="B147">
        <v>6</v>
      </c>
      <c r="C147">
        <v>0</v>
      </c>
      <c r="D147">
        <f t="shared" si="8"/>
        <v>2</v>
      </c>
      <c r="E147">
        <f t="shared" si="9"/>
        <v>6</v>
      </c>
      <c r="F147" t="e">
        <f t="shared" si="10"/>
        <v>#N/A</v>
      </c>
      <c r="G147" t="e">
        <f t="shared" si="11"/>
        <v>#N/A</v>
      </c>
    </row>
    <row r="148" spans="1:7" x14ac:dyDescent="0.2">
      <c r="A148">
        <v>2</v>
      </c>
      <c r="B148">
        <v>6</v>
      </c>
      <c r="C148">
        <v>0</v>
      </c>
      <c r="D148">
        <f t="shared" si="8"/>
        <v>2</v>
      </c>
      <c r="E148">
        <f t="shared" si="9"/>
        <v>6</v>
      </c>
      <c r="F148" t="e">
        <f t="shared" si="10"/>
        <v>#N/A</v>
      </c>
      <c r="G148" t="e">
        <f t="shared" si="11"/>
        <v>#N/A</v>
      </c>
    </row>
    <row r="149" spans="1:7" x14ac:dyDescent="0.2">
      <c r="A149">
        <v>1</v>
      </c>
      <c r="B149">
        <v>6</v>
      </c>
      <c r="C149">
        <v>0</v>
      </c>
      <c r="D149">
        <f t="shared" si="8"/>
        <v>1</v>
      </c>
      <c r="E149">
        <f t="shared" si="9"/>
        <v>6</v>
      </c>
      <c r="F149" t="e">
        <f t="shared" si="10"/>
        <v>#N/A</v>
      </c>
      <c r="G149" t="e">
        <f t="shared" si="11"/>
        <v>#N/A</v>
      </c>
    </row>
    <row r="150" spans="1:7" x14ac:dyDescent="0.2">
      <c r="A150">
        <v>3</v>
      </c>
      <c r="B150">
        <v>9</v>
      </c>
      <c r="C150">
        <v>1</v>
      </c>
      <c r="D150" t="e">
        <f t="shared" si="8"/>
        <v>#N/A</v>
      </c>
      <c r="E150" t="e">
        <f t="shared" si="9"/>
        <v>#N/A</v>
      </c>
      <c r="F150">
        <f t="shared" si="10"/>
        <v>3</v>
      </c>
      <c r="G150">
        <f t="shared" si="11"/>
        <v>9</v>
      </c>
    </row>
    <row r="151" spans="1:7" x14ac:dyDescent="0.2">
      <c r="A151">
        <v>2</v>
      </c>
      <c r="B151">
        <v>2</v>
      </c>
      <c r="C151">
        <v>1</v>
      </c>
      <c r="D151" t="e">
        <f t="shared" si="8"/>
        <v>#N/A</v>
      </c>
      <c r="E151" t="e">
        <f t="shared" si="9"/>
        <v>#N/A</v>
      </c>
      <c r="F151">
        <f t="shared" si="10"/>
        <v>2</v>
      </c>
      <c r="G151">
        <f t="shared" si="11"/>
        <v>2</v>
      </c>
    </row>
    <row r="152" spans="1:7" x14ac:dyDescent="0.2">
      <c r="A152">
        <v>3</v>
      </c>
      <c r="B152">
        <v>1</v>
      </c>
      <c r="C152">
        <v>1</v>
      </c>
      <c r="D152" t="e">
        <f t="shared" si="8"/>
        <v>#N/A</v>
      </c>
      <c r="E152" t="e">
        <f t="shared" si="9"/>
        <v>#N/A</v>
      </c>
      <c r="F152">
        <f t="shared" si="10"/>
        <v>3</v>
      </c>
      <c r="G152">
        <f t="shared" si="11"/>
        <v>1</v>
      </c>
    </row>
    <row r="153" spans="1:7" x14ac:dyDescent="0.2">
      <c r="A153">
        <v>3</v>
      </c>
      <c r="B153">
        <v>6</v>
      </c>
      <c r="C153">
        <v>0</v>
      </c>
      <c r="D153">
        <f t="shared" si="8"/>
        <v>3</v>
      </c>
      <c r="E153">
        <f t="shared" si="9"/>
        <v>6</v>
      </c>
      <c r="F153" t="e">
        <f t="shared" si="10"/>
        <v>#N/A</v>
      </c>
      <c r="G153" t="e">
        <f t="shared" si="11"/>
        <v>#N/A</v>
      </c>
    </row>
    <row r="154" spans="1:7" x14ac:dyDescent="0.2">
      <c r="A154">
        <v>3</v>
      </c>
      <c r="B154">
        <v>10</v>
      </c>
      <c r="C154">
        <v>0</v>
      </c>
      <c r="D154">
        <f t="shared" si="8"/>
        <v>3</v>
      </c>
      <c r="E154">
        <f t="shared" si="9"/>
        <v>10</v>
      </c>
      <c r="F154" t="e">
        <f t="shared" si="10"/>
        <v>#N/A</v>
      </c>
      <c r="G154" t="e">
        <f t="shared" si="11"/>
        <v>#N/A</v>
      </c>
    </row>
    <row r="155" spans="1:7" x14ac:dyDescent="0.2">
      <c r="A155">
        <v>0</v>
      </c>
      <c r="B155">
        <v>8</v>
      </c>
      <c r="C155">
        <v>1</v>
      </c>
      <c r="D155" t="e">
        <f t="shared" si="8"/>
        <v>#N/A</v>
      </c>
      <c r="E155" t="e">
        <f t="shared" si="9"/>
        <v>#N/A</v>
      </c>
      <c r="F155">
        <f t="shared" si="10"/>
        <v>0</v>
      </c>
      <c r="G155">
        <f t="shared" si="11"/>
        <v>8</v>
      </c>
    </row>
    <row r="156" spans="1:7" x14ac:dyDescent="0.2">
      <c r="A156">
        <v>1</v>
      </c>
      <c r="B156">
        <v>3</v>
      </c>
      <c r="C156">
        <v>0</v>
      </c>
      <c r="D156">
        <f t="shared" si="8"/>
        <v>1</v>
      </c>
      <c r="E156">
        <f t="shared" si="9"/>
        <v>3</v>
      </c>
      <c r="F156" t="e">
        <f t="shared" si="10"/>
        <v>#N/A</v>
      </c>
      <c r="G156" t="e">
        <f t="shared" si="11"/>
        <v>#N/A</v>
      </c>
    </row>
    <row r="157" spans="1:7" x14ac:dyDescent="0.2">
      <c r="A157">
        <v>3</v>
      </c>
      <c r="B157">
        <v>10</v>
      </c>
      <c r="C157">
        <v>0</v>
      </c>
      <c r="D157">
        <f t="shared" si="8"/>
        <v>3</v>
      </c>
      <c r="E157">
        <f t="shared" si="9"/>
        <v>10</v>
      </c>
      <c r="F157" t="e">
        <f t="shared" si="10"/>
        <v>#N/A</v>
      </c>
      <c r="G157" t="e">
        <f t="shared" si="11"/>
        <v>#N/A</v>
      </c>
    </row>
    <row r="158" spans="1:7" x14ac:dyDescent="0.2">
      <c r="A158">
        <v>0</v>
      </c>
      <c r="B158">
        <v>1</v>
      </c>
      <c r="C158">
        <v>1</v>
      </c>
      <c r="D158" t="e">
        <f t="shared" si="8"/>
        <v>#N/A</v>
      </c>
      <c r="E158" t="e">
        <f t="shared" si="9"/>
        <v>#N/A</v>
      </c>
      <c r="F158">
        <f t="shared" si="10"/>
        <v>0</v>
      </c>
      <c r="G158">
        <f t="shared" si="11"/>
        <v>1</v>
      </c>
    </row>
    <row r="159" spans="1:7" x14ac:dyDescent="0.2">
      <c r="A159">
        <v>3</v>
      </c>
      <c r="B159">
        <v>9</v>
      </c>
      <c r="C159">
        <v>0</v>
      </c>
      <c r="D159">
        <f t="shared" si="8"/>
        <v>3</v>
      </c>
      <c r="E159">
        <f t="shared" si="9"/>
        <v>9</v>
      </c>
      <c r="F159" t="e">
        <f t="shared" si="10"/>
        <v>#N/A</v>
      </c>
      <c r="G159" t="e">
        <f t="shared" si="11"/>
        <v>#N/A</v>
      </c>
    </row>
    <row r="160" spans="1:7" x14ac:dyDescent="0.2">
      <c r="A160">
        <v>1</v>
      </c>
      <c r="B160">
        <v>1</v>
      </c>
      <c r="C160">
        <v>0</v>
      </c>
      <c r="D160">
        <f t="shared" si="8"/>
        <v>1</v>
      </c>
      <c r="E160">
        <f t="shared" si="9"/>
        <v>1</v>
      </c>
      <c r="F160" t="e">
        <f t="shared" si="10"/>
        <v>#N/A</v>
      </c>
      <c r="G160" t="e">
        <f t="shared" si="11"/>
        <v>#N/A</v>
      </c>
    </row>
    <row r="161" spans="1:7" x14ac:dyDescent="0.2">
      <c r="A161">
        <v>0</v>
      </c>
      <c r="B161">
        <v>3</v>
      </c>
      <c r="C161">
        <v>1</v>
      </c>
      <c r="D161" t="e">
        <f t="shared" si="8"/>
        <v>#N/A</v>
      </c>
      <c r="E161" t="e">
        <f t="shared" si="9"/>
        <v>#N/A</v>
      </c>
      <c r="F161">
        <f t="shared" si="10"/>
        <v>0</v>
      </c>
      <c r="G161">
        <f t="shared" si="11"/>
        <v>3</v>
      </c>
    </row>
    <row r="162" spans="1:7" x14ac:dyDescent="0.2">
      <c r="A162">
        <v>0</v>
      </c>
      <c r="B162">
        <v>8</v>
      </c>
      <c r="C162">
        <v>0</v>
      </c>
      <c r="D162">
        <f t="shared" si="8"/>
        <v>0</v>
      </c>
      <c r="E162">
        <f t="shared" si="9"/>
        <v>8</v>
      </c>
      <c r="F162" t="e">
        <f t="shared" si="10"/>
        <v>#N/A</v>
      </c>
      <c r="G162" t="e">
        <f t="shared" si="11"/>
        <v>#N/A</v>
      </c>
    </row>
    <row r="163" spans="1:7" x14ac:dyDescent="0.2">
      <c r="A163">
        <v>1</v>
      </c>
      <c r="B163">
        <v>3</v>
      </c>
      <c r="C163">
        <v>0</v>
      </c>
      <c r="D163">
        <f t="shared" si="8"/>
        <v>1</v>
      </c>
      <c r="E163">
        <f t="shared" si="9"/>
        <v>3</v>
      </c>
      <c r="F163" t="e">
        <f t="shared" si="10"/>
        <v>#N/A</v>
      </c>
      <c r="G163" t="e">
        <f t="shared" si="11"/>
        <v>#N/A</v>
      </c>
    </row>
    <row r="164" spans="1:7" x14ac:dyDescent="0.2">
      <c r="A164">
        <v>1</v>
      </c>
      <c r="B164">
        <v>4</v>
      </c>
      <c r="C164">
        <v>1</v>
      </c>
      <c r="D164" t="e">
        <f t="shared" si="8"/>
        <v>#N/A</v>
      </c>
      <c r="E164" t="e">
        <f t="shared" si="9"/>
        <v>#N/A</v>
      </c>
      <c r="F164">
        <f t="shared" si="10"/>
        <v>1</v>
      </c>
      <c r="G164">
        <f t="shared" si="11"/>
        <v>4</v>
      </c>
    </row>
    <row r="165" spans="1:7" x14ac:dyDescent="0.2">
      <c r="A165">
        <v>1</v>
      </c>
      <c r="B165">
        <v>8</v>
      </c>
      <c r="C165">
        <v>0</v>
      </c>
      <c r="D165">
        <f t="shared" si="8"/>
        <v>1</v>
      </c>
      <c r="E165">
        <f t="shared" si="9"/>
        <v>8</v>
      </c>
      <c r="F165" t="e">
        <f t="shared" si="10"/>
        <v>#N/A</v>
      </c>
      <c r="G165" t="e">
        <f t="shared" si="11"/>
        <v>#N/A</v>
      </c>
    </row>
    <row r="166" spans="1:7" x14ac:dyDescent="0.2">
      <c r="A166">
        <v>4</v>
      </c>
      <c r="B166">
        <v>1</v>
      </c>
      <c r="C166">
        <v>1</v>
      </c>
      <c r="D166" t="e">
        <f t="shared" si="8"/>
        <v>#N/A</v>
      </c>
      <c r="E166" t="e">
        <f t="shared" si="9"/>
        <v>#N/A</v>
      </c>
      <c r="F166">
        <f t="shared" si="10"/>
        <v>4</v>
      </c>
      <c r="G166">
        <f t="shared" si="11"/>
        <v>1</v>
      </c>
    </row>
    <row r="167" spans="1:7" x14ac:dyDescent="0.2">
      <c r="A167">
        <v>3</v>
      </c>
      <c r="B167">
        <v>6</v>
      </c>
      <c r="C167">
        <v>1</v>
      </c>
      <c r="D167" t="e">
        <f t="shared" si="8"/>
        <v>#N/A</v>
      </c>
      <c r="E167" t="e">
        <f t="shared" si="9"/>
        <v>#N/A</v>
      </c>
      <c r="F167">
        <f t="shared" si="10"/>
        <v>3</v>
      </c>
      <c r="G167">
        <f t="shared" si="11"/>
        <v>6</v>
      </c>
    </row>
    <row r="168" spans="1:7" x14ac:dyDescent="0.2">
      <c r="A168">
        <v>2</v>
      </c>
      <c r="B168">
        <v>1</v>
      </c>
      <c r="C168">
        <v>1</v>
      </c>
      <c r="D168" t="e">
        <f t="shared" si="8"/>
        <v>#N/A</v>
      </c>
      <c r="E168" t="e">
        <f t="shared" si="9"/>
        <v>#N/A</v>
      </c>
      <c r="F168">
        <f t="shared" si="10"/>
        <v>2</v>
      </c>
      <c r="G168">
        <f t="shared" si="11"/>
        <v>1</v>
      </c>
    </row>
    <row r="169" spans="1:7" x14ac:dyDescent="0.2">
      <c r="A169">
        <v>4</v>
      </c>
      <c r="B169">
        <v>1</v>
      </c>
      <c r="C169">
        <v>1</v>
      </c>
      <c r="D169" t="e">
        <f t="shared" si="8"/>
        <v>#N/A</v>
      </c>
      <c r="E169" t="e">
        <f t="shared" si="9"/>
        <v>#N/A</v>
      </c>
      <c r="F169">
        <f t="shared" si="10"/>
        <v>4</v>
      </c>
      <c r="G169">
        <f t="shared" si="11"/>
        <v>1</v>
      </c>
    </row>
    <row r="170" spans="1:7" x14ac:dyDescent="0.2">
      <c r="A170">
        <v>2</v>
      </c>
      <c r="B170">
        <v>8</v>
      </c>
      <c r="C170">
        <v>1</v>
      </c>
      <c r="D170" t="e">
        <f t="shared" si="8"/>
        <v>#N/A</v>
      </c>
      <c r="E170" t="e">
        <f t="shared" si="9"/>
        <v>#N/A</v>
      </c>
      <c r="F170">
        <f t="shared" si="10"/>
        <v>2</v>
      </c>
      <c r="G170">
        <f t="shared" si="11"/>
        <v>8</v>
      </c>
    </row>
    <row r="171" spans="1:7" x14ac:dyDescent="0.2">
      <c r="A171">
        <v>0</v>
      </c>
      <c r="B171">
        <v>4</v>
      </c>
      <c r="C171">
        <v>1</v>
      </c>
      <c r="D171" t="e">
        <f t="shared" si="8"/>
        <v>#N/A</v>
      </c>
      <c r="E171" t="e">
        <f t="shared" si="9"/>
        <v>#N/A</v>
      </c>
      <c r="F171">
        <f t="shared" si="10"/>
        <v>0</v>
      </c>
      <c r="G171">
        <f t="shared" si="11"/>
        <v>4</v>
      </c>
    </row>
    <row r="172" spans="1:7" x14ac:dyDescent="0.2">
      <c r="A172">
        <v>1</v>
      </c>
      <c r="B172">
        <v>1</v>
      </c>
      <c r="C172">
        <v>0</v>
      </c>
      <c r="D172">
        <f t="shared" si="8"/>
        <v>1</v>
      </c>
      <c r="E172">
        <f t="shared" si="9"/>
        <v>1</v>
      </c>
      <c r="F172" t="e">
        <f t="shared" si="10"/>
        <v>#N/A</v>
      </c>
      <c r="G172" t="e">
        <f t="shared" si="11"/>
        <v>#N/A</v>
      </c>
    </row>
    <row r="173" spans="1:7" x14ac:dyDescent="0.2">
      <c r="A173">
        <v>5</v>
      </c>
      <c r="B173">
        <v>10</v>
      </c>
      <c r="C173">
        <v>0</v>
      </c>
      <c r="D173">
        <f t="shared" si="8"/>
        <v>5</v>
      </c>
      <c r="E173">
        <f t="shared" si="9"/>
        <v>10</v>
      </c>
      <c r="F173" t="e">
        <f t="shared" si="10"/>
        <v>#N/A</v>
      </c>
      <c r="G173" t="e">
        <f t="shared" si="11"/>
        <v>#N/A</v>
      </c>
    </row>
    <row r="174" spans="1:7" x14ac:dyDescent="0.2">
      <c r="A174">
        <v>1</v>
      </c>
      <c r="B174">
        <v>7</v>
      </c>
      <c r="C174">
        <v>0</v>
      </c>
      <c r="D174">
        <f t="shared" si="8"/>
        <v>1</v>
      </c>
      <c r="E174">
        <f t="shared" si="9"/>
        <v>7</v>
      </c>
      <c r="F174" t="e">
        <f t="shared" si="10"/>
        <v>#N/A</v>
      </c>
      <c r="G174" t="e">
        <f t="shared" si="11"/>
        <v>#N/A</v>
      </c>
    </row>
    <row r="175" spans="1:7" x14ac:dyDescent="0.2">
      <c r="A175">
        <v>5</v>
      </c>
      <c r="B175">
        <v>5</v>
      </c>
      <c r="C175">
        <v>0</v>
      </c>
      <c r="D175">
        <f t="shared" si="8"/>
        <v>5</v>
      </c>
      <c r="E175">
        <f t="shared" si="9"/>
        <v>5</v>
      </c>
      <c r="F175" t="e">
        <f t="shared" si="10"/>
        <v>#N/A</v>
      </c>
      <c r="G175" t="e">
        <f t="shared" si="11"/>
        <v>#N/A</v>
      </c>
    </row>
    <row r="176" spans="1:7" x14ac:dyDescent="0.2">
      <c r="A176">
        <v>0</v>
      </c>
      <c r="B176">
        <v>5</v>
      </c>
      <c r="C176">
        <v>0</v>
      </c>
      <c r="D176">
        <f t="shared" si="8"/>
        <v>0</v>
      </c>
      <c r="E176">
        <f t="shared" si="9"/>
        <v>5</v>
      </c>
      <c r="F176" t="e">
        <f t="shared" si="10"/>
        <v>#N/A</v>
      </c>
      <c r="G176" t="e">
        <f t="shared" si="11"/>
        <v>#N/A</v>
      </c>
    </row>
    <row r="177" spans="1:7" x14ac:dyDescent="0.2">
      <c r="A177">
        <v>2</v>
      </c>
      <c r="B177">
        <v>1</v>
      </c>
      <c r="C177">
        <v>0</v>
      </c>
      <c r="D177">
        <f t="shared" si="8"/>
        <v>2</v>
      </c>
      <c r="E177">
        <f t="shared" si="9"/>
        <v>1</v>
      </c>
      <c r="F177" t="e">
        <f t="shared" si="10"/>
        <v>#N/A</v>
      </c>
      <c r="G177" t="e">
        <f t="shared" si="11"/>
        <v>#N/A</v>
      </c>
    </row>
    <row r="178" spans="1:7" x14ac:dyDescent="0.2">
      <c r="A178">
        <v>0</v>
      </c>
      <c r="B178">
        <v>10</v>
      </c>
      <c r="C178">
        <v>1</v>
      </c>
      <c r="D178" t="e">
        <f t="shared" si="8"/>
        <v>#N/A</v>
      </c>
      <c r="E178" t="e">
        <f t="shared" si="9"/>
        <v>#N/A</v>
      </c>
      <c r="F178">
        <f t="shared" si="10"/>
        <v>0</v>
      </c>
      <c r="G178">
        <f t="shared" si="11"/>
        <v>10</v>
      </c>
    </row>
    <row r="179" spans="1:7" x14ac:dyDescent="0.2">
      <c r="A179">
        <v>1</v>
      </c>
      <c r="B179">
        <v>6</v>
      </c>
      <c r="C179">
        <v>0</v>
      </c>
      <c r="D179">
        <f t="shared" si="8"/>
        <v>1</v>
      </c>
      <c r="E179">
        <f t="shared" si="9"/>
        <v>6</v>
      </c>
      <c r="F179" t="e">
        <f t="shared" si="10"/>
        <v>#N/A</v>
      </c>
      <c r="G179" t="e">
        <f t="shared" si="11"/>
        <v>#N/A</v>
      </c>
    </row>
    <row r="180" spans="1:7" x14ac:dyDescent="0.2">
      <c r="A180">
        <v>4</v>
      </c>
      <c r="B180">
        <v>9</v>
      </c>
      <c r="C180">
        <v>0</v>
      </c>
      <c r="D180">
        <f t="shared" si="8"/>
        <v>4</v>
      </c>
      <c r="E180">
        <f t="shared" si="9"/>
        <v>9</v>
      </c>
      <c r="F180" t="e">
        <f t="shared" si="10"/>
        <v>#N/A</v>
      </c>
      <c r="G180" t="e">
        <f t="shared" si="11"/>
        <v>#N/A</v>
      </c>
    </row>
    <row r="181" spans="1:7" x14ac:dyDescent="0.2">
      <c r="A181">
        <v>0</v>
      </c>
      <c r="B181">
        <v>9</v>
      </c>
      <c r="C181">
        <v>0</v>
      </c>
      <c r="D181">
        <f t="shared" si="8"/>
        <v>0</v>
      </c>
      <c r="E181">
        <f t="shared" si="9"/>
        <v>9</v>
      </c>
      <c r="F181" t="e">
        <f t="shared" si="10"/>
        <v>#N/A</v>
      </c>
      <c r="G181" t="e">
        <f t="shared" si="11"/>
        <v>#N/A</v>
      </c>
    </row>
    <row r="182" spans="1:7" x14ac:dyDescent="0.2">
      <c r="A182">
        <v>0</v>
      </c>
      <c r="B182">
        <v>8</v>
      </c>
      <c r="C182">
        <v>0</v>
      </c>
      <c r="D182">
        <f t="shared" si="8"/>
        <v>0</v>
      </c>
      <c r="E182">
        <f t="shared" si="9"/>
        <v>8</v>
      </c>
      <c r="F182" t="e">
        <f t="shared" si="10"/>
        <v>#N/A</v>
      </c>
      <c r="G182" t="e">
        <f t="shared" si="11"/>
        <v>#N/A</v>
      </c>
    </row>
    <row r="183" spans="1:7" x14ac:dyDescent="0.2">
      <c r="A183">
        <v>2</v>
      </c>
      <c r="B183">
        <v>5</v>
      </c>
      <c r="C183">
        <v>0</v>
      </c>
      <c r="D183">
        <f t="shared" si="8"/>
        <v>2</v>
      </c>
      <c r="E183">
        <f t="shared" si="9"/>
        <v>5</v>
      </c>
      <c r="F183" t="e">
        <f t="shared" si="10"/>
        <v>#N/A</v>
      </c>
      <c r="G183" t="e">
        <f t="shared" si="11"/>
        <v>#N/A</v>
      </c>
    </row>
    <row r="184" spans="1:7" x14ac:dyDescent="0.2">
      <c r="A184">
        <v>1</v>
      </c>
      <c r="B184">
        <v>1</v>
      </c>
      <c r="C184">
        <v>1</v>
      </c>
      <c r="D184" t="e">
        <f t="shared" si="8"/>
        <v>#N/A</v>
      </c>
      <c r="E184" t="e">
        <f t="shared" si="9"/>
        <v>#N/A</v>
      </c>
      <c r="F184">
        <f t="shared" si="10"/>
        <v>1</v>
      </c>
      <c r="G184">
        <f t="shared" si="11"/>
        <v>1</v>
      </c>
    </row>
    <row r="185" spans="1:7" x14ac:dyDescent="0.2">
      <c r="A185">
        <v>1</v>
      </c>
      <c r="B185">
        <v>9</v>
      </c>
      <c r="C185">
        <v>1</v>
      </c>
      <c r="D185" t="e">
        <f t="shared" si="8"/>
        <v>#N/A</v>
      </c>
      <c r="E185" t="e">
        <f t="shared" si="9"/>
        <v>#N/A</v>
      </c>
      <c r="F185">
        <f t="shared" si="10"/>
        <v>1</v>
      </c>
      <c r="G185">
        <f t="shared" si="11"/>
        <v>9</v>
      </c>
    </row>
    <row r="186" spans="1:7" x14ac:dyDescent="0.2">
      <c r="A186">
        <v>3</v>
      </c>
      <c r="B186">
        <v>1</v>
      </c>
      <c r="C186">
        <v>1</v>
      </c>
      <c r="D186" t="e">
        <f t="shared" si="8"/>
        <v>#N/A</v>
      </c>
      <c r="E186" t="e">
        <f t="shared" si="9"/>
        <v>#N/A</v>
      </c>
      <c r="F186">
        <f t="shared" si="10"/>
        <v>3</v>
      </c>
      <c r="G186">
        <f t="shared" si="11"/>
        <v>1</v>
      </c>
    </row>
    <row r="187" spans="1:7" x14ac:dyDescent="0.2">
      <c r="A187">
        <v>1</v>
      </c>
      <c r="B187">
        <v>8</v>
      </c>
      <c r="C187">
        <v>1</v>
      </c>
      <c r="D187" t="e">
        <f t="shared" si="8"/>
        <v>#N/A</v>
      </c>
      <c r="E187" t="e">
        <f t="shared" si="9"/>
        <v>#N/A</v>
      </c>
      <c r="F187">
        <f t="shared" si="10"/>
        <v>1</v>
      </c>
      <c r="G187">
        <f t="shared" si="11"/>
        <v>8</v>
      </c>
    </row>
    <row r="188" spans="1:7" x14ac:dyDescent="0.2">
      <c r="A188">
        <v>2</v>
      </c>
      <c r="B188">
        <v>5</v>
      </c>
      <c r="C188">
        <v>0</v>
      </c>
      <c r="D188">
        <f t="shared" si="8"/>
        <v>2</v>
      </c>
      <c r="E188">
        <f t="shared" si="9"/>
        <v>5</v>
      </c>
      <c r="F188" t="e">
        <f t="shared" si="10"/>
        <v>#N/A</v>
      </c>
      <c r="G188" t="e">
        <f t="shared" si="11"/>
        <v>#N/A</v>
      </c>
    </row>
    <row r="189" spans="1:7" x14ac:dyDescent="0.2">
      <c r="A189">
        <v>3</v>
      </c>
      <c r="B189">
        <v>3</v>
      </c>
      <c r="C189">
        <v>0</v>
      </c>
      <c r="D189">
        <f t="shared" si="8"/>
        <v>3</v>
      </c>
      <c r="E189">
        <f t="shared" si="9"/>
        <v>3</v>
      </c>
      <c r="F189" t="e">
        <f t="shared" si="10"/>
        <v>#N/A</v>
      </c>
      <c r="G189" t="e">
        <f t="shared" si="11"/>
        <v>#N/A</v>
      </c>
    </row>
    <row r="190" spans="1:7" x14ac:dyDescent="0.2">
      <c r="A190">
        <v>1</v>
      </c>
      <c r="B190">
        <v>7</v>
      </c>
      <c r="C190">
        <v>1</v>
      </c>
      <c r="D190" t="e">
        <f t="shared" si="8"/>
        <v>#N/A</v>
      </c>
      <c r="E190" t="e">
        <f t="shared" si="9"/>
        <v>#N/A</v>
      </c>
      <c r="F190">
        <f t="shared" si="10"/>
        <v>1</v>
      </c>
      <c r="G190">
        <f t="shared" si="11"/>
        <v>7</v>
      </c>
    </row>
    <row r="191" spans="1:7" x14ac:dyDescent="0.2">
      <c r="A191">
        <v>1</v>
      </c>
      <c r="B191">
        <v>7</v>
      </c>
      <c r="C191">
        <v>0</v>
      </c>
      <c r="D191">
        <f t="shared" si="8"/>
        <v>1</v>
      </c>
      <c r="E191">
        <f t="shared" si="9"/>
        <v>7</v>
      </c>
      <c r="F191" t="e">
        <f t="shared" si="10"/>
        <v>#N/A</v>
      </c>
      <c r="G191" t="e">
        <f t="shared" si="11"/>
        <v>#N/A</v>
      </c>
    </row>
    <row r="192" spans="1:7" x14ac:dyDescent="0.2">
      <c r="A192">
        <v>4</v>
      </c>
      <c r="B192">
        <v>9</v>
      </c>
      <c r="C192">
        <v>0</v>
      </c>
      <c r="D192">
        <f t="shared" si="8"/>
        <v>4</v>
      </c>
      <c r="E192">
        <f t="shared" si="9"/>
        <v>9</v>
      </c>
      <c r="F192" t="e">
        <f t="shared" si="10"/>
        <v>#N/A</v>
      </c>
      <c r="G192" t="e">
        <f t="shared" si="11"/>
        <v>#N/A</v>
      </c>
    </row>
    <row r="193" spans="1:7" x14ac:dyDescent="0.2">
      <c r="A193">
        <v>2</v>
      </c>
      <c r="B193">
        <v>7</v>
      </c>
      <c r="C193">
        <v>0</v>
      </c>
      <c r="D193">
        <f t="shared" si="8"/>
        <v>2</v>
      </c>
      <c r="E193">
        <f t="shared" si="9"/>
        <v>7</v>
      </c>
      <c r="F193" t="e">
        <f t="shared" si="10"/>
        <v>#N/A</v>
      </c>
      <c r="G193" t="e">
        <f t="shared" si="11"/>
        <v>#N/A</v>
      </c>
    </row>
    <row r="194" spans="1:7" x14ac:dyDescent="0.2">
      <c r="A194">
        <v>1</v>
      </c>
      <c r="B194">
        <v>3</v>
      </c>
      <c r="C194">
        <v>0</v>
      </c>
      <c r="D194">
        <f t="shared" si="8"/>
        <v>1</v>
      </c>
      <c r="E194">
        <f t="shared" si="9"/>
        <v>3</v>
      </c>
      <c r="F194" t="e">
        <f t="shared" si="10"/>
        <v>#N/A</v>
      </c>
      <c r="G194" t="e">
        <f t="shared" si="11"/>
        <v>#N/A</v>
      </c>
    </row>
    <row r="195" spans="1:7" x14ac:dyDescent="0.2">
      <c r="A195">
        <v>2</v>
      </c>
      <c r="B195">
        <v>1</v>
      </c>
      <c r="C195">
        <v>1</v>
      </c>
      <c r="D195" t="e">
        <f t="shared" ref="D195:D251" si="12" xml:space="preserve"> IF($C195=0, $A195, NA())</f>
        <v>#N/A</v>
      </c>
      <c r="E195" t="e">
        <f t="shared" ref="E195:E251" si="13" xml:space="preserve"> IF($C195=0, B195, NA())</f>
        <v>#N/A</v>
      </c>
      <c r="F195">
        <f t="shared" ref="F195:F251" si="14" xml:space="preserve"> IF($C195=1, A195, NA())</f>
        <v>2</v>
      </c>
      <c r="G195">
        <f t="shared" ref="G195:G251" si="15" xml:space="preserve"> IF($C195=1, $B195, NA())</f>
        <v>1</v>
      </c>
    </row>
    <row r="196" spans="1:7" x14ac:dyDescent="0.2">
      <c r="A196">
        <v>3</v>
      </c>
      <c r="B196">
        <v>8</v>
      </c>
      <c r="C196">
        <v>0</v>
      </c>
      <c r="D196">
        <f t="shared" si="12"/>
        <v>3</v>
      </c>
      <c r="E196">
        <f t="shared" si="13"/>
        <v>8</v>
      </c>
      <c r="F196" t="e">
        <f t="shared" si="14"/>
        <v>#N/A</v>
      </c>
      <c r="G196" t="e">
        <f t="shared" si="15"/>
        <v>#N/A</v>
      </c>
    </row>
    <row r="197" spans="1:7" x14ac:dyDescent="0.2">
      <c r="A197">
        <v>1</v>
      </c>
      <c r="B197">
        <v>3</v>
      </c>
      <c r="C197">
        <v>0</v>
      </c>
      <c r="D197">
        <f t="shared" si="12"/>
        <v>1</v>
      </c>
      <c r="E197">
        <f t="shared" si="13"/>
        <v>3</v>
      </c>
      <c r="F197" t="e">
        <f t="shared" si="14"/>
        <v>#N/A</v>
      </c>
      <c r="G197" t="e">
        <f t="shared" si="15"/>
        <v>#N/A</v>
      </c>
    </row>
    <row r="198" spans="1:7" x14ac:dyDescent="0.2">
      <c r="A198">
        <v>3</v>
      </c>
      <c r="B198">
        <v>8</v>
      </c>
      <c r="C198">
        <v>1</v>
      </c>
      <c r="D198" t="e">
        <f t="shared" si="12"/>
        <v>#N/A</v>
      </c>
      <c r="E198" t="e">
        <f t="shared" si="13"/>
        <v>#N/A</v>
      </c>
      <c r="F198">
        <f t="shared" si="14"/>
        <v>3</v>
      </c>
      <c r="G198">
        <f t="shared" si="15"/>
        <v>8</v>
      </c>
    </row>
    <row r="199" spans="1:7" x14ac:dyDescent="0.2">
      <c r="A199">
        <v>0</v>
      </c>
      <c r="B199">
        <v>8</v>
      </c>
      <c r="C199">
        <v>0</v>
      </c>
      <c r="D199">
        <f t="shared" si="12"/>
        <v>0</v>
      </c>
      <c r="E199">
        <f t="shared" si="13"/>
        <v>8</v>
      </c>
      <c r="F199" t="e">
        <f t="shared" si="14"/>
        <v>#N/A</v>
      </c>
      <c r="G199" t="e">
        <f t="shared" si="15"/>
        <v>#N/A</v>
      </c>
    </row>
    <row r="200" spans="1:7" x14ac:dyDescent="0.2">
      <c r="A200">
        <v>0</v>
      </c>
      <c r="B200">
        <v>5</v>
      </c>
      <c r="C200">
        <v>0</v>
      </c>
      <c r="D200">
        <f t="shared" si="12"/>
        <v>0</v>
      </c>
      <c r="E200">
        <f t="shared" si="13"/>
        <v>5</v>
      </c>
      <c r="F200" t="e">
        <f t="shared" si="14"/>
        <v>#N/A</v>
      </c>
      <c r="G200" t="e">
        <f t="shared" si="15"/>
        <v>#N/A</v>
      </c>
    </row>
    <row r="201" spans="1:7" x14ac:dyDescent="0.2">
      <c r="A201">
        <v>1</v>
      </c>
      <c r="B201">
        <v>1</v>
      </c>
      <c r="C201">
        <v>1</v>
      </c>
      <c r="D201" t="e">
        <f t="shared" si="12"/>
        <v>#N/A</v>
      </c>
      <c r="E201" t="e">
        <f t="shared" si="13"/>
        <v>#N/A</v>
      </c>
      <c r="F201">
        <f t="shared" si="14"/>
        <v>1</v>
      </c>
      <c r="G201">
        <f t="shared" si="15"/>
        <v>1</v>
      </c>
    </row>
    <row r="202" spans="1:7" x14ac:dyDescent="0.2">
      <c r="A202">
        <v>2</v>
      </c>
      <c r="B202">
        <v>10</v>
      </c>
      <c r="C202">
        <v>0</v>
      </c>
      <c r="D202">
        <f t="shared" si="12"/>
        <v>2</v>
      </c>
      <c r="E202">
        <f t="shared" si="13"/>
        <v>10</v>
      </c>
      <c r="F202" t="e">
        <f t="shared" si="14"/>
        <v>#N/A</v>
      </c>
      <c r="G202" t="e">
        <f t="shared" si="15"/>
        <v>#N/A</v>
      </c>
    </row>
    <row r="203" spans="1:7" x14ac:dyDescent="0.2">
      <c r="A203">
        <v>1</v>
      </c>
      <c r="B203">
        <v>7</v>
      </c>
      <c r="C203">
        <v>0</v>
      </c>
      <c r="D203">
        <f t="shared" si="12"/>
        <v>1</v>
      </c>
      <c r="E203">
        <f t="shared" si="13"/>
        <v>7</v>
      </c>
      <c r="F203" t="e">
        <f t="shared" si="14"/>
        <v>#N/A</v>
      </c>
      <c r="G203" t="e">
        <f t="shared" si="15"/>
        <v>#N/A</v>
      </c>
    </row>
    <row r="204" spans="1:7" x14ac:dyDescent="0.2">
      <c r="A204">
        <v>3</v>
      </c>
      <c r="B204">
        <v>10</v>
      </c>
      <c r="C204">
        <v>1</v>
      </c>
      <c r="D204" t="e">
        <f t="shared" si="12"/>
        <v>#N/A</v>
      </c>
      <c r="E204" t="e">
        <f t="shared" si="13"/>
        <v>#N/A</v>
      </c>
      <c r="F204">
        <f t="shared" si="14"/>
        <v>3</v>
      </c>
      <c r="G204">
        <f t="shared" si="15"/>
        <v>10</v>
      </c>
    </row>
    <row r="205" spans="1:7" x14ac:dyDescent="0.2">
      <c r="A205">
        <v>4</v>
      </c>
      <c r="B205">
        <v>5</v>
      </c>
      <c r="C205">
        <v>0</v>
      </c>
      <c r="D205">
        <f t="shared" si="12"/>
        <v>4</v>
      </c>
      <c r="E205">
        <f t="shared" si="13"/>
        <v>5</v>
      </c>
      <c r="F205" t="e">
        <f t="shared" si="14"/>
        <v>#N/A</v>
      </c>
      <c r="G205" t="e">
        <f t="shared" si="15"/>
        <v>#N/A</v>
      </c>
    </row>
    <row r="206" spans="1:7" x14ac:dyDescent="0.2">
      <c r="A206">
        <v>0</v>
      </c>
      <c r="B206">
        <v>8</v>
      </c>
      <c r="C206">
        <v>0</v>
      </c>
      <c r="D206">
        <f t="shared" si="12"/>
        <v>0</v>
      </c>
      <c r="E206">
        <f t="shared" si="13"/>
        <v>8</v>
      </c>
      <c r="F206" t="e">
        <f t="shared" si="14"/>
        <v>#N/A</v>
      </c>
      <c r="G206" t="e">
        <f t="shared" si="15"/>
        <v>#N/A</v>
      </c>
    </row>
    <row r="207" spans="1:7" x14ac:dyDescent="0.2">
      <c r="A207">
        <v>3</v>
      </c>
      <c r="B207">
        <v>9</v>
      </c>
      <c r="C207">
        <v>0</v>
      </c>
      <c r="D207">
        <f t="shared" si="12"/>
        <v>3</v>
      </c>
      <c r="E207">
        <f t="shared" si="13"/>
        <v>9</v>
      </c>
      <c r="F207" t="e">
        <f t="shared" si="14"/>
        <v>#N/A</v>
      </c>
      <c r="G207" t="e">
        <f t="shared" si="15"/>
        <v>#N/A</v>
      </c>
    </row>
    <row r="208" spans="1:7" x14ac:dyDescent="0.2">
      <c r="A208">
        <v>2</v>
      </c>
      <c r="B208">
        <v>7</v>
      </c>
      <c r="C208">
        <v>1</v>
      </c>
      <c r="D208" t="e">
        <f t="shared" si="12"/>
        <v>#N/A</v>
      </c>
      <c r="E208" t="e">
        <f t="shared" si="13"/>
        <v>#N/A</v>
      </c>
      <c r="F208">
        <f t="shared" si="14"/>
        <v>2</v>
      </c>
      <c r="G208">
        <f t="shared" si="15"/>
        <v>7</v>
      </c>
    </row>
    <row r="209" spans="1:7" x14ac:dyDescent="0.2">
      <c r="A209">
        <v>3</v>
      </c>
      <c r="B209">
        <v>7</v>
      </c>
      <c r="C209">
        <v>1</v>
      </c>
      <c r="D209" t="e">
        <f t="shared" si="12"/>
        <v>#N/A</v>
      </c>
      <c r="E209" t="e">
        <f t="shared" si="13"/>
        <v>#N/A</v>
      </c>
      <c r="F209">
        <f t="shared" si="14"/>
        <v>3</v>
      </c>
      <c r="G209">
        <f t="shared" si="15"/>
        <v>7</v>
      </c>
    </row>
    <row r="210" spans="1:7" x14ac:dyDescent="0.2">
      <c r="A210">
        <v>1</v>
      </c>
      <c r="B210">
        <v>1</v>
      </c>
      <c r="C210">
        <v>1</v>
      </c>
      <c r="D210" t="e">
        <f t="shared" si="12"/>
        <v>#N/A</v>
      </c>
      <c r="E210" t="e">
        <f t="shared" si="13"/>
        <v>#N/A</v>
      </c>
      <c r="F210">
        <f t="shared" si="14"/>
        <v>1</v>
      </c>
      <c r="G210">
        <f t="shared" si="15"/>
        <v>1</v>
      </c>
    </row>
    <row r="211" spans="1:7" x14ac:dyDescent="0.2">
      <c r="A211">
        <v>3</v>
      </c>
      <c r="B211">
        <v>4</v>
      </c>
      <c r="C211">
        <v>0</v>
      </c>
      <c r="D211">
        <f t="shared" si="12"/>
        <v>3</v>
      </c>
      <c r="E211">
        <f t="shared" si="13"/>
        <v>4</v>
      </c>
      <c r="F211" t="e">
        <f t="shared" si="14"/>
        <v>#N/A</v>
      </c>
      <c r="G211" t="e">
        <f t="shared" si="15"/>
        <v>#N/A</v>
      </c>
    </row>
    <row r="212" spans="1:7" x14ac:dyDescent="0.2">
      <c r="A212">
        <v>2</v>
      </c>
      <c r="B212">
        <v>2</v>
      </c>
      <c r="C212">
        <v>1</v>
      </c>
      <c r="D212" t="e">
        <f t="shared" si="12"/>
        <v>#N/A</v>
      </c>
      <c r="E212" t="e">
        <f t="shared" si="13"/>
        <v>#N/A</v>
      </c>
      <c r="F212">
        <f t="shared" si="14"/>
        <v>2</v>
      </c>
      <c r="G212">
        <f t="shared" si="15"/>
        <v>2</v>
      </c>
    </row>
    <row r="213" spans="1:7" x14ac:dyDescent="0.2">
      <c r="A213">
        <v>0</v>
      </c>
      <c r="B213">
        <v>2</v>
      </c>
      <c r="C213">
        <v>1</v>
      </c>
      <c r="D213" t="e">
        <f t="shared" si="12"/>
        <v>#N/A</v>
      </c>
      <c r="E213" t="e">
        <f t="shared" si="13"/>
        <v>#N/A</v>
      </c>
      <c r="F213">
        <f t="shared" si="14"/>
        <v>0</v>
      </c>
      <c r="G213">
        <f t="shared" si="15"/>
        <v>2</v>
      </c>
    </row>
    <row r="214" spans="1:7" x14ac:dyDescent="0.2">
      <c r="A214">
        <v>3</v>
      </c>
      <c r="B214">
        <v>2</v>
      </c>
      <c r="C214">
        <v>1</v>
      </c>
      <c r="D214" t="e">
        <f t="shared" si="12"/>
        <v>#N/A</v>
      </c>
      <c r="E214" t="e">
        <f t="shared" si="13"/>
        <v>#N/A</v>
      </c>
      <c r="F214">
        <f t="shared" si="14"/>
        <v>3</v>
      </c>
      <c r="G214">
        <f t="shared" si="15"/>
        <v>2</v>
      </c>
    </row>
    <row r="215" spans="1:7" x14ac:dyDescent="0.2">
      <c r="A215">
        <v>0</v>
      </c>
      <c r="B215">
        <v>4</v>
      </c>
      <c r="C215">
        <v>1</v>
      </c>
      <c r="D215" t="e">
        <f t="shared" si="12"/>
        <v>#N/A</v>
      </c>
      <c r="E215" t="e">
        <f t="shared" si="13"/>
        <v>#N/A</v>
      </c>
      <c r="F215">
        <f t="shared" si="14"/>
        <v>0</v>
      </c>
      <c r="G215">
        <f t="shared" si="15"/>
        <v>4</v>
      </c>
    </row>
    <row r="216" spans="1:7" x14ac:dyDescent="0.2">
      <c r="A216">
        <v>2</v>
      </c>
      <c r="B216">
        <v>1</v>
      </c>
      <c r="C216">
        <v>0</v>
      </c>
      <c r="D216">
        <f t="shared" si="12"/>
        <v>2</v>
      </c>
      <c r="E216">
        <f t="shared" si="13"/>
        <v>1</v>
      </c>
      <c r="F216" t="e">
        <f t="shared" si="14"/>
        <v>#N/A</v>
      </c>
      <c r="G216" t="e">
        <f t="shared" si="15"/>
        <v>#N/A</v>
      </c>
    </row>
    <row r="217" spans="1:7" x14ac:dyDescent="0.2">
      <c r="A217">
        <v>5</v>
      </c>
      <c r="B217">
        <v>4</v>
      </c>
      <c r="C217">
        <v>0</v>
      </c>
      <c r="D217">
        <f t="shared" si="12"/>
        <v>5</v>
      </c>
      <c r="E217">
        <f t="shared" si="13"/>
        <v>4</v>
      </c>
      <c r="F217" t="e">
        <f t="shared" si="14"/>
        <v>#N/A</v>
      </c>
      <c r="G217" t="e">
        <f t="shared" si="15"/>
        <v>#N/A</v>
      </c>
    </row>
    <row r="218" spans="1:7" x14ac:dyDescent="0.2">
      <c r="A218">
        <v>2</v>
      </c>
      <c r="B218">
        <v>2</v>
      </c>
      <c r="C218">
        <v>1</v>
      </c>
      <c r="D218" t="e">
        <f t="shared" si="12"/>
        <v>#N/A</v>
      </c>
      <c r="E218" t="e">
        <f t="shared" si="13"/>
        <v>#N/A</v>
      </c>
      <c r="F218">
        <f t="shared" si="14"/>
        <v>2</v>
      </c>
      <c r="G218">
        <f t="shared" si="15"/>
        <v>2</v>
      </c>
    </row>
    <row r="219" spans="1:7" x14ac:dyDescent="0.2">
      <c r="A219">
        <v>1</v>
      </c>
      <c r="B219">
        <v>5</v>
      </c>
      <c r="C219">
        <v>0</v>
      </c>
      <c r="D219">
        <f t="shared" si="12"/>
        <v>1</v>
      </c>
      <c r="E219">
        <f t="shared" si="13"/>
        <v>5</v>
      </c>
      <c r="F219" t="e">
        <f t="shared" si="14"/>
        <v>#N/A</v>
      </c>
      <c r="G219" t="e">
        <f t="shared" si="15"/>
        <v>#N/A</v>
      </c>
    </row>
    <row r="220" spans="1:7" x14ac:dyDescent="0.2">
      <c r="A220">
        <v>3</v>
      </c>
      <c r="B220">
        <v>3</v>
      </c>
      <c r="C220">
        <v>1</v>
      </c>
      <c r="D220" t="e">
        <f t="shared" si="12"/>
        <v>#N/A</v>
      </c>
      <c r="E220" t="e">
        <f t="shared" si="13"/>
        <v>#N/A</v>
      </c>
      <c r="F220">
        <f t="shared" si="14"/>
        <v>3</v>
      </c>
      <c r="G220">
        <f t="shared" si="15"/>
        <v>3</v>
      </c>
    </row>
    <row r="221" spans="1:7" x14ac:dyDescent="0.2">
      <c r="A221">
        <v>2</v>
      </c>
      <c r="B221">
        <v>8</v>
      </c>
      <c r="C221">
        <v>0</v>
      </c>
      <c r="D221">
        <f t="shared" si="12"/>
        <v>2</v>
      </c>
      <c r="E221">
        <f t="shared" si="13"/>
        <v>8</v>
      </c>
      <c r="F221" t="e">
        <f t="shared" si="14"/>
        <v>#N/A</v>
      </c>
      <c r="G221" t="e">
        <f t="shared" si="15"/>
        <v>#N/A</v>
      </c>
    </row>
    <row r="222" spans="1:7" x14ac:dyDescent="0.2">
      <c r="A222">
        <v>1</v>
      </c>
      <c r="B222">
        <v>4</v>
      </c>
      <c r="C222">
        <v>0</v>
      </c>
      <c r="D222">
        <f t="shared" si="12"/>
        <v>1</v>
      </c>
      <c r="E222">
        <f t="shared" si="13"/>
        <v>4</v>
      </c>
      <c r="F222" t="e">
        <f t="shared" si="14"/>
        <v>#N/A</v>
      </c>
      <c r="G222" t="e">
        <f t="shared" si="15"/>
        <v>#N/A</v>
      </c>
    </row>
    <row r="223" spans="1:7" x14ac:dyDescent="0.2">
      <c r="A223">
        <v>0</v>
      </c>
      <c r="B223">
        <v>1</v>
      </c>
      <c r="C223">
        <v>1</v>
      </c>
      <c r="D223" t="e">
        <f t="shared" si="12"/>
        <v>#N/A</v>
      </c>
      <c r="E223" t="e">
        <f t="shared" si="13"/>
        <v>#N/A</v>
      </c>
      <c r="F223">
        <f t="shared" si="14"/>
        <v>0</v>
      </c>
      <c r="G223">
        <f t="shared" si="15"/>
        <v>1</v>
      </c>
    </row>
    <row r="224" spans="1:7" x14ac:dyDescent="0.2">
      <c r="A224">
        <v>3</v>
      </c>
      <c r="B224">
        <v>1</v>
      </c>
      <c r="C224">
        <v>1</v>
      </c>
      <c r="D224" t="e">
        <f t="shared" si="12"/>
        <v>#N/A</v>
      </c>
      <c r="E224" t="e">
        <f t="shared" si="13"/>
        <v>#N/A</v>
      </c>
      <c r="F224">
        <f t="shared" si="14"/>
        <v>3</v>
      </c>
      <c r="G224">
        <f t="shared" si="15"/>
        <v>1</v>
      </c>
    </row>
    <row r="225" spans="1:7" x14ac:dyDescent="0.2">
      <c r="A225">
        <v>0</v>
      </c>
      <c r="B225">
        <v>10</v>
      </c>
      <c r="C225">
        <v>1</v>
      </c>
      <c r="D225" t="e">
        <f t="shared" si="12"/>
        <v>#N/A</v>
      </c>
      <c r="E225" t="e">
        <f t="shared" si="13"/>
        <v>#N/A</v>
      </c>
      <c r="F225">
        <f t="shared" si="14"/>
        <v>0</v>
      </c>
      <c r="G225">
        <f t="shared" si="15"/>
        <v>10</v>
      </c>
    </row>
    <row r="226" spans="1:7" x14ac:dyDescent="0.2">
      <c r="A226">
        <v>1</v>
      </c>
      <c r="B226">
        <v>3</v>
      </c>
      <c r="C226">
        <v>0</v>
      </c>
      <c r="D226">
        <f t="shared" si="12"/>
        <v>1</v>
      </c>
      <c r="E226">
        <f t="shared" si="13"/>
        <v>3</v>
      </c>
      <c r="F226" t="e">
        <f t="shared" si="14"/>
        <v>#N/A</v>
      </c>
      <c r="G226" t="e">
        <f t="shared" si="15"/>
        <v>#N/A</v>
      </c>
    </row>
    <row r="227" spans="1:7" x14ac:dyDescent="0.2">
      <c r="A227">
        <v>4</v>
      </c>
      <c r="B227">
        <v>9</v>
      </c>
      <c r="C227">
        <v>0</v>
      </c>
      <c r="D227">
        <f t="shared" si="12"/>
        <v>4</v>
      </c>
      <c r="E227">
        <f t="shared" si="13"/>
        <v>9</v>
      </c>
      <c r="F227" t="e">
        <f t="shared" si="14"/>
        <v>#N/A</v>
      </c>
      <c r="G227" t="e">
        <f t="shared" si="15"/>
        <v>#N/A</v>
      </c>
    </row>
    <row r="228" spans="1:7" x14ac:dyDescent="0.2">
      <c r="A228">
        <v>0</v>
      </c>
      <c r="B228">
        <v>7</v>
      </c>
      <c r="C228">
        <v>1</v>
      </c>
      <c r="D228" t="e">
        <f t="shared" si="12"/>
        <v>#N/A</v>
      </c>
      <c r="E228" t="e">
        <f t="shared" si="13"/>
        <v>#N/A</v>
      </c>
      <c r="F228">
        <f t="shared" si="14"/>
        <v>0</v>
      </c>
      <c r="G228">
        <f t="shared" si="15"/>
        <v>7</v>
      </c>
    </row>
    <row r="229" spans="1:7" x14ac:dyDescent="0.2">
      <c r="A229">
        <v>0</v>
      </c>
      <c r="B229">
        <v>2</v>
      </c>
      <c r="C229">
        <v>0</v>
      </c>
      <c r="D229">
        <f t="shared" si="12"/>
        <v>0</v>
      </c>
      <c r="E229">
        <f t="shared" si="13"/>
        <v>2</v>
      </c>
      <c r="F229" t="e">
        <f t="shared" si="14"/>
        <v>#N/A</v>
      </c>
      <c r="G229" t="e">
        <f t="shared" si="15"/>
        <v>#N/A</v>
      </c>
    </row>
    <row r="230" spans="1:7" x14ac:dyDescent="0.2">
      <c r="A230">
        <v>1</v>
      </c>
      <c r="B230">
        <v>9</v>
      </c>
      <c r="C230">
        <v>1</v>
      </c>
      <c r="D230" t="e">
        <f t="shared" si="12"/>
        <v>#N/A</v>
      </c>
      <c r="E230" t="e">
        <f t="shared" si="13"/>
        <v>#N/A</v>
      </c>
      <c r="F230">
        <f t="shared" si="14"/>
        <v>1</v>
      </c>
      <c r="G230">
        <f t="shared" si="15"/>
        <v>9</v>
      </c>
    </row>
    <row r="231" spans="1:7" x14ac:dyDescent="0.2">
      <c r="A231">
        <v>2</v>
      </c>
      <c r="B231">
        <v>10</v>
      </c>
      <c r="C231">
        <v>1</v>
      </c>
      <c r="D231" t="e">
        <f t="shared" si="12"/>
        <v>#N/A</v>
      </c>
      <c r="E231" t="e">
        <f t="shared" si="13"/>
        <v>#N/A</v>
      </c>
      <c r="F231">
        <f t="shared" si="14"/>
        <v>2</v>
      </c>
      <c r="G231">
        <f t="shared" si="15"/>
        <v>10</v>
      </c>
    </row>
    <row r="232" spans="1:7" x14ac:dyDescent="0.2">
      <c r="A232">
        <v>1</v>
      </c>
      <c r="B232">
        <v>2</v>
      </c>
      <c r="C232">
        <v>0</v>
      </c>
      <c r="D232">
        <f t="shared" si="12"/>
        <v>1</v>
      </c>
      <c r="E232">
        <f t="shared" si="13"/>
        <v>2</v>
      </c>
      <c r="F232" t="e">
        <f t="shared" si="14"/>
        <v>#N/A</v>
      </c>
      <c r="G232" t="e">
        <f t="shared" si="15"/>
        <v>#N/A</v>
      </c>
    </row>
    <row r="233" spans="1:7" x14ac:dyDescent="0.2">
      <c r="A233">
        <v>3</v>
      </c>
      <c r="B233">
        <v>3</v>
      </c>
      <c r="C233">
        <v>0</v>
      </c>
      <c r="D233">
        <f t="shared" si="12"/>
        <v>3</v>
      </c>
      <c r="E233">
        <f t="shared" si="13"/>
        <v>3</v>
      </c>
      <c r="F233" t="e">
        <f t="shared" si="14"/>
        <v>#N/A</v>
      </c>
      <c r="G233" t="e">
        <f t="shared" si="15"/>
        <v>#N/A</v>
      </c>
    </row>
    <row r="234" spans="1:7" x14ac:dyDescent="0.2">
      <c r="A234">
        <v>4</v>
      </c>
      <c r="B234">
        <v>10</v>
      </c>
      <c r="C234">
        <v>0</v>
      </c>
      <c r="D234">
        <f t="shared" si="12"/>
        <v>4</v>
      </c>
      <c r="E234">
        <f t="shared" si="13"/>
        <v>10</v>
      </c>
      <c r="F234" t="e">
        <f t="shared" si="14"/>
        <v>#N/A</v>
      </c>
      <c r="G234" t="e">
        <f t="shared" si="15"/>
        <v>#N/A</v>
      </c>
    </row>
    <row r="235" spans="1:7" x14ac:dyDescent="0.2">
      <c r="A235">
        <v>2</v>
      </c>
      <c r="B235">
        <v>2</v>
      </c>
      <c r="C235">
        <v>1</v>
      </c>
      <c r="D235" t="e">
        <f t="shared" si="12"/>
        <v>#N/A</v>
      </c>
      <c r="E235" t="e">
        <f t="shared" si="13"/>
        <v>#N/A</v>
      </c>
      <c r="F235">
        <f t="shared" si="14"/>
        <v>2</v>
      </c>
      <c r="G235">
        <f t="shared" si="15"/>
        <v>2</v>
      </c>
    </row>
    <row r="236" spans="1:7" x14ac:dyDescent="0.2">
      <c r="A236">
        <v>3</v>
      </c>
      <c r="B236">
        <v>3</v>
      </c>
      <c r="C236">
        <v>1</v>
      </c>
      <c r="D236" t="e">
        <f t="shared" si="12"/>
        <v>#N/A</v>
      </c>
      <c r="E236" t="e">
        <f t="shared" si="13"/>
        <v>#N/A</v>
      </c>
      <c r="F236">
        <f t="shared" si="14"/>
        <v>3</v>
      </c>
      <c r="G236">
        <f t="shared" si="15"/>
        <v>3</v>
      </c>
    </row>
    <row r="237" spans="1:7" x14ac:dyDescent="0.2">
      <c r="A237">
        <v>0</v>
      </c>
      <c r="B237">
        <v>6</v>
      </c>
      <c r="C237">
        <v>0</v>
      </c>
      <c r="D237">
        <f t="shared" si="12"/>
        <v>0</v>
      </c>
      <c r="E237">
        <f t="shared" si="13"/>
        <v>6</v>
      </c>
      <c r="F237" t="e">
        <f t="shared" si="14"/>
        <v>#N/A</v>
      </c>
      <c r="G237" t="e">
        <f t="shared" si="15"/>
        <v>#N/A</v>
      </c>
    </row>
    <row r="238" spans="1:7" x14ac:dyDescent="0.2">
      <c r="A238">
        <v>2</v>
      </c>
      <c r="B238">
        <v>9</v>
      </c>
      <c r="C238">
        <v>0</v>
      </c>
      <c r="D238">
        <f t="shared" si="12"/>
        <v>2</v>
      </c>
      <c r="E238">
        <f t="shared" si="13"/>
        <v>9</v>
      </c>
      <c r="F238" t="e">
        <f t="shared" si="14"/>
        <v>#N/A</v>
      </c>
      <c r="G238" t="e">
        <f t="shared" si="15"/>
        <v>#N/A</v>
      </c>
    </row>
    <row r="239" spans="1:7" x14ac:dyDescent="0.2">
      <c r="A239">
        <v>2</v>
      </c>
      <c r="B239">
        <v>9</v>
      </c>
      <c r="C239">
        <v>0</v>
      </c>
      <c r="D239">
        <f t="shared" si="12"/>
        <v>2</v>
      </c>
      <c r="E239">
        <f t="shared" si="13"/>
        <v>9</v>
      </c>
      <c r="F239" t="e">
        <f t="shared" si="14"/>
        <v>#N/A</v>
      </c>
      <c r="G239" t="e">
        <f t="shared" si="15"/>
        <v>#N/A</v>
      </c>
    </row>
    <row r="240" spans="1:7" x14ac:dyDescent="0.2">
      <c r="A240">
        <v>1</v>
      </c>
      <c r="B240">
        <v>7</v>
      </c>
      <c r="C240">
        <v>1</v>
      </c>
      <c r="D240" t="e">
        <f t="shared" si="12"/>
        <v>#N/A</v>
      </c>
      <c r="E240" t="e">
        <f t="shared" si="13"/>
        <v>#N/A</v>
      </c>
      <c r="F240">
        <f t="shared" si="14"/>
        <v>1</v>
      </c>
      <c r="G240">
        <f t="shared" si="15"/>
        <v>7</v>
      </c>
    </row>
    <row r="241" spans="1:7" x14ac:dyDescent="0.2">
      <c r="A241">
        <v>2</v>
      </c>
      <c r="B241">
        <v>3</v>
      </c>
      <c r="C241">
        <v>0</v>
      </c>
      <c r="D241">
        <f t="shared" si="12"/>
        <v>2</v>
      </c>
      <c r="E241">
        <f t="shared" si="13"/>
        <v>3</v>
      </c>
      <c r="F241" t="e">
        <f t="shared" si="14"/>
        <v>#N/A</v>
      </c>
      <c r="G241" t="e">
        <f t="shared" si="15"/>
        <v>#N/A</v>
      </c>
    </row>
    <row r="242" spans="1:7" x14ac:dyDescent="0.2">
      <c r="A242">
        <v>2</v>
      </c>
      <c r="B242">
        <v>4</v>
      </c>
      <c r="C242">
        <v>1</v>
      </c>
      <c r="D242" t="e">
        <f t="shared" si="12"/>
        <v>#N/A</v>
      </c>
      <c r="E242" t="e">
        <f t="shared" si="13"/>
        <v>#N/A</v>
      </c>
      <c r="F242">
        <f t="shared" si="14"/>
        <v>2</v>
      </c>
      <c r="G242">
        <f t="shared" si="15"/>
        <v>4</v>
      </c>
    </row>
    <row r="243" spans="1:7" x14ac:dyDescent="0.2">
      <c r="A243">
        <v>2</v>
      </c>
      <c r="B243">
        <v>6</v>
      </c>
      <c r="C243">
        <v>1</v>
      </c>
      <c r="D243" t="e">
        <f t="shared" si="12"/>
        <v>#N/A</v>
      </c>
      <c r="E243" t="e">
        <f t="shared" si="13"/>
        <v>#N/A</v>
      </c>
      <c r="F243">
        <f t="shared" si="14"/>
        <v>2</v>
      </c>
      <c r="G243">
        <f t="shared" si="15"/>
        <v>6</v>
      </c>
    </row>
    <row r="244" spans="1:7" x14ac:dyDescent="0.2">
      <c r="A244">
        <v>1</v>
      </c>
      <c r="B244">
        <v>5</v>
      </c>
      <c r="C244">
        <v>0</v>
      </c>
      <c r="D244">
        <f t="shared" si="12"/>
        <v>1</v>
      </c>
      <c r="E244">
        <f t="shared" si="13"/>
        <v>5</v>
      </c>
      <c r="F244" t="e">
        <f t="shared" si="14"/>
        <v>#N/A</v>
      </c>
      <c r="G244" t="e">
        <f t="shared" si="15"/>
        <v>#N/A</v>
      </c>
    </row>
    <row r="245" spans="1:7" x14ac:dyDescent="0.2">
      <c r="A245">
        <v>3</v>
      </c>
      <c r="B245">
        <v>2</v>
      </c>
      <c r="C245">
        <v>1</v>
      </c>
      <c r="D245" t="e">
        <f t="shared" si="12"/>
        <v>#N/A</v>
      </c>
      <c r="E245" t="e">
        <f t="shared" si="13"/>
        <v>#N/A</v>
      </c>
      <c r="F245">
        <f t="shared" si="14"/>
        <v>3</v>
      </c>
      <c r="G245">
        <f t="shared" si="15"/>
        <v>2</v>
      </c>
    </row>
    <row r="246" spans="1:7" x14ac:dyDescent="0.2">
      <c r="A246">
        <v>4</v>
      </c>
      <c r="B246">
        <v>6</v>
      </c>
      <c r="C246">
        <v>0</v>
      </c>
      <c r="D246">
        <f t="shared" si="12"/>
        <v>4</v>
      </c>
      <c r="E246">
        <f t="shared" si="13"/>
        <v>6</v>
      </c>
      <c r="F246" t="e">
        <f t="shared" si="14"/>
        <v>#N/A</v>
      </c>
      <c r="G246" t="e">
        <f t="shared" si="15"/>
        <v>#N/A</v>
      </c>
    </row>
    <row r="247" spans="1:7" x14ac:dyDescent="0.2">
      <c r="A247">
        <v>2</v>
      </c>
      <c r="B247">
        <v>3</v>
      </c>
      <c r="C247">
        <v>1</v>
      </c>
      <c r="D247" t="e">
        <f t="shared" si="12"/>
        <v>#N/A</v>
      </c>
      <c r="E247" t="e">
        <f t="shared" si="13"/>
        <v>#N/A</v>
      </c>
      <c r="F247">
        <f t="shared" si="14"/>
        <v>2</v>
      </c>
      <c r="G247">
        <f t="shared" si="15"/>
        <v>3</v>
      </c>
    </row>
    <row r="248" spans="1:7" x14ac:dyDescent="0.2">
      <c r="A248">
        <v>3</v>
      </c>
      <c r="B248">
        <v>8</v>
      </c>
      <c r="C248">
        <v>1</v>
      </c>
      <c r="D248" t="e">
        <f t="shared" si="12"/>
        <v>#N/A</v>
      </c>
      <c r="E248" t="e">
        <f t="shared" si="13"/>
        <v>#N/A</v>
      </c>
      <c r="F248">
        <f t="shared" si="14"/>
        <v>3</v>
      </c>
      <c r="G248">
        <f t="shared" si="15"/>
        <v>8</v>
      </c>
    </row>
    <row r="249" spans="1:7" x14ac:dyDescent="0.2">
      <c r="A249">
        <v>3</v>
      </c>
      <c r="B249">
        <v>2</v>
      </c>
      <c r="C249">
        <v>1</v>
      </c>
      <c r="D249" t="e">
        <f t="shared" si="12"/>
        <v>#N/A</v>
      </c>
      <c r="E249" t="e">
        <f t="shared" si="13"/>
        <v>#N/A</v>
      </c>
      <c r="F249">
        <f t="shared" si="14"/>
        <v>3</v>
      </c>
      <c r="G249">
        <f t="shared" si="15"/>
        <v>2</v>
      </c>
    </row>
    <row r="250" spans="1:7" x14ac:dyDescent="0.2">
      <c r="A250">
        <v>3</v>
      </c>
      <c r="B250">
        <v>1</v>
      </c>
      <c r="C250">
        <v>1</v>
      </c>
      <c r="D250" t="e">
        <f t="shared" si="12"/>
        <v>#N/A</v>
      </c>
      <c r="E250" t="e">
        <f t="shared" si="13"/>
        <v>#N/A</v>
      </c>
      <c r="F250">
        <f t="shared" si="14"/>
        <v>3</v>
      </c>
      <c r="G250">
        <f t="shared" si="15"/>
        <v>1</v>
      </c>
    </row>
    <row r="251" spans="1:7" x14ac:dyDescent="0.2">
      <c r="A251">
        <v>5</v>
      </c>
      <c r="B251">
        <v>9</v>
      </c>
      <c r="C251">
        <v>0</v>
      </c>
      <c r="D251">
        <f t="shared" si="12"/>
        <v>5</v>
      </c>
      <c r="E251">
        <f t="shared" si="13"/>
        <v>9</v>
      </c>
      <c r="F251" t="e">
        <f t="shared" si="14"/>
        <v>#N/A</v>
      </c>
      <c r="G251" t="e">
        <f t="shared" si="15"/>
        <v>#N/A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5A58-A152-A642-828F-AA79757CD940}">
  <dimension ref="A1:G251"/>
  <sheetViews>
    <sheetView topLeftCell="F1" zoomScale="138" workbookViewId="0">
      <selection sqref="A1:B133"/>
    </sheetView>
  </sheetViews>
  <sheetFormatPr baseColWidth="10" defaultRowHeight="15" x14ac:dyDescent="0.2"/>
  <sheetData>
    <row r="1" spans="1:7" x14ac:dyDescent="0.2">
      <c r="A1" t="s">
        <v>7</v>
      </c>
      <c r="B1" t="s">
        <v>8</v>
      </c>
      <c r="C1" t="s">
        <v>13</v>
      </c>
      <c r="D1" t="s">
        <v>26</v>
      </c>
      <c r="E1" t="s">
        <v>28</v>
      </c>
      <c r="F1" t="s">
        <v>27</v>
      </c>
      <c r="G1" t="s">
        <v>13</v>
      </c>
    </row>
    <row r="2" spans="1:7" x14ac:dyDescent="0.2">
      <c r="A2">
        <v>58</v>
      </c>
      <c r="B2">
        <v>28.27</v>
      </c>
      <c r="C2">
        <v>1</v>
      </c>
      <c r="D2" t="e">
        <f xml:space="preserve"> IF($C2=0, $A2, NA())</f>
        <v>#N/A</v>
      </c>
      <c r="E2" t="e">
        <f xml:space="preserve"> IF($C2=0, B2, NA())</f>
        <v>#N/A</v>
      </c>
      <c r="F2">
        <f xml:space="preserve"> IF($C2=1, A2, NA())</f>
        <v>58</v>
      </c>
      <c r="G2">
        <f xml:space="preserve"> IF($C2=1, $B2, NA())</f>
        <v>28.27</v>
      </c>
    </row>
    <row r="3" spans="1:7" x14ac:dyDescent="0.2">
      <c r="A3">
        <v>63</v>
      </c>
      <c r="B3">
        <v>107.67</v>
      </c>
      <c r="C3">
        <v>1</v>
      </c>
      <c r="D3" t="e">
        <f t="shared" ref="D3:D66" si="0" xml:space="preserve"> IF($C3=0, $A3, NA())</f>
        <v>#N/A</v>
      </c>
      <c r="E3" t="e">
        <f t="shared" ref="E3:E66" si="1" xml:space="preserve"> IF($C3=0, B3, NA())</f>
        <v>#N/A</v>
      </c>
      <c r="F3">
        <f t="shared" ref="F3:F66" si="2" xml:space="preserve"> IF($C3=1, A3, NA())</f>
        <v>63</v>
      </c>
      <c r="G3">
        <f t="shared" ref="G3:G66" si="3" xml:space="preserve"> IF($C3=1, $B3, NA())</f>
        <v>107.67</v>
      </c>
    </row>
    <row r="4" spans="1:7" x14ac:dyDescent="0.2">
      <c r="A4">
        <v>62</v>
      </c>
      <c r="B4">
        <v>75.16</v>
      </c>
      <c r="C4">
        <v>0</v>
      </c>
      <c r="D4">
        <f t="shared" si="0"/>
        <v>62</v>
      </c>
      <c r="E4">
        <f t="shared" si="1"/>
        <v>75.16</v>
      </c>
      <c r="F4" t="e">
        <f t="shared" si="2"/>
        <v>#N/A</v>
      </c>
      <c r="G4" t="e">
        <f t="shared" si="3"/>
        <v>#N/A</v>
      </c>
    </row>
    <row r="5" spans="1:7" x14ac:dyDescent="0.2">
      <c r="A5">
        <v>22</v>
      </c>
      <c r="B5">
        <v>36.479999999999997</v>
      </c>
      <c r="C5">
        <v>1</v>
      </c>
      <c r="D5" t="e">
        <f t="shared" si="0"/>
        <v>#N/A</v>
      </c>
      <c r="E5" t="e">
        <f t="shared" si="1"/>
        <v>#N/A</v>
      </c>
      <c r="F5">
        <f t="shared" si="2"/>
        <v>22</v>
      </c>
      <c r="G5">
        <f t="shared" si="3"/>
        <v>36.479999999999997</v>
      </c>
    </row>
    <row r="6" spans="1:7" x14ac:dyDescent="0.2">
      <c r="A6">
        <v>58</v>
      </c>
      <c r="B6">
        <v>61.13</v>
      </c>
      <c r="C6">
        <v>1</v>
      </c>
      <c r="D6" t="e">
        <f t="shared" si="0"/>
        <v>#N/A</v>
      </c>
      <c r="E6" t="e">
        <f t="shared" si="1"/>
        <v>#N/A</v>
      </c>
      <c r="F6">
        <f t="shared" si="2"/>
        <v>58</v>
      </c>
      <c r="G6">
        <f t="shared" si="3"/>
        <v>61.13</v>
      </c>
    </row>
    <row r="7" spans="1:7" x14ac:dyDescent="0.2">
      <c r="A7">
        <v>58</v>
      </c>
      <c r="B7">
        <v>97.76</v>
      </c>
      <c r="C7">
        <v>1</v>
      </c>
      <c r="D7" t="e">
        <f t="shared" si="0"/>
        <v>#N/A</v>
      </c>
      <c r="E7" t="e">
        <f t="shared" si="1"/>
        <v>#N/A</v>
      </c>
      <c r="F7">
        <f t="shared" si="2"/>
        <v>58</v>
      </c>
      <c r="G7">
        <f t="shared" si="3"/>
        <v>97.76</v>
      </c>
    </row>
    <row r="8" spans="1:7" x14ac:dyDescent="0.2">
      <c r="A8">
        <v>49</v>
      </c>
      <c r="B8">
        <v>68.040000000000006</v>
      </c>
      <c r="C8">
        <v>1</v>
      </c>
      <c r="D8" t="e">
        <f t="shared" si="0"/>
        <v>#N/A</v>
      </c>
      <c r="E8" t="e">
        <f t="shared" si="1"/>
        <v>#N/A</v>
      </c>
      <c r="F8">
        <f t="shared" si="2"/>
        <v>49</v>
      </c>
      <c r="G8">
        <f t="shared" si="3"/>
        <v>68.040000000000006</v>
      </c>
    </row>
    <row r="9" spans="1:7" x14ac:dyDescent="0.2">
      <c r="A9">
        <v>52</v>
      </c>
      <c r="B9">
        <v>118.53</v>
      </c>
      <c r="C9">
        <v>0</v>
      </c>
      <c r="D9">
        <f t="shared" si="0"/>
        <v>52</v>
      </c>
      <c r="E9">
        <f t="shared" si="1"/>
        <v>118.53</v>
      </c>
      <c r="F9" t="e">
        <f t="shared" si="2"/>
        <v>#N/A</v>
      </c>
      <c r="G9" t="e">
        <f t="shared" si="3"/>
        <v>#N/A</v>
      </c>
    </row>
    <row r="10" spans="1:7" x14ac:dyDescent="0.2">
      <c r="A10">
        <v>42</v>
      </c>
      <c r="B10">
        <v>57.67</v>
      </c>
      <c r="C10">
        <v>1</v>
      </c>
      <c r="D10" t="e">
        <f t="shared" si="0"/>
        <v>#N/A</v>
      </c>
      <c r="E10" t="e">
        <f t="shared" si="1"/>
        <v>#N/A</v>
      </c>
      <c r="F10">
        <f t="shared" si="2"/>
        <v>42</v>
      </c>
      <c r="G10">
        <f t="shared" si="3"/>
        <v>57.67</v>
      </c>
    </row>
    <row r="11" spans="1:7" x14ac:dyDescent="0.2">
      <c r="A11">
        <v>70</v>
      </c>
      <c r="B11">
        <v>94.96</v>
      </c>
      <c r="C11">
        <v>0</v>
      </c>
      <c r="D11">
        <f t="shared" si="0"/>
        <v>70</v>
      </c>
      <c r="E11">
        <f t="shared" si="1"/>
        <v>94.96</v>
      </c>
      <c r="F11" t="e">
        <f t="shared" si="2"/>
        <v>#N/A</v>
      </c>
      <c r="G11" t="e">
        <f t="shared" si="3"/>
        <v>#N/A</v>
      </c>
    </row>
    <row r="12" spans="1:7" x14ac:dyDescent="0.2">
      <c r="A12">
        <v>15</v>
      </c>
      <c r="B12">
        <v>59.3</v>
      </c>
      <c r="C12">
        <v>0</v>
      </c>
      <c r="D12">
        <f t="shared" si="0"/>
        <v>15</v>
      </c>
      <c r="E12">
        <f t="shared" si="1"/>
        <v>59.3</v>
      </c>
      <c r="F12" t="e">
        <f t="shared" si="2"/>
        <v>#N/A</v>
      </c>
      <c r="G12" t="e">
        <f t="shared" si="3"/>
        <v>#N/A</v>
      </c>
    </row>
    <row r="13" spans="1:7" x14ac:dyDescent="0.2">
      <c r="A13">
        <v>54</v>
      </c>
      <c r="B13">
        <v>102.92</v>
      </c>
      <c r="C13">
        <v>0</v>
      </c>
      <c r="D13">
        <f t="shared" si="0"/>
        <v>54</v>
      </c>
      <c r="E13">
        <f t="shared" si="1"/>
        <v>102.92</v>
      </c>
      <c r="F13" t="e">
        <f t="shared" si="2"/>
        <v>#N/A</v>
      </c>
      <c r="G13" t="e">
        <f t="shared" si="3"/>
        <v>#N/A</v>
      </c>
    </row>
    <row r="14" spans="1:7" x14ac:dyDescent="0.2">
      <c r="A14">
        <v>60</v>
      </c>
      <c r="B14">
        <v>76.91</v>
      </c>
      <c r="C14">
        <v>0</v>
      </c>
      <c r="D14">
        <f t="shared" si="0"/>
        <v>60</v>
      </c>
      <c r="E14">
        <f t="shared" si="1"/>
        <v>76.91</v>
      </c>
      <c r="F14" t="e">
        <f t="shared" si="2"/>
        <v>#N/A</v>
      </c>
      <c r="G14" t="e">
        <f t="shared" si="3"/>
        <v>#N/A</v>
      </c>
    </row>
    <row r="15" spans="1:7" x14ac:dyDescent="0.2">
      <c r="A15">
        <v>8</v>
      </c>
      <c r="B15">
        <v>26.35</v>
      </c>
      <c r="C15">
        <v>1</v>
      </c>
      <c r="D15" t="e">
        <f t="shared" si="0"/>
        <v>#N/A</v>
      </c>
      <c r="E15" t="e">
        <f t="shared" si="1"/>
        <v>#N/A</v>
      </c>
      <c r="F15">
        <f t="shared" si="2"/>
        <v>8</v>
      </c>
      <c r="G15">
        <f t="shared" si="3"/>
        <v>26.35</v>
      </c>
    </row>
    <row r="16" spans="1:7" x14ac:dyDescent="0.2">
      <c r="A16">
        <v>53</v>
      </c>
      <c r="B16">
        <v>23.68</v>
      </c>
      <c r="C16">
        <v>0</v>
      </c>
      <c r="D16">
        <f t="shared" si="0"/>
        <v>53</v>
      </c>
      <c r="E16">
        <f t="shared" si="1"/>
        <v>23.68</v>
      </c>
      <c r="F16" t="e">
        <f t="shared" si="2"/>
        <v>#N/A</v>
      </c>
      <c r="G16" t="e">
        <f t="shared" si="3"/>
        <v>#N/A</v>
      </c>
    </row>
    <row r="17" spans="1:7" x14ac:dyDescent="0.2">
      <c r="A17">
        <v>60</v>
      </c>
      <c r="B17">
        <v>33.39</v>
      </c>
      <c r="C17">
        <v>1</v>
      </c>
      <c r="D17" t="e">
        <f t="shared" si="0"/>
        <v>#N/A</v>
      </c>
      <c r="E17" t="e">
        <f t="shared" si="1"/>
        <v>#N/A</v>
      </c>
      <c r="F17">
        <f t="shared" si="2"/>
        <v>60</v>
      </c>
      <c r="G17">
        <f t="shared" si="3"/>
        <v>33.39</v>
      </c>
    </row>
    <row r="18" spans="1:7" x14ac:dyDescent="0.2">
      <c r="A18">
        <v>5</v>
      </c>
      <c r="B18">
        <v>21.37</v>
      </c>
      <c r="C18">
        <v>0</v>
      </c>
      <c r="D18">
        <f t="shared" si="0"/>
        <v>5</v>
      </c>
      <c r="E18">
        <f t="shared" si="1"/>
        <v>21.37</v>
      </c>
      <c r="F18" t="e">
        <f t="shared" si="2"/>
        <v>#N/A</v>
      </c>
      <c r="G18" t="e">
        <f t="shared" si="3"/>
        <v>#N/A</v>
      </c>
    </row>
    <row r="19" spans="1:7" x14ac:dyDescent="0.2">
      <c r="A19">
        <v>68</v>
      </c>
      <c r="B19">
        <v>27.54</v>
      </c>
      <c r="C19">
        <v>0</v>
      </c>
      <c r="D19">
        <f t="shared" si="0"/>
        <v>68</v>
      </c>
      <c r="E19">
        <f t="shared" si="1"/>
        <v>27.54</v>
      </c>
      <c r="F19" t="e">
        <f t="shared" si="2"/>
        <v>#N/A</v>
      </c>
      <c r="G19" t="e">
        <f t="shared" si="3"/>
        <v>#N/A</v>
      </c>
    </row>
    <row r="20" spans="1:7" x14ac:dyDescent="0.2">
      <c r="A20">
        <v>6</v>
      </c>
      <c r="B20">
        <v>89.17</v>
      </c>
      <c r="C20">
        <v>1</v>
      </c>
      <c r="D20" t="e">
        <f t="shared" si="0"/>
        <v>#N/A</v>
      </c>
      <c r="E20" t="e">
        <f t="shared" si="1"/>
        <v>#N/A</v>
      </c>
      <c r="F20">
        <f t="shared" si="2"/>
        <v>6</v>
      </c>
      <c r="G20">
        <f t="shared" si="3"/>
        <v>89.17</v>
      </c>
    </row>
    <row r="21" spans="1:7" x14ac:dyDescent="0.2">
      <c r="A21">
        <v>47</v>
      </c>
      <c r="B21">
        <v>73.430000000000007</v>
      </c>
      <c r="C21">
        <v>1</v>
      </c>
      <c r="D21" t="e">
        <f t="shared" si="0"/>
        <v>#N/A</v>
      </c>
      <c r="E21" t="e">
        <f t="shared" si="1"/>
        <v>#N/A</v>
      </c>
      <c r="F21">
        <f t="shared" si="2"/>
        <v>47</v>
      </c>
      <c r="G21">
        <f t="shared" si="3"/>
        <v>73.430000000000007</v>
      </c>
    </row>
    <row r="22" spans="1:7" x14ac:dyDescent="0.2">
      <c r="A22">
        <v>55</v>
      </c>
      <c r="B22">
        <v>94.99</v>
      </c>
      <c r="C22">
        <v>0</v>
      </c>
      <c r="D22">
        <f t="shared" si="0"/>
        <v>55</v>
      </c>
      <c r="E22">
        <f t="shared" si="1"/>
        <v>94.99</v>
      </c>
      <c r="F22" t="e">
        <f t="shared" si="2"/>
        <v>#N/A</v>
      </c>
      <c r="G22" t="e">
        <f t="shared" si="3"/>
        <v>#N/A</v>
      </c>
    </row>
    <row r="23" spans="1:7" x14ac:dyDescent="0.2">
      <c r="A23">
        <v>40</v>
      </c>
      <c r="B23">
        <v>111.32</v>
      </c>
      <c r="C23">
        <v>1</v>
      </c>
      <c r="D23" t="e">
        <f t="shared" si="0"/>
        <v>#N/A</v>
      </c>
      <c r="E23" t="e">
        <f t="shared" si="1"/>
        <v>#N/A</v>
      </c>
      <c r="F23">
        <f t="shared" si="2"/>
        <v>40</v>
      </c>
      <c r="G23">
        <f t="shared" si="3"/>
        <v>111.32</v>
      </c>
    </row>
    <row r="24" spans="1:7" x14ac:dyDescent="0.2">
      <c r="A24">
        <v>52</v>
      </c>
      <c r="B24">
        <v>78.510000000000005</v>
      </c>
      <c r="C24">
        <v>1</v>
      </c>
      <c r="D24" t="e">
        <f t="shared" si="0"/>
        <v>#N/A</v>
      </c>
      <c r="E24" t="e">
        <f t="shared" si="1"/>
        <v>#N/A</v>
      </c>
      <c r="F24">
        <f t="shared" si="2"/>
        <v>52</v>
      </c>
      <c r="G24">
        <f t="shared" si="3"/>
        <v>78.510000000000005</v>
      </c>
    </row>
    <row r="25" spans="1:7" x14ac:dyDescent="0.2">
      <c r="A25">
        <v>16</v>
      </c>
      <c r="B25">
        <v>92.61</v>
      </c>
      <c r="C25">
        <v>0</v>
      </c>
      <c r="D25">
        <f t="shared" si="0"/>
        <v>16</v>
      </c>
      <c r="E25">
        <f t="shared" si="1"/>
        <v>92.61</v>
      </c>
      <c r="F25" t="e">
        <f t="shared" si="2"/>
        <v>#N/A</v>
      </c>
      <c r="G25" t="e">
        <f t="shared" si="3"/>
        <v>#N/A</v>
      </c>
    </row>
    <row r="26" spans="1:7" x14ac:dyDescent="0.2">
      <c r="A26">
        <v>13</v>
      </c>
      <c r="B26">
        <v>95.71</v>
      </c>
      <c r="C26">
        <v>0</v>
      </c>
      <c r="D26">
        <f t="shared" si="0"/>
        <v>13</v>
      </c>
      <c r="E26">
        <f t="shared" si="1"/>
        <v>95.71</v>
      </c>
      <c r="F26" t="e">
        <f t="shared" si="2"/>
        <v>#N/A</v>
      </c>
      <c r="G26" t="e">
        <f t="shared" si="3"/>
        <v>#N/A</v>
      </c>
    </row>
    <row r="27" spans="1:7" x14ac:dyDescent="0.2">
      <c r="A27">
        <v>30</v>
      </c>
      <c r="B27">
        <v>57.79</v>
      </c>
      <c r="C27">
        <v>0</v>
      </c>
      <c r="D27">
        <f t="shared" si="0"/>
        <v>30</v>
      </c>
      <c r="E27">
        <f t="shared" si="1"/>
        <v>57.79</v>
      </c>
      <c r="F27" t="e">
        <f t="shared" si="2"/>
        <v>#N/A</v>
      </c>
      <c r="G27" t="e">
        <f t="shared" si="3"/>
        <v>#N/A</v>
      </c>
    </row>
    <row r="28" spans="1:7" x14ac:dyDescent="0.2">
      <c r="A28">
        <v>19</v>
      </c>
      <c r="B28">
        <v>44.11</v>
      </c>
      <c r="C28">
        <v>0</v>
      </c>
      <c r="D28">
        <f t="shared" si="0"/>
        <v>19</v>
      </c>
      <c r="E28">
        <f t="shared" si="1"/>
        <v>44.11</v>
      </c>
      <c r="F28" t="e">
        <f t="shared" si="2"/>
        <v>#N/A</v>
      </c>
      <c r="G28" t="e">
        <f t="shared" si="3"/>
        <v>#N/A</v>
      </c>
    </row>
    <row r="29" spans="1:7" x14ac:dyDescent="0.2">
      <c r="A29">
        <v>17</v>
      </c>
      <c r="B29">
        <v>40.5</v>
      </c>
      <c r="C29">
        <v>0</v>
      </c>
      <c r="D29">
        <f t="shared" si="0"/>
        <v>17</v>
      </c>
      <c r="E29">
        <f t="shared" si="1"/>
        <v>40.5</v>
      </c>
      <c r="F29" t="e">
        <f t="shared" si="2"/>
        <v>#N/A</v>
      </c>
      <c r="G29" t="e">
        <f t="shared" si="3"/>
        <v>#N/A</v>
      </c>
    </row>
    <row r="30" spans="1:7" x14ac:dyDescent="0.2">
      <c r="A30">
        <v>63</v>
      </c>
      <c r="B30">
        <v>45.14</v>
      </c>
      <c r="C30">
        <v>0</v>
      </c>
      <c r="D30">
        <f t="shared" si="0"/>
        <v>63</v>
      </c>
      <c r="E30">
        <f t="shared" si="1"/>
        <v>45.14</v>
      </c>
      <c r="F30" t="e">
        <f t="shared" si="2"/>
        <v>#N/A</v>
      </c>
      <c r="G30" t="e">
        <f t="shared" si="3"/>
        <v>#N/A</v>
      </c>
    </row>
    <row r="31" spans="1:7" x14ac:dyDescent="0.2">
      <c r="A31">
        <v>19</v>
      </c>
      <c r="B31">
        <v>47.47</v>
      </c>
      <c r="C31">
        <v>1</v>
      </c>
      <c r="D31" t="e">
        <f t="shared" si="0"/>
        <v>#N/A</v>
      </c>
      <c r="E31" t="e">
        <f t="shared" si="1"/>
        <v>#N/A</v>
      </c>
      <c r="F31">
        <f t="shared" si="2"/>
        <v>19</v>
      </c>
      <c r="G31">
        <f t="shared" si="3"/>
        <v>47.47</v>
      </c>
    </row>
    <row r="32" spans="1:7" x14ac:dyDescent="0.2">
      <c r="A32">
        <v>58</v>
      </c>
      <c r="B32">
        <v>40.72</v>
      </c>
      <c r="C32">
        <v>1</v>
      </c>
      <c r="D32" t="e">
        <f t="shared" si="0"/>
        <v>#N/A</v>
      </c>
      <c r="E32" t="e">
        <f t="shared" si="1"/>
        <v>#N/A</v>
      </c>
      <c r="F32">
        <f t="shared" si="2"/>
        <v>58</v>
      </c>
      <c r="G32">
        <f t="shared" si="3"/>
        <v>40.72</v>
      </c>
    </row>
    <row r="33" spans="1:7" x14ac:dyDescent="0.2">
      <c r="A33">
        <v>55</v>
      </c>
      <c r="B33">
        <v>107.82</v>
      </c>
      <c r="C33">
        <v>0</v>
      </c>
      <c r="D33">
        <f t="shared" si="0"/>
        <v>55</v>
      </c>
      <c r="E33">
        <f t="shared" si="1"/>
        <v>107.82</v>
      </c>
      <c r="F33" t="e">
        <f t="shared" si="2"/>
        <v>#N/A</v>
      </c>
      <c r="G33" t="e">
        <f t="shared" si="3"/>
        <v>#N/A</v>
      </c>
    </row>
    <row r="34" spans="1:7" x14ac:dyDescent="0.2">
      <c r="A34">
        <v>62</v>
      </c>
      <c r="B34">
        <v>95.7</v>
      </c>
      <c r="C34">
        <v>0</v>
      </c>
      <c r="D34">
        <f t="shared" si="0"/>
        <v>62</v>
      </c>
      <c r="E34">
        <f t="shared" si="1"/>
        <v>95.7</v>
      </c>
      <c r="F34" t="e">
        <f t="shared" si="2"/>
        <v>#N/A</v>
      </c>
      <c r="G34" t="e">
        <f t="shared" si="3"/>
        <v>#N/A</v>
      </c>
    </row>
    <row r="35" spans="1:7" x14ac:dyDescent="0.2">
      <c r="A35">
        <v>23</v>
      </c>
      <c r="B35">
        <v>24.69</v>
      </c>
      <c r="C35">
        <v>1</v>
      </c>
      <c r="D35" t="e">
        <f t="shared" si="0"/>
        <v>#N/A</v>
      </c>
      <c r="E35" t="e">
        <f t="shared" si="1"/>
        <v>#N/A</v>
      </c>
      <c r="F35">
        <f t="shared" si="2"/>
        <v>23</v>
      </c>
      <c r="G35">
        <f t="shared" si="3"/>
        <v>24.69</v>
      </c>
    </row>
    <row r="36" spans="1:7" x14ac:dyDescent="0.2">
      <c r="A36">
        <v>9</v>
      </c>
      <c r="B36">
        <v>46.87</v>
      </c>
      <c r="C36">
        <v>1</v>
      </c>
      <c r="D36" t="e">
        <f t="shared" si="0"/>
        <v>#N/A</v>
      </c>
      <c r="E36" t="e">
        <f t="shared" si="1"/>
        <v>#N/A</v>
      </c>
      <c r="F36">
        <f t="shared" si="2"/>
        <v>9</v>
      </c>
      <c r="G36">
        <f t="shared" si="3"/>
        <v>46.87</v>
      </c>
    </row>
    <row r="37" spans="1:7" x14ac:dyDescent="0.2">
      <c r="A37">
        <v>12</v>
      </c>
      <c r="B37">
        <v>22.22</v>
      </c>
      <c r="C37">
        <v>0</v>
      </c>
      <c r="D37">
        <f t="shared" si="0"/>
        <v>12</v>
      </c>
      <c r="E37">
        <f t="shared" si="1"/>
        <v>22.22</v>
      </c>
      <c r="F37" t="e">
        <f t="shared" si="2"/>
        <v>#N/A</v>
      </c>
      <c r="G37" t="e">
        <f t="shared" si="3"/>
        <v>#N/A</v>
      </c>
    </row>
    <row r="38" spans="1:7" x14ac:dyDescent="0.2">
      <c r="A38">
        <v>1</v>
      </c>
      <c r="B38">
        <v>69.819999999999993</v>
      </c>
      <c r="C38">
        <v>0</v>
      </c>
      <c r="D38">
        <f t="shared" si="0"/>
        <v>1</v>
      </c>
      <c r="E38">
        <f t="shared" si="1"/>
        <v>69.819999999999993</v>
      </c>
      <c r="F38" t="e">
        <f t="shared" si="2"/>
        <v>#N/A</v>
      </c>
      <c r="G38" t="e">
        <f t="shared" si="3"/>
        <v>#N/A</v>
      </c>
    </row>
    <row r="39" spans="1:7" x14ac:dyDescent="0.2">
      <c r="A39">
        <v>58</v>
      </c>
      <c r="B39">
        <v>67.62</v>
      </c>
      <c r="C39">
        <v>0</v>
      </c>
      <c r="D39">
        <f t="shared" si="0"/>
        <v>58</v>
      </c>
      <c r="E39">
        <f t="shared" si="1"/>
        <v>67.62</v>
      </c>
      <c r="F39" t="e">
        <f t="shared" si="2"/>
        <v>#N/A</v>
      </c>
      <c r="G39" t="e">
        <f t="shared" si="3"/>
        <v>#N/A</v>
      </c>
    </row>
    <row r="40" spans="1:7" x14ac:dyDescent="0.2">
      <c r="A40">
        <v>1</v>
      </c>
      <c r="B40">
        <v>103.14</v>
      </c>
      <c r="C40">
        <v>1</v>
      </c>
      <c r="D40" t="e">
        <f t="shared" si="0"/>
        <v>#N/A</v>
      </c>
      <c r="E40" t="e">
        <f t="shared" si="1"/>
        <v>#N/A</v>
      </c>
      <c r="F40">
        <f t="shared" si="2"/>
        <v>1</v>
      </c>
      <c r="G40">
        <f t="shared" si="3"/>
        <v>103.14</v>
      </c>
    </row>
    <row r="41" spans="1:7" x14ac:dyDescent="0.2">
      <c r="A41">
        <v>34</v>
      </c>
      <c r="B41">
        <v>50.78</v>
      </c>
      <c r="C41">
        <v>0</v>
      </c>
      <c r="D41">
        <f t="shared" si="0"/>
        <v>34</v>
      </c>
      <c r="E41">
        <f t="shared" si="1"/>
        <v>50.78</v>
      </c>
      <c r="F41" t="e">
        <f t="shared" si="2"/>
        <v>#N/A</v>
      </c>
      <c r="G41" t="e">
        <f t="shared" si="3"/>
        <v>#N/A</v>
      </c>
    </row>
    <row r="42" spans="1:7" x14ac:dyDescent="0.2">
      <c r="A42">
        <v>48</v>
      </c>
      <c r="B42">
        <v>101.64</v>
      </c>
      <c r="C42">
        <v>1</v>
      </c>
      <c r="D42" t="e">
        <f t="shared" si="0"/>
        <v>#N/A</v>
      </c>
      <c r="E42" t="e">
        <f t="shared" si="1"/>
        <v>#N/A</v>
      </c>
      <c r="F42">
        <f t="shared" si="2"/>
        <v>48</v>
      </c>
      <c r="G42">
        <f t="shared" si="3"/>
        <v>101.64</v>
      </c>
    </row>
    <row r="43" spans="1:7" x14ac:dyDescent="0.2">
      <c r="A43">
        <v>1</v>
      </c>
      <c r="B43">
        <v>116.8</v>
      </c>
      <c r="C43">
        <v>1</v>
      </c>
      <c r="D43" t="e">
        <f t="shared" si="0"/>
        <v>#N/A</v>
      </c>
      <c r="E43" t="e">
        <f t="shared" si="1"/>
        <v>#N/A</v>
      </c>
      <c r="F43">
        <f t="shared" si="2"/>
        <v>1</v>
      </c>
      <c r="G43">
        <f t="shared" si="3"/>
        <v>116.8</v>
      </c>
    </row>
    <row r="44" spans="1:7" x14ac:dyDescent="0.2">
      <c r="A44">
        <v>16</v>
      </c>
      <c r="B44">
        <v>28.84</v>
      </c>
      <c r="C44">
        <v>1</v>
      </c>
      <c r="D44" t="e">
        <f t="shared" si="0"/>
        <v>#N/A</v>
      </c>
      <c r="E44" t="e">
        <f t="shared" si="1"/>
        <v>#N/A</v>
      </c>
      <c r="F44">
        <f t="shared" si="2"/>
        <v>16</v>
      </c>
      <c r="G44">
        <f t="shared" si="3"/>
        <v>28.84</v>
      </c>
    </row>
    <row r="45" spans="1:7" x14ac:dyDescent="0.2">
      <c r="A45">
        <v>61</v>
      </c>
      <c r="B45">
        <v>99.18</v>
      </c>
      <c r="C45">
        <v>0</v>
      </c>
      <c r="D45">
        <f t="shared" si="0"/>
        <v>61</v>
      </c>
      <c r="E45">
        <f t="shared" si="1"/>
        <v>99.18</v>
      </c>
      <c r="F45" t="e">
        <f t="shared" si="2"/>
        <v>#N/A</v>
      </c>
      <c r="G45" t="e">
        <f t="shared" si="3"/>
        <v>#N/A</v>
      </c>
    </row>
    <row r="46" spans="1:7" x14ac:dyDescent="0.2">
      <c r="A46">
        <v>64</v>
      </c>
      <c r="B46">
        <v>79</v>
      </c>
      <c r="C46">
        <v>1</v>
      </c>
      <c r="D46" t="e">
        <f t="shared" si="0"/>
        <v>#N/A</v>
      </c>
      <c r="E46" t="e">
        <f t="shared" si="1"/>
        <v>#N/A</v>
      </c>
      <c r="F46">
        <f t="shared" si="2"/>
        <v>64</v>
      </c>
      <c r="G46">
        <f t="shared" si="3"/>
        <v>79</v>
      </c>
    </row>
    <row r="47" spans="1:7" x14ac:dyDescent="0.2">
      <c r="A47">
        <v>63</v>
      </c>
      <c r="B47">
        <v>68</v>
      </c>
      <c r="C47">
        <v>0</v>
      </c>
      <c r="D47">
        <f t="shared" si="0"/>
        <v>63</v>
      </c>
      <c r="E47">
        <f t="shared" si="1"/>
        <v>68</v>
      </c>
      <c r="F47" t="e">
        <f t="shared" si="2"/>
        <v>#N/A</v>
      </c>
      <c r="G47" t="e">
        <f t="shared" si="3"/>
        <v>#N/A</v>
      </c>
    </row>
    <row r="48" spans="1:7" x14ac:dyDescent="0.2">
      <c r="A48">
        <v>69</v>
      </c>
      <c r="B48">
        <v>62.05</v>
      </c>
      <c r="C48">
        <v>0</v>
      </c>
      <c r="D48">
        <f t="shared" si="0"/>
        <v>69</v>
      </c>
      <c r="E48">
        <f t="shared" si="1"/>
        <v>62.05</v>
      </c>
      <c r="F48" t="e">
        <f t="shared" si="2"/>
        <v>#N/A</v>
      </c>
      <c r="G48" t="e">
        <f t="shared" si="3"/>
        <v>#N/A</v>
      </c>
    </row>
    <row r="49" spans="1:7" x14ac:dyDescent="0.2">
      <c r="A49">
        <v>22</v>
      </c>
      <c r="B49">
        <v>98.47</v>
      </c>
      <c r="C49">
        <v>1</v>
      </c>
      <c r="D49" t="e">
        <f t="shared" si="0"/>
        <v>#N/A</v>
      </c>
      <c r="E49" t="e">
        <f t="shared" si="1"/>
        <v>#N/A</v>
      </c>
      <c r="F49">
        <f t="shared" si="2"/>
        <v>22</v>
      </c>
      <c r="G49">
        <f t="shared" si="3"/>
        <v>98.47</v>
      </c>
    </row>
    <row r="50" spans="1:7" x14ac:dyDescent="0.2">
      <c r="A50">
        <v>67</v>
      </c>
      <c r="B50">
        <v>83.94</v>
      </c>
      <c r="C50">
        <v>0</v>
      </c>
      <c r="D50">
        <f t="shared" si="0"/>
        <v>67</v>
      </c>
      <c r="E50">
        <f t="shared" si="1"/>
        <v>83.94</v>
      </c>
      <c r="F50" t="e">
        <f t="shared" si="2"/>
        <v>#N/A</v>
      </c>
      <c r="G50" t="e">
        <f t="shared" si="3"/>
        <v>#N/A</v>
      </c>
    </row>
    <row r="51" spans="1:7" x14ac:dyDescent="0.2">
      <c r="A51">
        <v>26</v>
      </c>
      <c r="B51">
        <v>100.5</v>
      </c>
      <c r="C51">
        <v>1</v>
      </c>
      <c r="D51" t="e">
        <f t="shared" si="0"/>
        <v>#N/A</v>
      </c>
      <c r="E51" t="e">
        <f t="shared" si="1"/>
        <v>#N/A</v>
      </c>
      <c r="F51">
        <f t="shared" si="2"/>
        <v>26</v>
      </c>
      <c r="G51">
        <f t="shared" si="3"/>
        <v>100.5</v>
      </c>
    </row>
    <row r="52" spans="1:7" x14ac:dyDescent="0.2">
      <c r="A52">
        <v>16</v>
      </c>
      <c r="B52">
        <v>110.32</v>
      </c>
      <c r="C52">
        <v>0</v>
      </c>
      <c r="D52">
        <f t="shared" si="0"/>
        <v>16</v>
      </c>
      <c r="E52">
        <f t="shared" si="1"/>
        <v>110.32</v>
      </c>
      <c r="F52" t="e">
        <f t="shared" si="2"/>
        <v>#N/A</v>
      </c>
      <c r="G52" t="e">
        <f t="shared" si="3"/>
        <v>#N/A</v>
      </c>
    </row>
    <row r="53" spans="1:7" x14ac:dyDescent="0.2">
      <c r="A53">
        <v>51</v>
      </c>
      <c r="B53">
        <v>81.73</v>
      </c>
      <c r="C53">
        <v>0</v>
      </c>
      <c r="D53">
        <f t="shared" si="0"/>
        <v>51</v>
      </c>
      <c r="E53">
        <f t="shared" si="1"/>
        <v>81.73</v>
      </c>
      <c r="F53" t="e">
        <f t="shared" si="2"/>
        <v>#N/A</v>
      </c>
      <c r="G53" t="e">
        <f t="shared" si="3"/>
        <v>#N/A</v>
      </c>
    </row>
    <row r="54" spans="1:7" x14ac:dyDescent="0.2">
      <c r="A54">
        <v>57</v>
      </c>
      <c r="B54">
        <v>118.05</v>
      </c>
      <c r="C54">
        <v>0</v>
      </c>
      <c r="D54">
        <f t="shared" si="0"/>
        <v>57</v>
      </c>
      <c r="E54">
        <f t="shared" si="1"/>
        <v>118.05</v>
      </c>
      <c r="F54" t="e">
        <f t="shared" si="2"/>
        <v>#N/A</v>
      </c>
      <c r="G54" t="e">
        <f t="shared" si="3"/>
        <v>#N/A</v>
      </c>
    </row>
    <row r="55" spans="1:7" x14ac:dyDescent="0.2">
      <c r="A55">
        <v>29</v>
      </c>
      <c r="B55">
        <v>80.81</v>
      </c>
      <c r="C55">
        <v>0</v>
      </c>
      <c r="D55">
        <f t="shared" si="0"/>
        <v>29</v>
      </c>
      <c r="E55">
        <f t="shared" si="1"/>
        <v>80.81</v>
      </c>
      <c r="F55" t="e">
        <f t="shared" si="2"/>
        <v>#N/A</v>
      </c>
      <c r="G55" t="e">
        <f t="shared" si="3"/>
        <v>#N/A</v>
      </c>
    </row>
    <row r="56" spans="1:7" x14ac:dyDescent="0.2">
      <c r="A56">
        <v>69</v>
      </c>
      <c r="B56">
        <v>83.66</v>
      </c>
      <c r="C56">
        <v>1</v>
      </c>
      <c r="D56" t="e">
        <f t="shared" si="0"/>
        <v>#N/A</v>
      </c>
      <c r="E56" t="e">
        <f t="shared" si="1"/>
        <v>#N/A</v>
      </c>
      <c r="F56">
        <f t="shared" si="2"/>
        <v>69</v>
      </c>
      <c r="G56">
        <f t="shared" si="3"/>
        <v>83.66</v>
      </c>
    </row>
    <row r="57" spans="1:7" x14ac:dyDescent="0.2">
      <c r="A57">
        <v>47</v>
      </c>
      <c r="B57">
        <v>75.48</v>
      </c>
      <c r="C57">
        <v>1</v>
      </c>
      <c r="D57" t="e">
        <f t="shared" si="0"/>
        <v>#N/A</v>
      </c>
      <c r="E57" t="e">
        <f t="shared" si="1"/>
        <v>#N/A</v>
      </c>
      <c r="F57">
        <f t="shared" si="2"/>
        <v>47</v>
      </c>
      <c r="G57">
        <f t="shared" si="3"/>
        <v>75.48</v>
      </c>
    </row>
    <row r="58" spans="1:7" x14ac:dyDescent="0.2">
      <c r="A58">
        <v>62</v>
      </c>
      <c r="B58">
        <v>29.1</v>
      </c>
      <c r="C58">
        <v>0</v>
      </c>
      <c r="D58">
        <f t="shared" si="0"/>
        <v>62</v>
      </c>
      <c r="E58">
        <f t="shared" si="1"/>
        <v>29.1</v>
      </c>
      <c r="F58" t="e">
        <f t="shared" si="2"/>
        <v>#N/A</v>
      </c>
      <c r="G58" t="e">
        <f t="shared" si="3"/>
        <v>#N/A</v>
      </c>
    </row>
    <row r="59" spans="1:7" x14ac:dyDescent="0.2">
      <c r="A59">
        <v>69</v>
      </c>
      <c r="B59">
        <v>92.64</v>
      </c>
      <c r="C59">
        <v>0</v>
      </c>
      <c r="D59">
        <f t="shared" si="0"/>
        <v>69</v>
      </c>
      <c r="E59">
        <f t="shared" si="1"/>
        <v>92.64</v>
      </c>
      <c r="F59" t="e">
        <f t="shared" si="2"/>
        <v>#N/A</v>
      </c>
      <c r="G59" t="e">
        <f t="shared" si="3"/>
        <v>#N/A</v>
      </c>
    </row>
    <row r="60" spans="1:7" x14ac:dyDescent="0.2">
      <c r="A60">
        <v>16</v>
      </c>
      <c r="B60">
        <v>74.739999999999995</v>
      </c>
      <c r="C60">
        <v>1</v>
      </c>
      <c r="D60" t="e">
        <f t="shared" si="0"/>
        <v>#N/A</v>
      </c>
      <c r="E60" t="e">
        <f t="shared" si="1"/>
        <v>#N/A</v>
      </c>
      <c r="F60">
        <f t="shared" si="2"/>
        <v>16</v>
      </c>
      <c r="G60">
        <f t="shared" si="3"/>
        <v>74.739999999999995</v>
      </c>
    </row>
    <row r="61" spans="1:7" x14ac:dyDescent="0.2">
      <c r="A61">
        <v>48</v>
      </c>
      <c r="B61">
        <v>65.09</v>
      </c>
      <c r="C61">
        <v>0</v>
      </c>
      <c r="D61">
        <f t="shared" si="0"/>
        <v>48</v>
      </c>
      <c r="E61">
        <f t="shared" si="1"/>
        <v>65.09</v>
      </c>
      <c r="F61" t="e">
        <f t="shared" si="2"/>
        <v>#N/A</v>
      </c>
      <c r="G61" t="e">
        <f t="shared" si="3"/>
        <v>#N/A</v>
      </c>
    </row>
    <row r="62" spans="1:7" x14ac:dyDescent="0.2">
      <c r="A62">
        <v>39</v>
      </c>
      <c r="B62">
        <v>111.05</v>
      </c>
      <c r="C62">
        <v>1</v>
      </c>
      <c r="D62" t="e">
        <f t="shared" si="0"/>
        <v>#N/A</v>
      </c>
      <c r="E62" t="e">
        <f t="shared" si="1"/>
        <v>#N/A</v>
      </c>
      <c r="F62">
        <f t="shared" si="2"/>
        <v>39</v>
      </c>
      <c r="G62">
        <f t="shared" si="3"/>
        <v>111.05</v>
      </c>
    </row>
    <row r="63" spans="1:7" x14ac:dyDescent="0.2">
      <c r="A63">
        <v>33</v>
      </c>
      <c r="B63">
        <v>49.8</v>
      </c>
      <c r="C63">
        <v>0</v>
      </c>
      <c r="D63">
        <f t="shared" si="0"/>
        <v>33</v>
      </c>
      <c r="E63">
        <f t="shared" si="1"/>
        <v>49.8</v>
      </c>
      <c r="F63" t="e">
        <f t="shared" si="2"/>
        <v>#N/A</v>
      </c>
      <c r="G63" t="e">
        <f t="shared" si="3"/>
        <v>#N/A</v>
      </c>
    </row>
    <row r="64" spans="1:7" x14ac:dyDescent="0.2">
      <c r="A64">
        <v>23</v>
      </c>
      <c r="B64">
        <v>72.36</v>
      </c>
      <c r="C64">
        <v>1</v>
      </c>
      <c r="D64" t="e">
        <f t="shared" si="0"/>
        <v>#N/A</v>
      </c>
      <c r="E64" t="e">
        <f t="shared" si="1"/>
        <v>#N/A</v>
      </c>
      <c r="F64">
        <f t="shared" si="2"/>
        <v>23</v>
      </c>
      <c r="G64">
        <f t="shared" si="3"/>
        <v>72.36</v>
      </c>
    </row>
    <row r="65" spans="1:7" x14ac:dyDescent="0.2">
      <c r="A65">
        <v>10</v>
      </c>
      <c r="B65">
        <v>89.76</v>
      </c>
      <c r="C65">
        <v>0</v>
      </c>
      <c r="D65">
        <f t="shared" si="0"/>
        <v>10</v>
      </c>
      <c r="E65">
        <f t="shared" si="1"/>
        <v>89.76</v>
      </c>
      <c r="F65" t="e">
        <f t="shared" si="2"/>
        <v>#N/A</v>
      </c>
      <c r="G65" t="e">
        <f t="shared" si="3"/>
        <v>#N/A</v>
      </c>
    </row>
    <row r="66" spans="1:7" x14ac:dyDescent="0.2">
      <c r="A66">
        <v>69</v>
      </c>
      <c r="B66">
        <v>99.65</v>
      </c>
      <c r="C66">
        <v>1</v>
      </c>
      <c r="D66" t="e">
        <f t="shared" si="0"/>
        <v>#N/A</v>
      </c>
      <c r="E66" t="e">
        <f t="shared" si="1"/>
        <v>#N/A</v>
      </c>
      <c r="F66">
        <f t="shared" si="2"/>
        <v>69</v>
      </c>
      <c r="G66">
        <f t="shared" si="3"/>
        <v>99.65</v>
      </c>
    </row>
    <row r="67" spans="1:7" x14ac:dyDescent="0.2">
      <c r="A67">
        <v>34</v>
      </c>
      <c r="B67">
        <v>65.930000000000007</v>
      </c>
      <c r="C67">
        <v>1</v>
      </c>
      <c r="D67" t="e">
        <f t="shared" ref="D67:D130" si="4" xml:space="preserve"> IF($C67=0, $A67, NA())</f>
        <v>#N/A</v>
      </c>
      <c r="E67" t="e">
        <f t="shared" ref="E67:E130" si="5" xml:space="preserve"> IF($C67=0, B67, NA())</f>
        <v>#N/A</v>
      </c>
      <c r="F67">
        <f t="shared" ref="F67:F130" si="6" xml:space="preserve"> IF($C67=1, A67, NA())</f>
        <v>34</v>
      </c>
      <c r="G67">
        <f t="shared" ref="G67:G130" si="7" xml:space="preserve"> IF($C67=1, $B67, NA())</f>
        <v>65.930000000000007</v>
      </c>
    </row>
    <row r="68" spans="1:7" x14ac:dyDescent="0.2">
      <c r="A68">
        <v>52</v>
      </c>
      <c r="B68">
        <v>104.21</v>
      </c>
      <c r="C68">
        <v>1</v>
      </c>
      <c r="D68" t="e">
        <f t="shared" si="4"/>
        <v>#N/A</v>
      </c>
      <c r="E68" t="e">
        <f t="shared" si="5"/>
        <v>#N/A</v>
      </c>
      <c r="F68">
        <f t="shared" si="6"/>
        <v>52</v>
      </c>
      <c r="G68">
        <f t="shared" si="7"/>
        <v>104.21</v>
      </c>
    </row>
    <row r="69" spans="1:7" x14ac:dyDescent="0.2">
      <c r="A69">
        <v>10</v>
      </c>
      <c r="B69">
        <v>96.89</v>
      </c>
      <c r="C69">
        <v>1</v>
      </c>
      <c r="D69" t="e">
        <f t="shared" si="4"/>
        <v>#N/A</v>
      </c>
      <c r="E69" t="e">
        <f t="shared" si="5"/>
        <v>#N/A</v>
      </c>
      <c r="F69">
        <f t="shared" si="6"/>
        <v>10</v>
      </c>
      <c r="G69">
        <f t="shared" si="7"/>
        <v>96.89</v>
      </c>
    </row>
    <row r="70" spans="1:7" x14ac:dyDescent="0.2">
      <c r="A70">
        <v>19</v>
      </c>
      <c r="B70">
        <v>26.62</v>
      </c>
      <c r="C70">
        <v>0</v>
      </c>
      <c r="D70">
        <f t="shared" si="4"/>
        <v>19</v>
      </c>
      <c r="E70">
        <f t="shared" si="5"/>
        <v>26.62</v>
      </c>
      <c r="F70" t="e">
        <f t="shared" si="6"/>
        <v>#N/A</v>
      </c>
      <c r="G70" t="e">
        <f t="shared" si="7"/>
        <v>#N/A</v>
      </c>
    </row>
    <row r="71" spans="1:7" x14ac:dyDescent="0.2">
      <c r="A71">
        <v>58</v>
      </c>
      <c r="B71">
        <v>24.59</v>
      </c>
      <c r="C71">
        <v>1</v>
      </c>
      <c r="D71" t="e">
        <f t="shared" si="4"/>
        <v>#N/A</v>
      </c>
      <c r="E71" t="e">
        <f t="shared" si="5"/>
        <v>#N/A</v>
      </c>
      <c r="F71">
        <f t="shared" si="6"/>
        <v>58</v>
      </c>
      <c r="G71">
        <f t="shared" si="7"/>
        <v>24.59</v>
      </c>
    </row>
    <row r="72" spans="1:7" x14ac:dyDescent="0.2">
      <c r="A72">
        <v>1</v>
      </c>
      <c r="B72">
        <v>82.08</v>
      </c>
      <c r="C72">
        <v>0</v>
      </c>
      <c r="D72">
        <f t="shared" si="4"/>
        <v>1</v>
      </c>
      <c r="E72">
        <f t="shared" si="5"/>
        <v>82.08</v>
      </c>
      <c r="F72" t="e">
        <f t="shared" si="6"/>
        <v>#N/A</v>
      </c>
      <c r="G72" t="e">
        <f t="shared" si="7"/>
        <v>#N/A</v>
      </c>
    </row>
    <row r="73" spans="1:7" x14ac:dyDescent="0.2">
      <c r="A73">
        <v>69</v>
      </c>
      <c r="B73">
        <v>54.74</v>
      </c>
      <c r="C73">
        <v>1</v>
      </c>
      <c r="D73" t="e">
        <f t="shared" si="4"/>
        <v>#N/A</v>
      </c>
      <c r="E73" t="e">
        <f t="shared" si="5"/>
        <v>#N/A</v>
      </c>
      <c r="F73">
        <f t="shared" si="6"/>
        <v>69</v>
      </c>
      <c r="G73">
        <f t="shared" si="7"/>
        <v>54.74</v>
      </c>
    </row>
    <row r="74" spans="1:7" x14ac:dyDescent="0.2">
      <c r="A74">
        <v>4</v>
      </c>
      <c r="B74">
        <v>40.909999999999997</v>
      </c>
      <c r="C74">
        <v>1</v>
      </c>
      <c r="D74" t="e">
        <f t="shared" si="4"/>
        <v>#N/A</v>
      </c>
      <c r="E74" t="e">
        <f t="shared" si="5"/>
        <v>#N/A</v>
      </c>
      <c r="F74">
        <f t="shared" si="6"/>
        <v>4</v>
      </c>
      <c r="G74">
        <f t="shared" si="7"/>
        <v>40.909999999999997</v>
      </c>
    </row>
    <row r="75" spans="1:7" x14ac:dyDescent="0.2">
      <c r="A75">
        <v>16</v>
      </c>
      <c r="B75">
        <v>77.959999999999994</v>
      </c>
      <c r="C75">
        <v>1</v>
      </c>
      <c r="D75" t="e">
        <f t="shared" si="4"/>
        <v>#N/A</v>
      </c>
      <c r="E75" t="e">
        <f t="shared" si="5"/>
        <v>#N/A</v>
      </c>
      <c r="F75">
        <f t="shared" si="6"/>
        <v>16</v>
      </c>
      <c r="G75">
        <f t="shared" si="7"/>
        <v>77.959999999999994</v>
      </c>
    </row>
    <row r="76" spans="1:7" x14ac:dyDescent="0.2">
      <c r="A76">
        <v>24</v>
      </c>
      <c r="B76">
        <v>54.16</v>
      </c>
      <c r="C76">
        <v>1</v>
      </c>
      <c r="D76" t="e">
        <f t="shared" si="4"/>
        <v>#N/A</v>
      </c>
      <c r="E76" t="e">
        <f t="shared" si="5"/>
        <v>#N/A</v>
      </c>
      <c r="F76">
        <f t="shared" si="6"/>
        <v>24</v>
      </c>
      <c r="G76">
        <f t="shared" si="7"/>
        <v>54.16</v>
      </c>
    </row>
    <row r="77" spans="1:7" x14ac:dyDescent="0.2">
      <c r="A77">
        <v>2</v>
      </c>
      <c r="B77">
        <v>73.73</v>
      </c>
      <c r="C77">
        <v>1</v>
      </c>
      <c r="D77" t="e">
        <f t="shared" si="4"/>
        <v>#N/A</v>
      </c>
      <c r="E77" t="e">
        <f t="shared" si="5"/>
        <v>#N/A</v>
      </c>
      <c r="F77">
        <f t="shared" si="6"/>
        <v>2</v>
      </c>
      <c r="G77">
        <f t="shared" si="7"/>
        <v>73.73</v>
      </c>
    </row>
    <row r="78" spans="1:7" x14ac:dyDescent="0.2">
      <c r="A78">
        <v>32</v>
      </c>
      <c r="B78">
        <v>66.010000000000005</v>
      </c>
      <c r="C78">
        <v>0</v>
      </c>
      <c r="D78">
        <f t="shared" si="4"/>
        <v>32</v>
      </c>
      <c r="E78">
        <f t="shared" si="5"/>
        <v>66.010000000000005</v>
      </c>
      <c r="F78" t="e">
        <f t="shared" si="6"/>
        <v>#N/A</v>
      </c>
      <c r="G78" t="e">
        <f t="shared" si="7"/>
        <v>#N/A</v>
      </c>
    </row>
    <row r="79" spans="1:7" x14ac:dyDescent="0.2">
      <c r="A79">
        <v>24</v>
      </c>
      <c r="B79">
        <v>78.48</v>
      </c>
      <c r="C79">
        <v>0</v>
      </c>
      <c r="D79">
        <f t="shared" si="4"/>
        <v>24</v>
      </c>
      <c r="E79">
        <f t="shared" si="5"/>
        <v>78.48</v>
      </c>
      <c r="F79" t="e">
        <f t="shared" si="6"/>
        <v>#N/A</v>
      </c>
      <c r="G79" t="e">
        <f t="shared" si="7"/>
        <v>#N/A</v>
      </c>
    </row>
    <row r="80" spans="1:7" x14ac:dyDescent="0.2">
      <c r="A80">
        <v>12</v>
      </c>
      <c r="B80">
        <v>60.03</v>
      </c>
      <c r="C80">
        <v>1</v>
      </c>
      <c r="D80" t="e">
        <f t="shared" si="4"/>
        <v>#N/A</v>
      </c>
      <c r="E80" t="e">
        <f t="shared" si="5"/>
        <v>#N/A</v>
      </c>
      <c r="F80">
        <f t="shared" si="6"/>
        <v>12</v>
      </c>
      <c r="G80">
        <f t="shared" si="7"/>
        <v>60.03</v>
      </c>
    </row>
    <row r="81" spans="1:7" x14ac:dyDescent="0.2">
      <c r="A81">
        <v>50</v>
      </c>
      <c r="B81">
        <v>89.77</v>
      </c>
      <c r="C81">
        <v>0</v>
      </c>
      <c r="D81">
        <f t="shared" si="4"/>
        <v>50</v>
      </c>
      <c r="E81">
        <f t="shared" si="5"/>
        <v>89.77</v>
      </c>
      <c r="F81" t="e">
        <f t="shared" si="6"/>
        <v>#N/A</v>
      </c>
      <c r="G81" t="e">
        <f t="shared" si="7"/>
        <v>#N/A</v>
      </c>
    </row>
    <row r="82" spans="1:7" x14ac:dyDescent="0.2">
      <c r="A82">
        <v>35</v>
      </c>
      <c r="B82">
        <v>38.01</v>
      </c>
      <c r="C82">
        <v>1</v>
      </c>
      <c r="D82" t="e">
        <f t="shared" si="4"/>
        <v>#N/A</v>
      </c>
      <c r="E82" t="e">
        <f t="shared" si="5"/>
        <v>#N/A</v>
      </c>
      <c r="F82">
        <f t="shared" si="6"/>
        <v>35</v>
      </c>
      <c r="G82">
        <f t="shared" si="7"/>
        <v>38.01</v>
      </c>
    </row>
    <row r="83" spans="1:7" x14ac:dyDescent="0.2">
      <c r="A83">
        <v>33</v>
      </c>
      <c r="B83">
        <v>89.65</v>
      </c>
      <c r="C83">
        <v>1</v>
      </c>
      <c r="D83" t="e">
        <f t="shared" si="4"/>
        <v>#N/A</v>
      </c>
      <c r="E83" t="e">
        <f t="shared" si="5"/>
        <v>#N/A</v>
      </c>
      <c r="F83">
        <f t="shared" si="6"/>
        <v>33</v>
      </c>
      <c r="G83">
        <f t="shared" si="7"/>
        <v>89.65</v>
      </c>
    </row>
    <row r="84" spans="1:7" x14ac:dyDescent="0.2">
      <c r="A84">
        <v>33</v>
      </c>
      <c r="B84">
        <v>61.17</v>
      </c>
      <c r="C84">
        <v>0</v>
      </c>
      <c r="D84">
        <f t="shared" si="4"/>
        <v>33</v>
      </c>
      <c r="E84">
        <f t="shared" si="5"/>
        <v>61.17</v>
      </c>
      <c r="F84" t="e">
        <f t="shared" si="6"/>
        <v>#N/A</v>
      </c>
      <c r="G84" t="e">
        <f t="shared" si="7"/>
        <v>#N/A</v>
      </c>
    </row>
    <row r="85" spans="1:7" x14ac:dyDescent="0.2">
      <c r="A85">
        <v>61</v>
      </c>
      <c r="B85">
        <v>107.43</v>
      </c>
      <c r="C85">
        <v>0</v>
      </c>
      <c r="D85">
        <f t="shared" si="4"/>
        <v>61</v>
      </c>
      <c r="E85">
        <f t="shared" si="5"/>
        <v>107.43</v>
      </c>
      <c r="F85" t="e">
        <f t="shared" si="6"/>
        <v>#N/A</v>
      </c>
      <c r="G85" t="e">
        <f t="shared" si="7"/>
        <v>#N/A</v>
      </c>
    </row>
    <row r="86" spans="1:7" x14ac:dyDescent="0.2">
      <c r="A86">
        <v>51</v>
      </c>
      <c r="B86">
        <v>71.52</v>
      </c>
      <c r="C86">
        <v>0</v>
      </c>
      <c r="D86">
        <f t="shared" si="4"/>
        <v>51</v>
      </c>
      <c r="E86">
        <f t="shared" si="5"/>
        <v>71.52</v>
      </c>
      <c r="F86" t="e">
        <f t="shared" si="6"/>
        <v>#N/A</v>
      </c>
      <c r="G86" t="e">
        <f t="shared" si="7"/>
        <v>#N/A</v>
      </c>
    </row>
    <row r="87" spans="1:7" x14ac:dyDescent="0.2">
      <c r="A87">
        <v>43</v>
      </c>
      <c r="B87">
        <v>117.31</v>
      </c>
      <c r="C87">
        <v>0</v>
      </c>
      <c r="D87">
        <f t="shared" si="4"/>
        <v>43</v>
      </c>
      <c r="E87">
        <f t="shared" si="5"/>
        <v>117.31</v>
      </c>
      <c r="F87" t="e">
        <f t="shared" si="6"/>
        <v>#N/A</v>
      </c>
      <c r="G87" t="e">
        <f t="shared" si="7"/>
        <v>#N/A</v>
      </c>
    </row>
    <row r="88" spans="1:7" x14ac:dyDescent="0.2">
      <c r="A88">
        <v>12</v>
      </c>
      <c r="B88">
        <v>80.19</v>
      </c>
      <c r="C88">
        <v>1</v>
      </c>
      <c r="D88" t="e">
        <f t="shared" si="4"/>
        <v>#N/A</v>
      </c>
      <c r="E88" t="e">
        <f t="shared" si="5"/>
        <v>#N/A</v>
      </c>
      <c r="F88">
        <f t="shared" si="6"/>
        <v>12</v>
      </c>
      <c r="G88">
        <f t="shared" si="7"/>
        <v>80.19</v>
      </c>
    </row>
    <row r="89" spans="1:7" x14ac:dyDescent="0.2">
      <c r="A89">
        <v>67</v>
      </c>
      <c r="B89">
        <v>42.38</v>
      </c>
      <c r="C89">
        <v>0</v>
      </c>
      <c r="D89">
        <f t="shared" si="4"/>
        <v>67</v>
      </c>
      <c r="E89">
        <f t="shared" si="5"/>
        <v>42.38</v>
      </c>
      <c r="F89" t="e">
        <f t="shared" si="6"/>
        <v>#N/A</v>
      </c>
      <c r="G89" t="e">
        <f t="shared" si="7"/>
        <v>#N/A</v>
      </c>
    </row>
    <row r="90" spans="1:7" x14ac:dyDescent="0.2">
      <c r="A90">
        <v>65</v>
      </c>
      <c r="B90">
        <v>102.18</v>
      </c>
      <c r="C90">
        <v>0</v>
      </c>
      <c r="D90">
        <f t="shared" si="4"/>
        <v>65</v>
      </c>
      <c r="E90">
        <f t="shared" si="5"/>
        <v>102.18</v>
      </c>
      <c r="F90" t="e">
        <f t="shared" si="6"/>
        <v>#N/A</v>
      </c>
      <c r="G90" t="e">
        <f t="shared" si="7"/>
        <v>#N/A</v>
      </c>
    </row>
    <row r="91" spans="1:7" x14ac:dyDescent="0.2">
      <c r="A91">
        <v>33</v>
      </c>
      <c r="B91">
        <v>54.51</v>
      </c>
      <c r="C91">
        <v>1</v>
      </c>
      <c r="D91" t="e">
        <f t="shared" si="4"/>
        <v>#N/A</v>
      </c>
      <c r="E91" t="e">
        <f t="shared" si="5"/>
        <v>#N/A</v>
      </c>
      <c r="F91">
        <f t="shared" si="6"/>
        <v>33</v>
      </c>
      <c r="G91">
        <f t="shared" si="7"/>
        <v>54.51</v>
      </c>
    </row>
    <row r="92" spans="1:7" x14ac:dyDescent="0.2">
      <c r="A92">
        <v>40</v>
      </c>
      <c r="B92">
        <v>54.76</v>
      </c>
      <c r="C92">
        <v>0</v>
      </c>
      <c r="D92">
        <f t="shared" si="4"/>
        <v>40</v>
      </c>
      <c r="E92">
        <f t="shared" si="5"/>
        <v>54.76</v>
      </c>
      <c r="F92" t="e">
        <f t="shared" si="6"/>
        <v>#N/A</v>
      </c>
      <c r="G92" t="e">
        <f t="shared" si="7"/>
        <v>#N/A</v>
      </c>
    </row>
    <row r="93" spans="1:7" x14ac:dyDescent="0.2">
      <c r="A93">
        <v>43</v>
      </c>
      <c r="B93">
        <v>23.18</v>
      </c>
      <c r="C93">
        <v>1</v>
      </c>
      <c r="D93" t="e">
        <f t="shared" si="4"/>
        <v>#N/A</v>
      </c>
      <c r="E93" t="e">
        <f t="shared" si="5"/>
        <v>#N/A</v>
      </c>
      <c r="F93">
        <f t="shared" si="6"/>
        <v>43</v>
      </c>
      <c r="G93">
        <f t="shared" si="7"/>
        <v>23.18</v>
      </c>
    </row>
    <row r="94" spans="1:7" x14ac:dyDescent="0.2">
      <c r="A94">
        <v>44</v>
      </c>
      <c r="B94">
        <v>74.87</v>
      </c>
      <c r="C94">
        <v>1</v>
      </c>
      <c r="D94" t="e">
        <f t="shared" si="4"/>
        <v>#N/A</v>
      </c>
      <c r="E94" t="e">
        <f t="shared" si="5"/>
        <v>#N/A</v>
      </c>
      <c r="F94">
        <f t="shared" si="6"/>
        <v>44</v>
      </c>
      <c r="G94">
        <f t="shared" si="7"/>
        <v>74.87</v>
      </c>
    </row>
    <row r="95" spans="1:7" x14ac:dyDescent="0.2">
      <c r="A95">
        <v>29</v>
      </c>
      <c r="B95">
        <v>73.44</v>
      </c>
      <c r="C95">
        <v>0</v>
      </c>
      <c r="D95">
        <f t="shared" si="4"/>
        <v>29</v>
      </c>
      <c r="E95">
        <f t="shared" si="5"/>
        <v>73.44</v>
      </c>
      <c r="F95" t="e">
        <f t="shared" si="6"/>
        <v>#N/A</v>
      </c>
      <c r="G95" t="e">
        <f t="shared" si="7"/>
        <v>#N/A</v>
      </c>
    </row>
    <row r="96" spans="1:7" x14ac:dyDescent="0.2">
      <c r="A96">
        <v>13</v>
      </c>
      <c r="B96">
        <v>55.6</v>
      </c>
      <c r="C96">
        <v>0</v>
      </c>
      <c r="D96">
        <f t="shared" si="4"/>
        <v>13</v>
      </c>
      <c r="E96">
        <f t="shared" si="5"/>
        <v>55.6</v>
      </c>
      <c r="F96" t="e">
        <f t="shared" si="6"/>
        <v>#N/A</v>
      </c>
      <c r="G96" t="e">
        <f t="shared" si="7"/>
        <v>#N/A</v>
      </c>
    </row>
    <row r="97" spans="1:7" x14ac:dyDescent="0.2">
      <c r="A97">
        <v>12</v>
      </c>
      <c r="B97">
        <v>109.42</v>
      </c>
      <c r="C97">
        <v>1</v>
      </c>
      <c r="D97" t="e">
        <f t="shared" si="4"/>
        <v>#N/A</v>
      </c>
      <c r="E97" t="e">
        <f t="shared" si="5"/>
        <v>#N/A</v>
      </c>
      <c r="F97">
        <f t="shared" si="6"/>
        <v>12</v>
      </c>
      <c r="G97">
        <f t="shared" si="7"/>
        <v>109.42</v>
      </c>
    </row>
    <row r="98" spans="1:7" x14ac:dyDescent="0.2">
      <c r="A98">
        <v>46</v>
      </c>
      <c r="B98">
        <v>32.869999999999997</v>
      </c>
      <c r="C98">
        <v>1</v>
      </c>
      <c r="D98" t="e">
        <f t="shared" si="4"/>
        <v>#N/A</v>
      </c>
      <c r="E98" t="e">
        <f t="shared" si="5"/>
        <v>#N/A</v>
      </c>
      <c r="F98">
        <f t="shared" si="6"/>
        <v>46</v>
      </c>
      <c r="G98">
        <f t="shared" si="7"/>
        <v>32.869999999999997</v>
      </c>
    </row>
    <row r="99" spans="1:7" x14ac:dyDescent="0.2">
      <c r="A99">
        <v>2</v>
      </c>
      <c r="B99">
        <v>53.01</v>
      </c>
      <c r="C99">
        <v>1</v>
      </c>
      <c r="D99" t="e">
        <f t="shared" si="4"/>
        <v>#N/A</v>
      </c>
      <c r="E99" t="e">
        <f t="shared" si="5"/>
        <v>#N/A</v>
      </c>
      <c r="F99">
        <f t="shared" si="6"/>
        <v>2</v>
      </c>
      <c r="G99">
        <f t="shared" si="7"/>
        <v>53.01</v>
      </c>
    </row>
    <row r="100" spans="1:7" x14ac:dyDescent="0.2">
      <c r="A100">
        <v>35</v>
      </c>
      <c r="B100">
        <v>52.16</v>
      </c>
      <c r="C100">
        <v>1</v>
      </c>
      <c r="D100" t="e">
        <f t="shared" si="4"/>
        <v>#N/A</v>
      </c>
      <c r="E100" t="e">
        <f t="shared" si="5"/>
        <v>#N/A</v>
      </c>
      <c r="F100">
        <f t="shared" si="6"/>
        <v>35</v>
      </c>
      <c r="G100">
        <f t="shared" si="7"/>
        <v>52.16</v>
      </c>
    </row>
    <row r="101" spans="1:7" x14ac:dyDescent="0.2">
      <c r="A101">
        <v>8</v>
      </c>
      <c r="B101">
        <v>29.23</v>
      </c>
      <c r="C101">
        <v>0</v>
      </c>
      <c r="D101">
        <f t="shared" si="4"/>
        <v>8</v>
      </c>
      <c r="E101">
        <f t="shared" si="5"/>
        <v>29.23</v>
      </c>
      <c r="F101" t="e">
        <f t="shared" si="6"/>
        <v>#N/A</v>
      </c>
      <c r="G101" t="e">
        <f t="shared" si="7"/>
        <v>#N/A</v>
      </c>
    </row>
    <row r="102" spans="1:7" x14ac:dyDescent="0.2">
      <c r="A102">
        <v>26</v>
      </c>
      <c r="B102">
        <v>68.11</v>
      </c>
      <c r="C102">
        <v>0</v>
      </c>
      <c r="D102">
        <f t="shared" si="4"/>
        <v>26</v>
      </c>
      <c r="E102">
        <f t="shared" si="5"/>
        <v>68.11</v>
      </c>
      <c r="F102" t="e">
        <f t="shared" si="6"/>
        <v>#N/A</v>
      </c>
      <c r="G102" t="e">
        <f t="shared" si="7"/>
        <v>#N/A</v>
      </c>
    </row>
    <row r="103" spans="1:7" x14ac:dyDescent="0.2">
      <c r="A103">
        <v>34</v>
      </c>
      <c r="B103">
        <v>88.78</v>
      </c>
      <c r="C103">
        <v>1</v>
      </c>
      <c r="D103" t="e">
        <f t="shared" si="4"/>
        <v>#N/A</v>
      </c>
      <c r="E103" t="e">
        <f t="shared" si="5"/>
        <v>#N/A</v>
      </c>
      <c r="F103">
        <f t="shared" si="6"/>
        <v>34</v>
      </c>
      <c r="G103">
        <f t="shared" si="7"/>
        <v>88.78</v>
      </c>
    </row>
    <row r="104" spans="1:7" x14ac:dyDescent="0.2">
      <c r="A104">
        <v>7</v>
      </c>
      <c r="B104">
        <v>71.17</v>
      </c>
      <c r="C104">
        <v>1</v>
      </c>
      <c r="D104" t="e">
        <f t="shared" si="4"/>
        <v>#N/A</v>
      </c>
      <c r="E104" t="e">
        <f t="shared" si="5"/>
        <v>#N/A</v>
      </c>
      <c r="F104">
        <f t="shared" si="6"/>
        <v>7</v>
      </c>
      <c r="G104">
        <f t="shared" si="7"/>
        <v>71.17</v>
      </c>
    </row>
    <row r="105" spans="1:7" x14ac:dyDescent="0.2">
      <c r="A105">
        <v>68</v>
      </c>
      <c r="B105">
        <v>35.700000000000003</v>
      </c>
      <c r="C105">
        <v>1</v>
      </c>
      <c r="D105" t="e">
        <f t="shared" si="4"/>
        <v>#N/A</v>
      </c>
      <c r="E105" t="e">
        <f t="shared" si="5"/>
        <v>#N/A</v>
      </c>
      <c r="F105">
        <f t="shared" si="6"/>
        <v>68</v>
      </c>
      <c r="G105">
        <f t="shared" si="7"/>
        <v>35.700000000000003</v>
      </c>
    </row>
    <row r="106" spans="1:7" x14ac:dyDescent="0.2">
      <c r="A106">
        <v>58</v>
      </c>
      <c r="B106">
        <v>57.73</v>
      </c>
      <c r="C106">
        <v>1</v>
      </c>
      <c r="D106" t="e">
        <f t="shared" si="4"/>
        <v>#N/A</v>
      </c>
      <c r="E106" t="e">
        <f t="shared" si="5"/>
        <v>#N/A</v>
      </c>
      <c r="F106">
        <f t="shared" si="6"/>
        <v>58</v>
      </c>
      <c r="G106">
        <f t="shared" si="7"/>
        <v>57.73</v>
      </c>
    </row>
    <row r="107" spans="1:7" x14ac:dyDescent="0.2">
      <c r="A107">
        <v>29</v>
      </c>
      <c r="B107">
        <v>20.260000000000002</v>
      </c>
      <c r="C107">
        <v>0</v>
      </c>
      <c r="D107">
        <f t="shared" si="4"/>
        <v>29</v>
      </c>
      <c r="E107">
        <f t="shared" si="5"/>
        <v>20.260000000000002</v>
      </c>
      <c r="F107" t="e">
        <f t="shared" si="6"/>
        <v>#N/A</v>
      </c>
      <c r="G107" t="e">
        <f t="shared" si="7"/>
        <v>#N/A</v>
      </c>
    </row>
    <row r="108" spans="1:7" x14ac:dyDescent="0.2">
      <c r="A108">
        <v>36</v>
      </c>
      <c r="B108">
        <v>106.83</v>
      </c>
      <c r="C108">
        <v>0</v>
      </c>
      <c r="D108">
        <f t="shared" si="4"/>
        <v>36</v>
      </c>
      <c r="E108">
        <f t="shared" si="5"/>
        <v>106.83</v>
      </c>
      <c r="F108" t="e">
        <f t="shared" si="6"/>
        <v>#N/A</v>
      </c>
      <c r="G108" t="e">
        <f t="shared" si="7"/>
        <v>#N/A</v>
      </c>
    </row>
    <row r="109" spans="1:7" x14ac:dyDescent="0.2">
      <c r="A109">
        <v>21</v>
      </c>
      <c r="B109">
        <v>28.45</v>
      </c>
      <c r="C109">
        <v>0</v>
      </c>
      <c r="D109">
        <f t="shared" si="4"/>
        <v>21</v>
      </c>
      <c r="E109">
        <f t="shared" si="5"/>
        <v>28.45</v>
      </c>
      <c r="F109" t="e">
        <f t="shared" si="6"/>
        <v>#N/A</v>
      </c>
      <c r="G109" t="e">
        <f t="shared" si="7"/>
        <v>#N/A</v>
      </c>
    </row>
    <row r="110" spans="1:7" x14ac:dyDescent="0.2">
      <c r="A110">
        <v>36</v>
      </c>
      <c r="B110">
        <v>79.73</v>
      </c>
      <c r="C110">
        <v>1</v>
      </c>
      <c r="D110" t="e">
        <f t="shared" si="4"/>
        <v>#N/A</v>
      </c>
      <c r="E110" t="e">
        <f t="shared" si="5"/>
        <v>#N/A</v>
      </c>
      <c r="F110">
        <f t="shared" si="6"/>
        <v>36</v>
      </c>
      <c r="G110">
        <f t="shared" si="7"/>
        <v>79.73</v>
      </c>
    </row>
    <row r="111" spans="1:7" x14ac:dyDescent="0.2">
      <c r="A111">
        <v>10</v>
      </c>
      <c r="B111">
        <v>118.63</v>
      </c>
      <c r="C111">
        <v>0</v>
      </c>
      <c r="D111">
        <f t="shared" si="4"/>
        <v>10</v>
      </c>
      <c r="E111">
        <f t="shared" si="5"/>
        <v>118.63</v>
      </c>
      <c r="F111" t="e">
        <f t="shared" si="6"/>
        <v>#N/A</v>
      </c>
      <c r="G111" t="e">
        <f t="shared" si="7"/>
        <v>#N/A</v>
      </c>
    </row>
    <row r="112" spans="1:7" x14ac:dyDescent="0.2">
      <c r="A112">
        <v>24</v>
      </c>
      <c r="B112">
        <v>73.66</v>
      </c>
      <c r="C112">
        <v>0</v>
      </c>
      <c r="D112">
        <f t="shared" si="4"/>
        <v>24</v>
      </c>
      <c r="E112">
        <f t="shared" si="5"/>
        <v>73.66</v>
      </c>
      <c r="F112" t="e">
        <f t="shared" si="6"/>
        <v>#N/A</v>
      </c>
      <c r="G112" t="e">
        <f t="shared" si="7"/>
        <v>#N/A</v>
      </c>
    </row>
    <row r="113" spans="1:7" x14ac:dyDescent="0.2">
      <c r="A113">
        <v>64</v>
      </c>
      <c r="B113">
        <v>112.4</v>
      </c>
      <c r="C113">
        <v>0</v>
      </c>
      <c r="D113">
        <f t="shared" si="4"/>
        <v>64</v>
      </c>
      <c r="E113">
        <f t="shared" si="5"/>
        <v>112.4</v>
      </c>
      <c r="F113" t="e">
        <f t="shared" si="6"/>
        <v>#N/A</v>
      </c>
      <c r="G113" t="e">
        <f t="shared" si="7"/>
        <v>#N/A</v>
      </c>
    </row>
    <row r="114" spans="1:7" x14ac:dyDescent="0.2">
      <c r="A114">
        <v>49</v>
      </c>
      <c r="B114">
        <v>43.61</v>
      </c>
      <c r="C114">
        <v>0</v>
      </c>
      <c r="D114">
        <f t="shared" si="4"/>
        <v>49</v>
      </c>
      <c r="E114">
        <f t="shared" si="5"/>
        <v>43.61</v>
      </c>
      <c r="F114" t="e">
        <f t="shared" si="6"/>
        <v>#N/A</v>
      </c>
      <c r="G114" t="e">
        <f t="shared" si="7"/>
        <v>#N/A</v>
      </c>
    </row>
    <row r="115" spans="1:7" x14ac:dyDescent="0.2">
      <c r="A115">
        <v>36</v>
      </c>
      <c r="B115">
        <v>96</v>
      </c>
      <c r="C115">
        <v>1</v>
      </c>
      <c r="D115" t="e">
        <f t="shared" si="4"/>
        <v>#N/A</v>
      </c>
      <c r="E115" t="e">
        <f t="shared" si="5"/>
        <v>#N/A</v>
      </c>
      <c r="F115">
        <f t="shared" si="6"/>
        <v>36</v>
      </c>
      <c r="G115">
        <f t="shared" si="7"/>
        <v>96</v>
      </c>
    </row>
    <row r="116" spans="1:7" x14ac:dyDescent="0.2">
      <c r="A116">
        <v>24</v>
      </c>
      <c r="B116">
        <v>73.13</v>
      </c>
      <c r="C116">
        <v>0</v>
      </c>
      <c r="D116">
        <f t="shared" si="4"/>
        <v>24</v>
      </c>
      <c r="E116">
        <f t="shared" si="5"/>
        <v>73.13</v>
      </c>
      <c r="F116" t="e">
        <f t="shared" si="6"/>
        <v>#N/A</v>
      </c>
      <c r="G116" t="e">
        <f t="shared" si="7"/>
        <v>#N/A</v>
      </c>
    </row>
    <row r="117" spans="1:7" x14ac:dyDescent="0.2">
      <c r="A117">
        <v>23</v>
      </c>
      <c r="B117">
        <v>92.05</v>
      </c>
      <c r="C117">
        <v>1</v>
      </c>
      <c r="D117" t="e">
        <f t="shared" si="4"/>
        <v>#N/A</v>
      </c>
      <c r="E117" t="e">
        <f t="shared" si="5"/>
        <v>#N/A</v>
      </c>
      <c r="F117">
        <f t="shared" si="6"/>
        <v>23</v>
      </c>
      <c r="G117">
        <f t="shared" si="7"/>
        <v>92.05</v>
      </c>
    </row>
    <row r="118" spans="1:7" x14ac:dyDescent="0.2">
      <c r="A118">
        <v>62</v>
      </c>
      <c r="B118">
        <v>26.23</v>
      </c>
      <c r="C118">
        <v>1</v>
      </c>
      <c r="D118" t="e">
        <f t="shared" si="4"/>
        <v>#N/A</v>
      </c>
      <c r="E118" t="e">
        <f t="shared" si="5"/>
        <v>#N/A</v>
      </c>
      <c r="F118">
        <f t="shared" si="6"/>
        <v>62</v>
      </c>
      <c r="G118">
        <f t="shared" si="7"/>
        <v>26.23</v>
      </c>
    </row>
    <row r="119" spans="1:7" x14ac:dyDescent="0.2">
      <c r="A119">
        <v>37</v>
      </c>
      <c r="B119">
        <v>34.770000000000003</v>
      </c>
      <c r="C119">
        <v>1</v>
      </c>
      <c r="D119" t="e">
        <f t="shared" si="4"/>
        <v>#N/A</v>
      </c>
      <c r="E119" t="e">
        <f t="shared" si="5"/>
        <v>#N/A</v>
      </c>
      <c r="F119">
        <f t="shared" si="6"/>
        <v>37</v>
      </c>
      <c r="G119">
        <f t="shared" si="7"/>
        <v>34.770000000000003</v>
      </c>
    </row>
    <row r="120" spans="1:7" x14ac:dyDescent="0.2">
      <c r="A120">
        <v>12</v>
      </c>
      <c r="B120">
        <v>33.31</v>
      </c>
      <c r="C120">
        <v>0</v>
      </c>
      <c r="D120">
        <f t="shared" si="4"/>
        <v>12</v>
      </c>
      <c r="E120">
        <f t="shared" si="5"/>
        <v>33.31</v>
      </c>
      <c r="F120" t="e">
        <f t="shared" si="6"/>
        <v>#N/A</v>
      </c>
      <c r="G120" t="e">
        <f t="shared" si="7"/>
        <v>#N/A</v>
      </c>
    </row>
    <row r="121" spans="1:7" x14ac:dyDescent="0.2">
      <c r="A121">
        <v>55</v>
      </c>
      <c r="B121">
        <v>88.72</v>
      </c>
      <c r="C121">
        <v>0</v>
      </c>
      <c r="D121">
        <f t="shared" si="4"/>
        <v>55</v>
      </c>
      <c r="E121">
        <f t="shared" si="5"/>
        <v>88.72</v>
      </c>
      <c r="F121" t="e">
        <f t="shared" si="6"/>
        <v>#N/A</v>
      </c>
      <c r="G121" t="e">
        <f t="shared" si="7"/>
        <v>#N/A</v>
      </c>
    </row>
    <row r="122" spans="1:7" x14ac:dyDescent="0.2">
      <c r="A122">
        <v>13</v>
      </c>
      <c r="B122">
        <v>104.44</v>
      </c>
      <c r="C122">
        <v>0</v>
      </c>
      <c r="D122">
        <f t="shared" si="4"/>
        <v>13</v>
      </c>
      <c r="E122">
        <f t="shared" si="5"/>
        <v>104.44</v>
      </c>
      <c r="F122" t="e">
        <f t="shared" si="6"/>
        <v>#N/A</v>
      </c>
      <c r="G122" t="e">
        <f t="shared" si="7"/>
        <v>#N/A</v>
      </c>
    </row>
    <row r="123" spans="1:7" x14ac:dyDescent="0.2">
      <c r="A123">
        <v>23</v>
      </c>
      <c r="B123">
        <v>94.96</v>
      </c>
      <c r="C123">
        <v>1</v>
      </c>
      <c r="D123" t="e">
        <f t="shared" si="4"/>
        <v>#N/A</v>
      </c>
      <c r="E123" t="e">
        <f t="shared" si="5"/>
        <v>#N/A</v>
      </c>
      <c r="F123">
        <f t="shared" si="6"/>
        <v>23</v>
      </c>
      <c r="G123">
        <f t="shared" si="7"/>
        <v>94.96</v>
      </c>
    </row>
    <row r="124" spans="1:7" x14ac:dyDescent="0.2">
      <c r="A124">
        <v>30</v>
      </c>
      <c r="B124">
        <v>23.05</v>
      </c>
      <c r="C124">
        <v>0</v>
      </c>
      <c r="D124">
        <f t="shared" si="4"/>
        <v>30</v>
      </c>
      <c r="E124">
        <f t="shared" si="5"/>
        <v>23.05</v>
      </c>
      <c r="F124" t="e">
        <f t="shared" si="6"/>
        <v>#N/A</v>
      </c>
      <c r="G124" t="e">
        <f t="shared" si="7"/>
        <v>#N/A</v>
      </c>
    </row>
    <row r="125" spans="1:7" x14ac:dyDescent="0.2">
      <c r="A125">
        <v>17</v>
      </c>
      <c r="B125">
        <v>106.72</v>
      </c>
      <c r="C125">
        <v>0</v>
      </c>
      <c r="D125">
        <f t="shared" si="4"/>
        <v>17</v>
      </c>
      <c r="E125">
        <f t="shared" si="5"/>
        <v>106.72</v>
      </c>
      <c r="F125" t="e">
        <f t="shared" si="6"/>
        <v>#N/A</v>
      </c>
      <c r="G125" t="e">
        <f t="shared" si="7"/>
        <v>#N/A</v>
      </c>
    </row>
    <row r="126" spans="1:7" x14ac:dyDescent="0.2">
      <c r="A126">
        <v>62</v>
      </c>
      <c r="B126">
        <v>55.41</v>
      </c>
      <c r="C126">
        <v>0</v>
      </c>
      <c r="D126">
        <f t="shared" si="4"/>
        <v>62</v>
      </c>
      <c r="E126">
        <f t="shared" si="5"/>
        <v>55.41</v>
      </c>
      <c r="F126" t="e">
        <f t="shared" si="6"/>
        <v>#N/A</v>
      </c>
      <c r="G126" t="e">
        <f t="shared" si="7"/>
        <v>#N/A</v>
      </c>
    </row>
    <row r="127" spans="1:7" x14ac:dyDescent="0.2">
      <c r="A127">
        <v>13</v>
      </c>
      <c r="B127">
        <v>59.72</v>
      </c>
      <c r="C127">
        <v>0</v>
      </c>
      <c r="D127">
        <f t="shared" si="4"/>
        <v>13</v>
      </c>
      <c r="E127">
        <f t="shared" si="5"/>
        <v>59.72</v>
      </c>
      <c r="F127" t="e">
        <f t="shared" si="6"/>
        <v>#N/A</v>
      </c>
      <c r="G127" t="e">
        <f t="shared" si="7"/>
        <v>#N/A</v>
      </c>
    </row>
    <row r="128" spans="1:7" x14ac:dyDescent="0.2">
      <c r="A128">
        <v>59</v>
      </c>
      <c r="B128">
        <v>30.49</v>
      </c>
      <c r="C128">
        <v>0</v>
      </c>
      <c r="D128">
        <f t="shared" si="4"/>
        <v>59</v>
      </c>
      <c r="E128">
        <f t="shared" si="5"/>
        <v>30.49</v>
      </c>
      <c r="F128" t="e">
        <f t="shared" si="6"/>
        <v>#N/A</v>
      </c>
      <c r="G128" t="e">
        <f t="shared" si="7"/>
        <v>#N/A</v>
      </c>
    </row>
    <row r="129" spans="1:7" x14ac:dyDescent="0.2">
      <c r="A129">
        <v>19</v>
      </c>
      <c r="B129">
        <v>93.74</v>
      </c>
      <c r="C129">
        <v>0</v>
      </c>
      <c r="D129">
        <f t="shared" si="4"/>
        <v>19</v>
      </c>
      <c r="E129">
        <f t="shared" si="5"/>
        <v>93.74</v>
      </c>
      <c r="F129" t="e">
        <f t="shared" si="6"/>
        <v>#N/A</v>
      </c>
      <c r="G129" t="e">
        <f t="shared" si="7"/>
        <v>#N/A</v>
      </c>
    </row>
    <row r="130" spans="1:7" x14ac:dyDescent="0.2">
      <c r="A130">
        <v>49</v>
      </c>
      <c r="B130">
        <v>38.229999999999997</v>
      </c>
      <c r="C130">
        <v>1</v>
      </c>
      <c r="D130" t="e">
        <f t="shared" si="4"/>
        <v>#N/A</v>
      </c>
      <c r="E130" t="e">
        <f t="shared" si="5"/>
        <v>#N/A</v>
      </c>
      <c r="F130">
        <f t="shared" si="6"/>
        <v>49</v>
      </c>
      <c r="G130">
        <f t="shared" si="7"/>
        <v>38.229999999999997</v>
      </c>
    </row>
    <row r="131" spans="1:7" x14ac:dyDescent="0.2">
      <c r="A131">
        <v>12</v>
      </c>
      <c r="B131">
        <v>76.400000000000006</v>
      </c>
      <c r="C131">
        <v>1</v>
      </c>
      <c r="D131" t="e">
        <f t="shared" ref="D131:D194" si="8" xml:space="preserve"> IF($C131=0, $A131, NA())</f>
        <v>#N/A</v>
      </c>
      <c r="E131" t="e">
        <f t="shared" ref="E131:E194" si="9" xml:space="preserve"> IF($C131=0, B131, NA())</f>
        <v>#N/A</v>
      </c>
      <c r="F131">
        <f t="shared" ref="F131:F194" si="10" xml:space="preserve"> IF($C131=1, A131, NA())</f>
        <v>12</v>
      </c>
      <c r="G131">
        <f t="shared" ref="G131:G194" si="11" xml:space="preserve"> IF($C131=1, $B131, NA())</f>
        <v>76.400000000000006</v>
      </c>
    </row>
    <row r="132" spans="1:7" x14ac:dyDescent="0.2">
      <c r="A132">
        <v>61</v>
      </c>
      <c r="B132">
        <v>104.07</v>
      </c>
      <c r="C132">
        <v>1</v>
      </c>
      <c r="D132" t="e">
        <f t="shared" si="8"/>
        <v>#N/A</v>
      </c>
      <c r="E132" t="e">
        <f t="shared" si="9"/>
        <v>#N/A</v>
      </c>
      <c r="F132">
        <f t="shared" si="10"/>
        <v>61</v>
      </c>
      <c r="G132">
        <f t="shared" si="11"/>
        <v>104.07</v>
      </c>
    </row>
    <row r="133" spans="1:7" x14ac:dyDescent="0.2">
      <c r="A133">
        <v>19</v>
      </c>
      <c r="B133">
        <v>28.92</v>
      </c>
      <c r="C133">
        <v>1</v>
      </c>
      <c r="D133" t="e">
        <f t="shared" si="8"/>
        <v>#N/A</v>
      </c>
      <c r="E133" t="e">
        <f t="shared" si="9"/>
        <v>#N/A</v>
      </c>
      <c r="F133">
        <f t="shared" si="10"/>
        <v>19</v>
      </c>
      <c r="G133">
        <f t="shared" si="11"/>
        <v>28.92</v>
      </c>
    </row>
    <row r="134" spans="1:7" x14ac:dyDescent="0.2">
      <c r="A134">
        <v>9</v>
      </c>
      <c r="B134">
        <v>73.53</v>
      </c>
      <c r="C134">
        <v>1</v>
      </c>
      <c r="D134" t="e">
        <f t="shared" si="8"/>
        <v>#N/A</v>
      </c>
      <c r="E134" t="e">
        <f t="shared" si="9"/>
        <v>#N/A</v>
      </c>
      <c r="F134">
        <f t="shared" si="10"/>
        <v>9</v>
      </c>
      <c r="G134">
        <f t="shared" si="11"/>
        <v>73.53</v>
      </c>
    </row>
    <row r="135" spans="1:7" x14ac:dyDescent="0.2">
      <c r="A135">
        <v>71</v>
      </c>
      <c r="B135">
        <v>43.32</v>
      </c>
      <c r="C135">
        <v>1</v>
      </c>
      <c r="D135" t="e">
        <f t="shared" si="8"/>
        <v>#N/A</v>
      </c>
      <c r="E135" t="e">
        <f t="shared" si="9"/>
        <v>#N/A</v>
      </c>
      <c r="F135">
        <f t="shared" si="10"/>
        <v>71</v>
      </c>
      <c r="G135">
        <f t="shared" si="11"/>
        <v>43.32</v>
      </c>
    </row>
    <row r="136" spans="1:7" x14ac:dyDescent="0.2">
      <c r="A136">
        <v>28</v>
      </c>
      <c r="B136">
        <v>54.29</v>
      </c>
      <c r="C136">
        <v>0</v>
      </c>
      <c r="D136">
        <f t="shared" si="8"/>
        <v>28</v>
      </c>
      <c r="E136">
        <f t="shared" si="9"/>
        <v>54.29</v>
      </c>
      <c r="F136" t="e">
        <f t="shared" si="10"/>
        <v>#N/A</v>
      </c>
      <c r="G136" t="e">
        <f t="shared" si="11"/>
        <v>#N/A</v>
      </c>
    </row>
    <row r="137" spans="1:7" x14ac:dyDescent="0.2">
      <c r="A137">
        <v>52</v>
      </c>
      <c r="B137">
        <v>67.400000000000006</v>
      </c>
      <c r="C137">
        <v>1</v>
      </c>
      <c r="D137" t="e">
        <f t="shared" si="8"/>
        <v>#N/A</v>
      </c>
      <c r="E137" t="e">
        <f t="shared" si="9"/>
        <v>#N/A</v>
      </c>
      <c r="F137">
        <f t="shared" si="10"/>
        <v>52</v>
      </c>
      <c r="G137">
        <f t="shared" si="11"/>
        <v>67.400000000000006</v>
      </c>
    </row>
    <row r="138" spans="1:7" x14ac:dyDescent="0.2">
      <c r="A138">
        <v>16</v>
      </c>
      <c r="B138">
        <v>55.51</v>
      </c>
      <c r="C138">
        <v>1</v>
      </c>
      <c r="D138" t="e">
        <f t="shared" si="8"/>
        <v>#N/A</v>
      </c>
      <c r="E138" t="e">
        <f t="shared" si="9"/>
        <v>#N/A</v>
      </c>
      <c r="F138">
        <f t="shared" si="10"/>
        <v>16</v>
      </c>
      <c r="G138">
        <f t="shared" si="11"/>
        <v>55.51</v>
      </c>
    </row>
    <row r="139" spans="1:7" x14ac:dyDescent="0.2">
      <c r="A139">
        <v>69</v>
      </c>
      <c r="B139">
        <v>84.88</v>
      </c>
      <c r="C139">
        <v>0</v>
      </c>
      <c r="D139">
        <f t="shared" si="8"/>
        <v>69</v>
      </c>
      <c r="E139">
        <f t="shared" si="9"/>
        <v>84.88</v>
      </c>
      <c r="F139" t="e">
        <f t="shared" si="10"/>
        <v>#N/A</v>
      </c>
      <c r="G139" t="e">
        <f t="shared" si="11"/>
        <v>#N/A</v>
      </c>
    </row>
    <row r="140" spans="1:7" x14ac:dyDescent="0.2">
      <c r="A140">
        <v>12</v>
      </c>
      <c r="B140">
        <v>67.959999999999994</v>
      </c>
      <c r="C140">
        <v>0</v>
      </c>
      <c r="D140">
        <f t="shared" si="8"/>
        <v>12</v>
      </c>
      <c r="E140">
        <f t="shared" si="9"/>
        <v>67.959999999999994</v>
      </c>
      <c r="F140" t="e">
        <f t="shared" si="10"/>
        <v>#N/A</v>
      </c>
      <c r="G140" t="e">
        <f t="shared" si="11"/>
        <v>#N/A</v>
      </c>
    </row>
    <row r="141" spans="1:7" x14ac:dyDescent="0.2">
      <c r="A141">
        <v>25</v>
      </c>
      <c r="B141">
        <v>78.42</v>
      </c>
      <c r="C141">
        <v>1</v>
      </c>
      <c r="D141" t="e">
        <f t="shared" si="8"/>
        <v>#N/A</v>
      </c>
      <c r="E141" t="e">
        <f t="shared" si="9"/>
        <v>#N/A</v>
      </c>
      <c r="F141">
        <f t="shared" si="10"/>
        <v>25</v>
      </c>
      <c r="G141">
        <f t="shared" si="11"/>
        <v>78.42</v>
      </c>
    </row>
    <row r="142" spans="1:7" x14ac:dyDescent="0.2">
      <c r="A142">
        <v>52</v>
      </c>
      <c r="B142">
        <v>93.68</v>
      </c>
      <c r="C142">
        <v>0</v>
      </c>
      <c r="D142">
        <f t="shared" si="8"/>
        <v>52</v>
      </c>
      <c r="E142">
        <f t="shared" si="9"/>
        <v>93.68</v>
      </c>
      <c r="F142" t="e">
        <f t="shared" si="10"/>
        <v>#N/A</v>
      </c>
      <c r="G142" t="e">
        <f t="shared" si="11"/>
        <v>#N/A</v>
      </c>
    </row>
    <row r="143" spans="1:7" x14ac:dyDescent="0.2">
      <c r="A143">
        <v>53</v>
      </c>
      <c r="B143">
        <v>75.77</v>
      </c>
      <c r="C143">
        <v>0</v>
      </c>
      <c r="D143">
        <f t="shared" si="8"/>
        <v>53</v>
      </c>
      <c r="E143">
        <f t="shared" si="9"/>
        <v>75.77</v>
      </c>
      <c r="F143" t="e">
        <f t="shared" si="10"/>
        <v>#N/A</v>
      </c>
      <c r="G143" t="e">
        <f t="shared" si="11"/>
        <v>#N/A</v>
      </c>
    </row>
    <row r="144" spans="1:7" x14ac:dyDescent="0.2">
      <c r="A144">
        <v>23</v>
      </c>
      <c r="B144">
        <v>78.650000000000006</v>
      </c>
      <c r="C144">
        <v>1</v>
      </c>
      <c r="D144" t="e">
        <f t="shared" si="8"/>
        <v>#N/A</v>
      </c>
      <c r="E144" t="e">
        <f t="shared" si="9"/>
        <v>#N/A</v>
      </c>
      <c r="F144">
        <f t="shared" si="10"/>
        <v>23</v>
      </c>
      <c r="G144">
        <f t="shared" si="11"/>
        <v>78.650000000000006</v>
      </c>
    </row>
    <row r="145" spans="1:7" x14ac:dyDescent="0.2">
      <c r="A145">
        <v>16</v>
      </c>
      <c r="B145">
        <v>76.45</v>
      </c>
      <c r="C145">
        <v>0</v>
      </c>
      <c r="D145">
        <f t="shared" si="8"/>
        <v>16</v>
      </c>
      <c r="E145">
        <f t="shared" si="9"/>
        <v>76.45</v>
      </c>
      <c r="F145" t="e">
        <f t="shared" si="10"/>
        <v>#N/A</v>
      </c>
      <c r="G145" t="e">
        <f t="shared" si="11"/>
        <v>#N/A</v>
      </c>
    </row>
    <row r="146" spans="1:7" x14ac:dyDescent="0.2">
      <c r="A146">
        <v>57</v>
      </c>
      <c r="B146">
        <v>57.88</v>
      </c>
      <c r="C146">
        <v>0</v>
      </c>
      <c r="D146">
        <f t="shared" si="8"/>
        <v>57</v>
      </c>
      <c r="E146">
        <f t="shared" si="9"/>
        <v>57.88</v>
      </c>
      <c r="F146" t="e">
        <f t="shared" si="10"/>
        <v>#N/A</v>
      </c>
      <c r="G146" t="e">
        <f t="shared" si="11"/>
        <v>#N/A</v>
      </c>
    </row>
    <row r="147" spans="1:7" x14ac:dyDescent="0.2">
      <c r="A147">
        <v>39</v>
      </c>
      <c r="B147">
        <v>53.74</v>
      </c>
      <c r="C147">
        <v>0</v>
      </c>
      <c r="D147">
        <f t="shared" si="8"/>
        <v>39</v>
      </c>
      <c r="E147">
        <f t="shared" si="9"/>
        <v>53.74</v>
      </c>
      <c r="F147" t="e">
        <f t="shared" si="10"/>
        <v>#N/A</v>
      </c>
      <c r="G147" t="e">
        <f t="shared" si="11"/>
        <v>#N/A</v>
      </c>
    </row>
    <row r="148" spans="1:7" x14ac:dyDescent="0.2">
      <c r="A148">
        <v>53</v>
      </c>
      <c r="B148">
        <v>109.96</v>
      </c>
      <c r="C148">
        <v>0</v>
      </c>
      <c r="D148">
        <f t="shared" si="8"/>
        <v>53</v>
      </c>
      <c r="E148">
        <f t="shared" si="9"/>
        <v>109.96</v>
      </c>
      <c r="F148" t="e">
        <f t="shared" si="10"/>
        <v>#N/A</v>
      </c>
      <c r="G148" t="e">
        <f t="shared" si="11"/>
        <v>#N/A</v>
      </c>
    </row>
    <row r="149" spans="1:7" x14ac:dyDescent="0.2">
      <c r="A149">
        <v>42</v>
      </c>
      <c r="B149">
        <v>80.760000000000005</v>
      </c>
      <c r="C149">
        <v>0</v>
      </c>
      <c r="D149">
        <f t="shared" si="8"/>
        <v>42</v>
      </c>
      <c r="E149">
        <f t="shared" si="9"/>
        <v>80.760000000000005</v>
      </c>
      <c r="F149" t="e">
        <f t="shared" si="10"/>
        <v>#N/A</v>
      </c>
      <c r="G149" t="e">
        <f t="shared" si="11"/>
        <v>#N/A</v>
      </c>
    </row>
    <row r="150" spans="1:7" x14ac:dyDescent="0.2">
      <c r="A150">
        <v>58</v>
      </c>
      <c r="B150">
        <v>44.44</v>
      </c>
      <c r="C150">
        <v>1</v>
      </c>
      <c r="D150" t="e">
        <f t="shared" si="8"/>
        <v>#N/A</v>
      </c>
      <c r="E150" t="e">
        <f t="shared" si="9"/>
        <v>#N/A</v>
      </c>
      <c r="F150">
        <f t="shared" si="10"/>
        <v>58</v>
      </c>
      <c r="G150">
        <f t="shared" si="11"/>
        <v>44.44</v>
      </c>
    </row>
    <row r="151" spans="1:7" x14ac:dyDescent="0.2">
      <c r="A151">
        <v>39</v>
      </c>
      <c r="B151">
        <v>69.819999999999993</v>
      </c>
      <c r="C151">
        <v>1</v>
      </c>
      <c r="D151" t="e">
        <f t="shared" si="8"/>
        <v>#N/A</v>
      </c>
      <c r="E151" t="e">
        <f t="shared" si="9"/>
        <v>#N/A</v>
      </c>
      <c r="F151">
        <f t="shared" si="10"/>
        <v>39</v>
      </c>
      <c r="G151">
        <f t="shared" si="11"/>
        <v>69.819999999999993</v>
      </c>
    </row>
    <row r="152" spans="1:7" x14ac:dyDescent="0.2">
      <c r="A152">
        <v>14</v>
      </c>
      <c r="B152">
        <v>53.03</v>
      </c>
      <c r="C152">
        <v>1</v>
      </c>
      <c r="D152" t="e">
        <f t="shared" si="8"/>
        <v>#N/A</v>
      </c>
      <c r="E152" t="e">
        <f t="shared" si="9"/>
        <v>#N/A</v>
      </c>
      <c r="F152">
        <f t="shared" si="10"/>
        <v>14</v>
      </c>
      <c r="G152">
        <f t="shared" si="11"/>
        <v>53.03</v>
      </c>
    </row>
    <row r="153" spans="1:7" x14ac:dyDescent="0.2">
      <c r="A153">
        <v>5</v>
      </c>
      <c r="B153">
        <v>113.37</v>
      </c>
      <c r="C153">
        <v>0</v>
      </c>
      <c r="D153">
        <f t="shared" si="8"/>
        <v>5</v>
      </c>
      <c r="E153">
        <f t="shared" si="9"/>
        <v>113.37</v>
      </c>
      <c r="F153" t="e">
        <f t="shared" si="10"/>
        <v>#N/A</v>
      </c>
      <c r="G153" t="e">
        <f t="shared" si="11"/>
        <v>#N/A</v>
      </c>
    </row>
    <row r="154" spans="1:7" x14ac:dyDescent="0.2">
      <c r="A154">
        <v>35</v>
      </c>
      <c r="B154">
        <v>20.75</v>
      </c>
      <c r="C154">
        <v>0</v>
      </c>
      <c r="D154">
        <f t="shared" si="8"/>
        <v>35</v>
      </c>
      <c r="E154">
        <f t="shared" si="9"/>
        <v>20.75</v>
      </c>
      <c r="F154" t="e">
        <f t="shared" si="10"/>
        <v>#N/A</v>
      </c>
      <c r="G154" t="e">
        <f t="shared" si="11"/>
        <v>#N/A</v>
      </c>
    </row>
    <row r="155" spans="1:7" x14ac:dyDescent="0.2">
      <c r="A155">
        <v>18</v>
      </c>
      <c r="B155">
        <v>42.53</v>
      </c>
      <c r="C155">
        <v>1</v>
      </c>
      <c r="D155" t="e">
        <f t="shared" si="8"/>
        <v>#N/A</v>
      </c>
      <c r="E155" t="e">
        <f t="shared" si="9"/>
        <v>#N/A</v>
      </c>
      <c r="F155">
        <f t="shared" si="10"/>
        <v>18</v>
      </c>
      <c r="G155">
        <f t="shared" si="11"/>
        <v>42.53</v>
      </c>
    </row>
    <row r="156" spans="1:7" x14ac:dyDescent="0.2">
      <c r="A156">
        <v>9</v>
      </c>
      <c r="B156">
        <v>56.54</v>
      </c>
      <c r="C156">
        <v>0</v>
      </c>
      <c r="D156">
        <f t="shared" si="8"/>
        <v>9</v>
      </c>
      <c r="E156">
        <f t="shared" si="9"/>
        <v>56.54</v>
      </c>
      <c r="F156" t="e">
        <f t="shared" si="10"/>
        <v>#N/A</v>
      </c>
      <c r="G156" t="e">
        <f t="shared" si="11"/>
        <v>#N/A</v>
      </c>
    </row>
    <row r="157" spans="1:7" x14ac:dyDescent="0.2">
      <c r="A157">
        <v>58</v>
      </c>
      <c r="B157">
        <v>68.78</v>
      </c>
      <c r="C157">
        <v>0</v>
      </c>
      <c r="D157">
        <f t="shared" si="8"/>
        <v>58</v>
      </c>
      <c r="E157">
        <f t="shared" si="9"/>
        <v>68.78</v>
      </c>
      <c r="F157" t="e">
        <f t="shared" si="10"/>
        <v>#N/A</v>
      </c>
      <c r="G157" t="e">
        <f t="shared" si="11"/>
        <v>#N/A</v>
      </c>
    </row>
    <row r="158" spans="1:7" x14ac:dyDescent="0.2">
      <c r="A158">
        <v>17</v>
      </c>
      <c r="B158">
        <v>105.08</v>
      </c>
      <c r="C158">
        <v>1</v>
      </c>
      <c r="D158" t="e">
        <f t="shared" si="8"/>
        <v>#N/A</v>
      </c>
      <c r="E158" t="e">
        <f t="shared" si="9"/>
        <v>#N/A</v>
      </c>
      <c r="F158">
        <f t="shared" si="10"/>
        <v>17</v>
      </c>
      <c r="G158">
        <f t="shared" si="11"/>
        <v>105.08</v>
      </c>
    </row>
    <row r="159" spans="1:7" x14ac:dyDescent="0.2">
      <c r="A159">
        <v>7</v>
      </c>
      <c r="B159">
        <v>28.79</v>
      </c>
      <c r="C159">
        <v>0</v>
      </c>
      <c r="D159">
        <f t="shared" si="8"/>
        <v>7</v>
      </c>
      <c r="E159">
        <f t="shared" si="9"/>
        <v>28.79</v>
      </c>
      <c r="F159" t="e">
        <f t="shared" si="10"/>
        <v>#N/A</v>
      </c>
      <c r="G159" t="e">
        <f t="shared" si="11"/>
        <v>#N/A</v>
      </c>
    </row>
    <row r="160" spans="1:7" x14ac:dyDescent="0.2">
      <c r="A160">
        <v>46</v>
      </c>
      <c r="B160">
        <v>100.59</v>
      </c>
      <c r="C160">
        <v>0</v>
      </c>
      <c r="D160">
        <f t="shared" si="8"/>
        <v>46</v>
      </c>
      <c r="E160">
        <f t="shared" si="9"/>
        <v>100.59</v>
      </c>
      <c r="F160" t="e">
        <f t="shared" si="10"/>
        <v>#N/A</v>
      </c>
      <c r="G160" t="e">
        <f t="shared" si="11"/>
        <v>#N/A</v>
      </c>
    </row>
    <row r="161" spans="1:7" x14ac:dyDescent="0.2">
      <c r="A161">
        <v>13</v>
      </c>
      <c r="B161">
        <v>25.57</v>
      </c>
      <c r="C161">
        <v>1</v>
      </c>
      <c r="D161" t="e">
        <f t="shared" si="8"/>
        <v>#N/A</v>
      </c>
      <c r="E161" t="e">
        <f t="shared" si="9"/>
        <v>#N/A</v>
      </c>
      <c r="F161">
        <f t="shared" si="10"/>
        <v>13</v>
      </c>
      <c r="G161">
        <f t="shared" si="11"/>
        <v>25.57</v>
      </c>
    </row>
    <row r="162" spans="1:7" x14ac:dyDescent="0.2">
      <c r="A162">
        <v>40</v>
      </c>
      <c r="B162">
        <v>104.23</v>
      </c>
      <c r="C162">
        <v>0</v>
      </c>
      <c r="D162">
        <f t="shared" si="8"/>
        <v>40</v>
      </c>
      <c r="E162">
        <f t="shared" si="9"/>
        <v>104.23</v>
      </c>
      <c r="F162" t="e">
        <f t="shared" si="10"/>
        <v>#N/A</v>
      </c>
      <c r="G162" t="e">
        <f t="shared" si="11"/>
        <v>#N/A</v>
      </c>
    </row>
    <row r="163" spans="1:7" x14ac:dyDescent="0.2">
      <c r="A163">
        <v>42</v>
      </c>
      <c r="B163">
        <v>25.16</v>
      </c>
      <c r="C163">
        <v>0</v>
      </c>
      <c r="D163">
        <f t="shared" si="8"/>
        <v>42</v>
      </c>
      <c r="E163">
        <f t="shared" si="9"/>
        <v>25.16</v>
      </c>
      <c r="F163" t="e">
        <f t="shared" si="10"/>
        <v>#N/A</v>
      </c>
      <c r="G163" t="e">
        <f t="shared" si="11"/>
        <v>#N/A</v>
      </c>
    </row>
    <row r="164" spans="1:7" x14ac:dyDescent="0.2">
      <c r="A164">
        <v>9</v>
      </c>
      <c r="B164">
        <v>21.82</v>
      </c>
      <c r="C164">
        <v>1</v>
      </c>
      <c r="D164" t="e">
        <f t="shared" si="8"/>
        <v>#N/A</v>
      </c>
      <c r="E164" t="e">
        <f t="shared" si="9"/>
        <v>#N/A</v>
      </c>
      <c r="F164">
        <f t="shared" si="10"/>
        <v>9</v>
      </c>
      <c r="G164">
        <f t="shared" si="11"/>
        <v>21.82</v>
      </c>
    </row>
    <row r="165" spans="1:7" x14ac:dyDescent="0.2">
      <c r="A165">
        <v>50</v>
      </c>
      <c r="B165">
        <v>89.7</v>
      </c>
      <c r="C165">
        <v>0</v>
      </c>
      <c r="D165">
        <f t="shared" si="8"/>
        <v>50</v>
      </c>
      <c r="E165">
        <f t="shared" si="9"/>
        <v>89.7</v>
      </c>
      <c r="F165" t="e">
        <f t="shared" si="10"/>
        <v>#N/A</v>
      </c>
      <c r="G165" t="e">
        <f t="shared" si="11"/>
        <v>#N/A</v>
      </c>
    </row>
    <row r="166" spans="1:7" x14ac:dyDescent="0.2">
      <c r="A166">
        <v>27</v>
      </c>
      <c r="B166">
        <v>119.73</v>
      </c>
      <c r="C166">
        <v>1</v>
      </c>
      <c r="D166" t="e">
        <f t="shared" si="8"/>
        <v>#N/A</v>
      </c>
      <c r="E166" t="e">
        <f t="shared" si="9"/>
        <v>#N/A</v>
      </c>
      <c r="F166">
        <f t="shared" si="10"/>
        <v>27</v>
      </c>
      <c r="G166">
        <f t="shared" si="11"/>
        <v>119.73</v>
      </c>
    </row>
    <row r="167" spans="1:7" x14ac:dyDescent="0.2">
      <c r="A167">
        <v>66</v>
      </c>
      <c r="B167">
        <v>109.66</v>
      </c>
      <c r="C167">
        <v>1</v>
      </c>
      <c r="D167" t="e">
        <f t="shared" si="8"/>
        <v>#N/A</v>
      </c>
      <c r="E167" t="e">
        <f t="shared" si="9"/>
        <v>#N/A</v>
      </c>
      <c r="F167">
        <f t="shared" si="10"/>
        <v>66</v>
      </c>
      <c r="G167">
        <f t="shared" si="11"/>
        <v>109.66</v>
      </c>
    </row>
    <row r="168" spans="1:7" x14ac:dyDescent="0.2">
      <c r="A168">
        <v>5</v>
      </c>
      <c r="B168">
        <v>77.599999999999994</v>
      </c>
      <c r="C168">
        <v>1</v>
      </c>
      <c r="D168" t="e">
        <f t="shared" si="8"/>
        <v>#N/A</v>
      </c>
      <c r="E168" t="e">
        <f t="shared" si="9"/>
        <v>#N/A</v>
      </c>
      <c r="F168">
        <f t="shared" si="10"/>
        <v>5</v>
      </c>
      <c r="G168">
        <f t="shared" si="11"/>
        <v>77.599999999999994</v>
      </c>
    </row>
    <row r="169" spans="1:7" x14ac:dyDescent="0.2">
      <c r="A169">
        <v>29</v>
      </c>
      <c r="B169">
        <v>111.74</v>
      </c>
      <c r="C169">
        <v>1</v>
      </c>
      <c r="D169" t="e">
        <f t="shared" si="8"/>
        <v>#N/A</v>
      </c>
      <c r="E169" t="e">
        <f t="shared" si="9"/>
        <v>#N/A</v>
      </c>
      <c r="F169">
        <f t="shared" si="10"/>
        <v>29</v>
      </c>
      <c r="G169">
        <f t="shared" si="11"/>
        <v>111.74</v>
      </c>
    </row>
    <row r="170" spans="1:7" x14ac:dyDescent="0.2">
      <c r="A170">
        <v>37</v>
      </c>
      <c r="B170">
        <v>20.53</v>
      </c>
      <c r="C170">
        <v>1</v>
      </c>
      <c r="D170" t="e">
        <f t="shared" si="8"/>
        <v>#N/A</v>
      </c>
      <c r="E170" t="e">
        <f t="shared" si="9"/>
        <v>#N/A</v>
      </c>
      <c r="F170">
        <f t="shared" si="10"/>
        <v>37</v>
      </c>
      <c r="G170">
        <f t="shared" si="11"/>
        <v>20.53</v>
      </c>
    </row>
    <row r="171" spans="1:7" x14ac:dyDescent="0.2">
      <c r="A171">
        <v>38</v>
      </c>
      <c r="B171">
        <v>117.51</v>
      </c>
      <c r="C171">
        <v>1</v>
      </c>
      <c r="D171" t="e">
        <f t="shared" si="8"/>
        <v>#N/A</v>
      </c>
      <c r="E171" t="e">
        <f t="shared" si="9"/>
        <v>#N/A</v>
      </c>
      <c r="F171">
        <f t="shared" si="10"/>
        <v>38</v>
      </c>
      <c r="G171">
        <f t="shared" si="11"/>
        <v>117.51</v>
      </c>
    </row>
    <row r="172" spans="1:7" x14ac:dyDescent="0.2">
      <c r="A172">
        <v>8</v>
      </c>
      <c r="B172">
        <v>69.069999999999993</v>
      </c>
      <c r="C172">
        <v>0</v>
      </c>
      <c r="D172">
        <f t="shared" si="8"/>
        <v>8</v>
      </c>
      <c r="E172">
        <f t="shared" si="9"/>
        <v>69.069999999999993</v>
      </c>
      <c r="F172" t="e">
        <f t="shared" si="10"/>
        <v>#N/A</v>
      </c>
      <c r="G172" t="e">
        <f t="shared" si="11"/>
        <v>#N/A</v>
      </c>
    </row>
    <row r="173" spans="1:7" x14ac:dyDescent="0.2">
      <c r="A173">
        <v>65</v>
      </c>
      <c r="B173">
        <v>92.29</v>
      </c>
      <c r="C173">
        <v>0</v>
      </c>
      <c r="D173">
        <f t="shared" si="8"/>
        <v>65</v>
      </c>
      <c r="E173">
        <f t="shared" si="9"/>
        <v>92.29</v>
      </c>
      <c r="F173" t="e">
        <f t="shared" si="10"/>
        <v>#N/A</v>
      </c>
      <c r="G173" t="e">
        <f t="shared" si="11"/>
        <v>#N/A</v>
      </c>
    </row>
    <row r="174" spans="1:7" x14ac:dyDescent="0.2">
      <c r="A174">
        <v>17</v>
      </c>
      <c r="B174">
        <v>102.09</v>
      </c>
      <c r="C174">
        <v>0</v>
      </c>
      <c r="D174">
        <f t="shared" si="8"/>
        <v>17</v>
      </c>
      <c r="E174">
        <f t="shared" si="9"/>
        <v>102.09</v>
      </c>
      <c r="F174" t="e">
        <f t="shared" si="10"/>
        <v>#N/A</v>
      </c>
      <c r="G174" t="e">
        <f t="shared" si="11"/>
        <v>#N/A</v>
      </c>
    </row>
    <row r="175" spans="1:7" x14ac:dyDescent="0.2">
      <c r="A175">
        <v>71</v>
      </c>
      <c r="B175">
        <v>91.85</v>
      </c>
      <c r="C175">
        <v>0</v>
      </c>
      <c r="D175">
        <f t="shared" si="8"/>
        <v>71</v>
      </c>
      <c r="E175">
        <f t="shared" si="9"/>
        <v>91.85</v>
      </c>
      <c r="F175" t="e">
        <f t="shared" si="10"/>
        <v>#N/A</v>
      </c>
      <c r="G175" t="e">
        <f t="shared" si="11"/>
        <v>#N/A</v>
      </c>
    </row>
    <row r="176" spans="1:7" x14ac:dyDescent="0.2">
      <c r="A176">
        <v>45</v>
      </c>
      <c r="B176">
        <v>73.5</v>
      </c>
      <c r="C176">
        <v>0</v>
      </c>
      <c r="D176">
        <f t="shared" si="8"/>
        <v>45</v>
      </c>
      <c r="E176">
        <f t="shared" si="9"/>
        <v>73.5</v>
      </c>
      <c r="F176" t="e">
        <f t="shared" si="10"/>
        <v>#N/A</v>
      </c>
      <c r="G176" t="e">
        <f t="shared" si="11"/>
        <v>#N/A</v>
      </c>
    </row>
    <row r="177" spans="1:7" x14ac:dyDescent="0.2">
      <c r="A177">
        <v>4</v>
      </c>
      <c r="B177">
        <v>67.66</v>
      </c>
      <c r="C177">
        <v>0</v>
      </c>
      <c r="D177">
        <f t="shared" si="8"/>
        <v>4</v>
      </c>
      <c r="E177">
        <f t="shared" si="9"/>
        <v>67.66</v>
      </c>
      <c r="F177" t="e">
        <f t="shared" si="10"/>
        <v>#N/A</v>
      </c>
      <c r="G177" t="e">
        <f t="shared" si="11"/>
        <v>#N/A</v>
      </c>
    </row>
    <row r="178" spans="1:7" x14ac:dyDescent="0.2">
      <c r="A178">
        <v>36</v>
      </c>
      <c r="B178">
        <v>103.86</v>
      </c>
      <c r="C178">
        <v>1</v>
      </c>
      <c r="D178" t="e">
        <f t="shared" si="8"/>
        <v>#N/A</v>
      </c>
      <c r="E178" t="e">
        <f t="shared" si="9"/>
        <v>#N/A</v>
      </c>
      <c r="F178">
        <f t="shared" si="10"/>
        <v>36</v>
      </c>
      <c r="G178">
        <f t="shared" si="11"/>
        <v>103.86</v>
      </c>
    </row>
    <row r="179" spans="1:7" x14ac:dyDescent="0.2">
      <c r="A179">
        <v>70</v>
      </c>
      <c r="B179">
        <v>40.51</v>
      </c>
      <c r="C179">
        <v>0</v>
      </c>
      <c r="D179">
        <f t="shared" si="8"/>
        <v>70</v>
      </c>
      <c r="E179">
        <f t="shared" si="9"/>
        <v>40.51</v>
      </c>
      <c r="F179" t="e">
        <f t="shared" si="10"/>
        <v>#N/A</v>
      </c>
      <c r="G179" t="e">
        <f t="shared" si="11"/>
        <v>#N/A</v>
      </c>
    </row>
    <row r="180" spans="1:7" x14ac:dyDescent="0.2">
      <c r="A180">
        <v>31</v>
      </c>
      <c r="B180">
        <v>116.8</v>
      </c>
      <c r="C180">
        <v>0</v>
      </c>
      <c r="D180">
        <f t="shared" si="8"/>
        <v>31</v>
      </c>
      <c r="E180">
        <f t="shared" si="9"/>
        <v>116.8</v>
      </c>
      <c r="F180" t="e">
        <f t="shared" si="10"/>
        <v>#N/A</v>
      </c>
      <c r="G180" t="e">
        <f t="shared" si="11"/>
        <v>#N/A</v>
      </c>
    </row>
    <row r="181" spans="1:7" x14ac:dyDescent="0.2">
      <c r="A181">
        <v>19</v>
      </c>
      <c r="B181">
        <v>91.1</v>
      </c>
      <c r="C181">
        <v>0</v>
      </c>
      <c r="D181">
        <f t="shared" si="8"/>
        <v>19</v>
      </c>
      <c r="E181">
        <f t="shared" si="9"/>
        <v>91.1</v>
      </c>
      <c r="F181" t="e">
        <f t="shared" si="10"/>
        <v>#N/A</v>
      </c>
      <c r="G181" t="e">
        <f t="shared" si="11"/>
        <v>#N/A</v>
      </c>
    </row>
    <row r="182" spans="1:7" x14ac:dyDescent="0.2">
      <c r="A182">
        <v>61</v>
      </c>
      <c r="B182">
        <v>39.950000000000003</v>
      </c>
      <c r="C182">
        <v>0</v>
      </c>
      <c r="D182">
        <f t="shared" si="8"/>
        <v>61</v>
      </c>
      <c r="E182">
        <f t="shared" si="9"/>
        <v>39.950000000000003</v>
      </c>
      <c r="F182" t="e">
        <f t="shared" si="10"/>
        <v>#N/A</v>
      </c>
      <c r="G182" t="e">
        <f t="shared" si="11"/>
        <v>#N/A</v>
      </c>
    </row>
    <row r="183" spans="1:7" x14ac:dyDescent="0.2">
      <c r="A183">
        <v>54</v>
      </c>
      <c r="B183">
        <v>93.62</v>
      </c>
      <c r="C183">
        <v>0</v>
      </c>
      <c r="D183">
        <f t="shared" si="8"/>
        <v>54</v>
      </c>
      <c r="E183">
        <f t="shared" si="9"/>
        <v>93.62</v>
      </c>
      <c r="F183" t="e">
        <f t="shared" si="10"/>
        <v>#N/A</v>
      </c>
      <c r="G183" t="e">
        <f t="shared" si="11"/>
        <v>#N/A</v>
      </c>
    </row>
    <row r="184" spans="1:7" x14ac:dyDescent="0.2">
      <c r="A184">
        <v>39</v>
      </c>
      <c r="B184">
        <v>72.98</v>
      </c>
      <c r="C184">
        <v>1</v>
      </c>
      <c r="D184" t="e">
        <f t="shared" si="8"/>
        <v>#N/A</v>
      </c>
      <c r="E184" t="e">
        <f t="shared" si="9"/>
        <v>#N/A</v>
      </c>
      <c r="F184">
        <f t="shared" si="10"/>
        <v>39</v>
      </c>
      <c r="G184">
        <f t="shared" si="11"/>
        <v>72.98</v>
      </c>
    </row>
    <row r="185" spans="1:7" x14ac:dyDescent="0.2">
      <c r="A185">
        <v>19</v>
      </c>
      <c r="B185">
        <v>90.72</v>
      </c>
      <c r="C185">
        <v>1</v>
      </c>
      <c r="D185" t="e">
        <f t="shared" si="8"/>
        <v>#N/A</v>
      </c>
      <c r="E185" t="e">
        <f t="shared" si="9"/>
        <v>#N/A</v>
      </c>
      <c r="F185">
        <f t="shared" si="10"/>
        <v>19</v>
      </c>
      <c r="G185">
        <f t="shared" si="11"/>
        <v>90.72</v>
      </c>
    </row>
    <row r="186" spans="1:7" x14ac:dyDescent="0.2">
      <c r="A186">
        <v>39</v>
      </c>
      <c r="B186">
        <v>96.78</v>
      </c>
      <c r="C186">
        <v>1</v>
      </c>
      <c r="D186" t="e">
        <f t="shared" si="8"/>
        <v>#N/A</v>
      </c>
      <c r="E186" t="e">
        <f t="shared" si="9"/>
        <v>#N/A</v>
      </c>
      <c r="F186">
        <f t="shared" si="10"/>
        <v>39</v>
      </c>
      <c r="G186">
        <f t="shared" si="11"/>
        <v>96.78</v>
      </c>
    </row>
    <row r="187" spans="1:7" x14ac:dyDescent="0.2">
      <c r="A187">
        <v>67</v>
      </c>
      <c r="B187">
        <v>28.73</v>
      </c>
      <c r="C187">
        <v>1</v>
      </c>
      <c r="D187" t="e">
        <f t="shared" si="8"/>
        <v>#N/A</v>
      </c>
      <c r="E187" t="e">
        <f t="shared" si="9"/>
        <v>#N/A</v>
      </c>
      <c r="F187">
        <f t="shared" si="10"/>
        <v>67</v>
      </c>
      <c r="G187">
        <f t="shared" si="11"/>
        <v>28.73</v>
      </c>
    </row>
    <row r="188" spans="1:7" x14ac:dyDescent="0.2">
      <c r="A188">
        <v>45</v>
      </c>
      <c r="B188">
        <v>70.61</v>
      </c>
      <c r="C188">
        <v>0</v>
      </c>
      <c r="D188">
        <f t="shared" si="8"/>
        <v>45</v>
      </c>
      <c r="E188">
        <f t="shared" si="9"/>
        <v>70.61</v>
      </c>
      <c r="F188" t="e">
        <f t="shared" si="10"/>
        <v>#N/A</v>
      </c>
      <c r="G188" t="e">
        <f t="shared" si="11"/>
        <v>#N/A</v>
      </c>
    </row>
    <row r="189" spans="1:7" x14ac:dyDescent="0.2">
      <c r="A189">
        <v>13</v>
      </c>
      <c r="B189">
        <v>113.2</v>
      </c>
      <c r="C189">
        <v>0</v>
      </c>
      <c r="D189">
        <f t="shared" si="8"/>
        <v>13</v>
      </c>
      <c r="E189">
        <f t="shared" si="9"/>
        <v>113.2</v>
      </c>
      <c r="F189" t="e">
        <f t="shared" si="10"/>
        <v>#N/A</v>
      </c>
      <c r="G189" t="e">
        <f t="shared" si="11"/>
        <v>#N/A</v>
      </c>
    </row>
    <row r="190" spans="1:7" x14ac:dyDescent="0.2">
      <c r="A190">
        <v>58</v>
      </c>
      <c r="B190">
        <v>52.06</v>
      </c>
      <c r="C190">
        <v>1</v>
      </c>
      <c r="D190" t="e">
        <f t="shared" si="8"/>
        <v>#N/A</v>
      </c>
      <c r="E190" t="e">
        <f t="shared" si="9"/>
        <v>#N/A</v>
      </c>
      <c r="F190">
        <f t="shared" si="10"/>
        <v>58</v>
      </c>
      <c r="G190">
        <f t="shared" si="11"/>
        <v>52.06</v>
      </c>
    </row>
    <row r="191" spans="1:7" x14ac:dyDescent="0.2">
      <c r="A191">
        <v>20</v>
      </c>
      <c r="B191">
        <v>79.39</v>
      </c>
      <c r="C191">
        <v>0</v>
      </c>
      <c r="D191">
        <f t="shared" si="8"/>
        <v>20</v>
      </c>
      <c r="E191">
        <f t="shared" si="9"/>
        <v>79.39</v>
      </c>
      <c r="F191" t="e">
        <f t="shared" si="10"/>
        <v>#N/A</v>
      </c>
      <c r="G191" t="e">
        <f t="shared" si="11"/>
        <v>#N/A</v>
      </c>
    </row>
    <row r="192" spans="1:7" x14ac:dyDescent="0.2">
      <c r="A192">
        <v>61</v>
      </c>
      <c r="B192">
        <v>56.92</v>
      </c>
      <c r="C192">
        <v>0</v>
      </c>
      <c r="D192">
        <f t="shared" si="8"/>
        <v>61</v>
      </c>
      <c r="E192">
        <f t="shared" si="9"/>
        <v>56.92</v>
      </c>
      <c r="F192" t="e">
        <f t="shared" si="10"/>
        <v>#N/A</v>
      </c>
      <c r="G192" t="e">
        <f t="shared" si="11"/>
        <v>#N/A</v>
      </c>
    </row>
    <row r="193" spans="1:7" x14ac:dyDescent="0.2">
      <c r="A193">
        <v>39</v>
      </c>
      <c r="B193">
        <v>65.430000000000007</v>
      </c>
      <c r="C193">
        <v>0</v>
      </c>
      <c r="D193">
        <f t="shared" si="8"/>
        <v>39</v>
      </c>
      <c r="E193">
        <f t="shared" si="9"/>
        <v>65.430000000000007</v>
      </c>
      <c r="F193" t="e">
        <f t="shared" si="10"/>
        <v>#N/A</v>
      </c>
      <c r="G193" t="e">
        <f t="shared" si="11"/>
        <v>#N/A</v>
      </c>
    </row>
    <row r="194" spans="1:7" x14ac:dyDescent="0.2">
      <c r="A194">
        <v>1</v>
      </c>
      <c r="B194">
        <v>74.86</v>
      </c>
      <c r="C194">
        <v>0</v>
      </c>
      <c r="D194">
        <f t="shared" si="8"/>
        <v>1</v>
      </c>
      <c r="E194">
        <f t="shared" si="9"/>
        <v>74.86</v>
      </c>
      <c r="F194" t="e">
        <f t="shared" si="10"/>
        <v>#N/A</v>
      </c>
      <c r="G194" t="e">
        <f t="shared" si="11"/>
        <v>#N/A</v>
      </c>
    </row>
    <row r="195" spans="1:7" x14ac:dyDescent="0.2">
      <c r="A195">
        <v>3</v>
      </c>
      <c r="B195">
        <v>74.89</v>
      </c>
      <c r="C195">
        <v>1</v>
      </c>
      <c r="D195" t="e">
        <f t="shared" ref="D195:D251" si="12" xml:space="preserve"> IF($C195=0, $A195, NA())</f>
        <v>#N/A</v>
      </c>
      <c r="E195" t="e">
        <f t="shared" ref="E195:E251" si="13" xml:space="preserve"> IF($C195=0, B195, NA())</f>
        <v>#N/A</v>
      </c>
      <c r="F195">
        <f t="shared" ref="F195:F251" si="14" xml:space="preserve"> IF($C195=1, A195, NA())</f>
        <v>3</v>
      </c>
      <c r="G195">
        <f t="shared" ref="G195:G251" si="15" xml:space="preserve"> IF($C195=1, $B195, NA())</f>
        <v>74.89</v>
      </c>
    </row>
    <row r="196" spans="1:7" x14ac:dyDescent="0.2">
      <c r="A196">
        <v>62</v>
      </c>
      <c r="B196">
        <v>40.17</v>
      </c>
      <c r="C196">
        <v>0</v>
      </c>
      <c r="D196">
        <f t="shared" si="12"/>
        <v>62</v>
      </c>
      <c r="E196">
        <f t="shared" si="13"/>
        <v>40.17</v>
      </c>
      <c r="F196" t="e">
        <f t="shared" si="14"/>
        <v>#N/A</v>
      </c>
      <c r="G196" t="e">
        <f t="shared" si="15"/>
        <v>#N/A</v>
      </c>
    </row>
    <row r="197" spans="1:7" x14ac:dyDescent="0.2">
      <c r="A197">
        <v>63</v>
      </c>
      <c r="B197">
        <v>88.46</v>
      </c>
      <c r="C197">
        <v>0</v>
      </c>
      <c r="D197">
        <f t="shared" si="12"/>
        <v>63</v>
      </c>
      <c r="E197">
        <f t="shared" si="13"/>
        <v>88.46</v>
      </c>
      <c r="F197" t="e">
        <f t="shared" si="14"/>
        <v>#N/A</v>
      </c>
      <c r="G197" t="e">
        <f t="shared" si="15"/>
        <v>#N/A</v>
      </c>
    </row>
    <row r="198" spans="1:7" x14ac:dyDescent="0.2">
      <c r="A198">
        <v>25</v>
      </c>
      <c r="B198">
        <v>28.79</v>
      </c>
      <c r="C198">
        <v>1</v>
      </c>
      <c r="D198" t="e">
        <f t="shared" si="12"/>
        <v>#N/A</v>
      </c>
      <c r="E198" t="e">
        <f t="shared" si="13"/>
        <v>#N/A</v>
      </c>
      <c r="F198">
        <f t="shared" si="14"/>
        <v>25</v>
      </c>
      <c r="G198">
        <f t="shared" si="15"/>
        <v>28.79</v>
      </c>
    </row>
    <row r="199" spans="1:7" x14ac:dyDescent="0.2">
      <c r="A199">
        <v>56</v>
      </c>
      <c r="B199">
        <v>33.880000000000003</v>
      </c>
      <c r="C199">
        <v>0</v>
      </c>
      <c r="D199">
        <f t="shared" si="12"/>
        <v>56</v>
      </c>
      <c r="E199">
        <f t="shared" si="13"/>
        <v>33.880000000000003</v>
      </c>
      <c r="F199" t="e">
        <f t="shared" si="14"/>
        <v>#N/A</v>
      </c>
      <c r="G199" t="e">
        <f t="shared" si="15"/>
        <v>#N/A</v>
      </c>
    </row>
    <row r="200" spans="1:7" x14ac:dyDescent="0.2">
      <c r="A200">
        <v>33</v>
      </c>
      <c r="B200">
        <v>20.27</v>
      </c>
      <c r="C200">
        <v>0</v>
      </c>
      <c r="D200">
        <f t="shared" si="12"/>
        <v>33</v>
      </c>
      <c r="E200">
        <f t="shared" si="13"/>
        <v>20.27</v>
      </c>
      <c r="F200" t="e">
        <f t="shared" si="14"/>
        <v>#N/A</v>
      </c>
      <c r="G200" t="e">
        <f t="shared" si="15"/>
        <v>#N/A</v>
      </c>
    </row>
    <row r="201" spans="1:7" x14ac:dyDescent="0.2">
      <c r="A201">
        <v>38</v>
      </c>
      <c r="B201">
        <v>31.67</v>
      </c>
      <c r="C201">
        <v>1</v>
      </c>
      <c r="D201" t="e">
        <f t="shared" si="12"/>
        <v>#N/A</v>
      </c>
      <c r="E201" t="e">
        <f t="shared" si="13"/>
        <v>#N/A</v>
      </c>
      <c r="F201">
        <f t="shared" si="14"/>
        <v>38</v>
      </c>
      <c r="G201">
        <f t="shared" si="15"/>
        <v>31.67</v>
      </c>
    </row>
    <row r="202" spans="1:7" x14ac:dyDescent="0.2">
      <c r="A202">
        <v>6</v>
      </c>
      <c r="B202">
        <v>67.319999999999993</v>
      </c>
      <c r="C202">
        <v>0</v>
      </c>
      <c r="D202">
        <f t="shared" si="12"/>
        <v>6</v>
      </c>
      <c r="E202">
        <f t="shared" si="13"/>
        <v>67.319999999999993</v>
      </c>
      <c r="F202" t="e">
        <f t="shared" si="14"/>
        <v>#N/A</v>
      </c>
      <c r="G202" t="e">
        <f t="shared" si="15"/>
        <v>#N/A</v>
      </c>
    </row>
    <row r="203" spans="1:7" x14ac:dyDescent="0.2">
      <c r="A203">
        <v>58</v>
      </c>
      <c r="B203">
        <v>80.61</v>
      </c>
      <c r="C203">
        <v>0</v>
      </c>
      <c r="D203">
        <f t="shared" si="12"/>
        <v>58</v>
      </c>
      <c r="E203">
        <f t="shared" si="13"/>
        <v>80.61</v>
      </c>
      <c r="F203" t="e">
        <f t="shared" si="14"/>
        <v>#N/A</v>
      </c>
      <c r="G203" t="e">
        <f t="shared" si="15"/>
        <v>#N/A</v>
      </c>
    </row>
    <row r="204" spans="1:7" x14ac:dyDescent="0.2">
      <c r="A204">
        <v>44</v>
      </c>
      <c r="B204">
        <v>99.43</v>
      </c>
      <c r="C204">
        <v>1</v>
      </c>
      <c r="D204" t="e">
        <f t="shared" si="12"/>
        <v>#N/A</v>
      </c>
      <c r="E204" t="e">
        <f t="shared" si="13"/>
        <v>#N/A</v>
      </c>
      <c r="F204">
        <f t="shared" si="14"/>
        <v>44</v>
      </c>
      <c r="G204">
        <f t="shared" si="15"/>
        <v>99.43</v>
      </c>
    </row>
    <row r="205" spans="1:7" x14ac:dyDescent="0.2">
      <c r="A205">
        <v>45</v>
      </c>
      <c r="B205">
        <v>30.67</v>
      </c>
      <c r="C205">
        <v>0</v>
      </c>
      <c r="D205">
        <f t="shared" si="12"/>
        <v>45</v>
      </c>
      <c r="E205">
        <f t="shared" si="13"/>
        <v>30.67</v>
      </c>
      <c r="F205" t="e">
        <f t="shared" si="14"/>
        <v>#N/A</v>
      </c>
      <c r="G205" t="e">
        <f t="shared" si="15"/>
        <v>#N/A</v>
      </c>
    </row>
    <row r="206" spans="1:7" x14ac:dyDescent="0.2">
      <c r="A206">
        <v>32</v>
      </c>
      <c r="B206">
        <v>105.07</v>
      </c>
      <c r="C206">
        <v>0</v>
      </c>
      <c r="D206">
        <f t="shared" si="12"/>
        <v>32</v>
      </c>
      <c r="E206">
        <f t="shared" si="13"/>
        <v>105.07</v>
      </c>
      <c r="F206" t="e">
        <f t="shared" si="14"/>
        <v>#N/A</v>
      </c>
      <c r="G206" t="e">
        <f t="shared" si="15"/>
        <v>#N/A</v>
      </c>
    </row>
    <row r="207" spans="1:7" x14ac:dyDescent="0.2">
      <c r="A207">
        <v>45</v>
      </c>
      <c r="B207">
        <v>94.6</v>
      </c>
      <c r="C207">
        <v>0</v>
      </c>
      <c r="D207">
        <f t="shared" si="12"/>
        <v>45</v>
      </c>
      <c r="E207">
        <f t="shared" si="13"/>
        <v>94.6</v>
      </c>
      <c r="F207" t="e">
        <f t="shared" si="14"/>
        <v>#N/A</v>
      </c>
      <c r="G207" t="e">
        <f t="shared" si="15"/>
        <v>#N/A</v>
      </c>
    </row>
    <row r="208" spans="1:7" x14ac:dyDescent="0.2">
      <c r="A208">
        <v>61</v>
      </c>
      <c r="B208">
        <v>60.85</v>
      </c>
      <c r="C208">
        <v>1</v>
      </c>
      <c r="D208" t="e">
        <f t="shared" si="12"/>
        <v>#N/A</v>
      </c>
      <c r="E208" t="e">
        <f t="shared" si="13"/>
        <v>#N/A</v>
      </c>
      <c r="F208">
        <f t="shared" si="14"/>
        <v>61</v>
      </c>
      <c r="G208">
        <f t="shared" si="15"/>
        <v>60.85</v>
      </c>
    </row>
    <row r="209" spans="1:7" x14ac:dyDescent="0.2">
      <c r="A209">
        <v>47</v>
      </c>
      <c r="B209">
        <v>113.29</v>
      </c>
      <c r="C209">
        <v>1</v>
      </c>
      <c r="D209" t="e">
        <f t="shared" si="12"/>
        <v>#N/A</v>
      </c>
      <c r="E209" t="e">
        <f t="shared" si="13"/>
        <v>#N/A</v>
      </c>
      <c r="F209">
        <f t="shared" si="14"/>
        <v>47</v>
      </c>
      <c r="G209">
        <f t="shared" si="15"/>
        <v>113.29</v>
      </c>
    </row>
    <row r="210" spans="1:7" x14ac:dyDescent="0.2">
      <c r="A210">
        <v>21</v>
      </c>
      <c r="B210">
        <v>119.09</v>
      </c>
      <c r="C210">
        <v>1</v>
      </c>
      <c r="D210" t="e">
        <f t="shared" si="12"/>
        <v>#N/A</v>
      </c>
      <c r="E210" t="e">
        <f t="shared" si="13"/>
        <v>#N/A</v>
      </c>
      <c r="F210">
        <f t="shared" si="14"/>
        <v>21</v>
      </c>
      <c r="G210">
        <f t="shared" si="15"/>
        <v>119.09</v>
      </c>
    </row>
    <row r="211" spans="1:7" x14ac:dyDescent="0.2">
      <c r="A211">
        <v>36</v>
      </c>
      <c r="B211">
        <v>40.5</v>
      </c>
      <c r="C211">
        <v>0</v>
      </c>
      <c r="D211">
        <f t="shared" si="12"/>
        <v>36</v>
      </c>
      <c r="E211">
        <f t="shared" si="13"/>
        <v>40.5</v>
      </c>
      <c r="F211" t="e">
        <f t="shared" si="14"/>
        <v>#N/A</v>
      </c>
      <c r="G211" t="e">
        <f t="shared" si="15"/>
        <v>#N/A</v>
      </c>
    </row>
    <row r="212" spans="1:7" x14ac:dyDescent="0.2">
      <c r="A212">
        <v>19</v>
      </c>
      <c r="B212">
        <v>57.92</v>
      </c>
      <c r="C212">
        <v>1</v>
      </c>
      <c r="D212" t="e">
        <f t="shared" si="12"/>
        <v>#N/A</v>
      </c>
      <c r="E212" t="e">
        <f t="shared" si="13"/>
        <v>#N/A</v>
      </c>
      <c r="F212">
        <f t="shared" si="14"/>
        <v>19</v>
      </c>
      <c r="G212">
        <f t="shared" si="15"/>
        <v>57.92</v>
      </c>
    </row>
    <row r="213" spans="1:7" x14ac:dyDescent="0.2">
      <c r="A213">
        <v>20</v>
      </c>
      <c r="B213">
        <v>112.64</v>
      </c>
      <c r="C213">
        <v>1</v>
      </c>
      <c r="D213" t="e">
        <f t="shared" si="12"/>
        <v>#N/A</v>
      </c>
      <c r="E213" t="e">
        <f t="shared" si="13"/>
        <v>#N/A</v>
      </c>
      <c r="F213">
        <f t="shared" si="14"/>
        <v>20</v>
      </c>
      <c r="G213">
        <f t="shared" si="15"/>
        <v>112.64</v>
      </c>
    </row>
    <row r="214" spans="1:7" x14ac:dyDescent="0.2">
      <c r="A214">
        <v>57</v>
      </c>
      <c r="B214">
        <v>92.16</v>
      </c>
      <c r="C214">
        <v>1</v>
      </c>
      <c r="D214" t="e">
        <f t="shared" si="12"/>
        <v>#N/A</v>
      </c>
      <c r="E214" t="e">
        <f t="shared" si="13"/>
        <v>#N/A</v>
      </c>
      <c r="F214">
        <f t="shared" si="14"/>
        <v>57</v>
      </c>
      <c r="G214">
        <f t="shared" si="15"/>
        <v>92.16</v>
      </c>
    </row>
    <row r="215" spans="1:7" x14ac:dyDescent="0.2">
      <c r="A215">
        <v>18</v>
      </c>
      <c r="B215">
        <v>24.81</v>
      </c>
      <c r="C215">
        <v>1</v>
      </c>
      <c r="D215" t="e">
        <f t="shared" si="12"/>
        <v>#N/A</v>
      </c>
      <c r="E215" t="e">
        <f t="shared" si="13"/>
        <v>#N/A</v>
      </c>
      <c r="F215">
        <f t="shared" si="14"/>
        <v>18</v>
      </c>
      <c r="G215">
        <f t="shared" si="15"/>
        <v>24.81</v>
      </c>
    </row>
    <row r="216" spans="1:7" x14ac:dyDescent="0.2">
      <c r="A216">
        <v>47</v>
      </c>
      <c r="B216">
        <v>98.15</v>
      </c>
      <c r="C216">
        <v>0</v>
      </c>
      <c r="D216">
        <f t="shared" si="12"/>
        <v>47</v>
      </c>
      <c r="E216">
        <f t="shared" si="13"/>
        <v>98.15</v>
      </c>
      <c r="F216" t="e">
        <f t="shared" si="14"/>
        <v>#N/A</v>
      </c>
      <c r="G216" t="e">
        <f t="shared" si="15"/>
        <v>#N/A</v>
      </c>
    </row>
    <row r="217" spans="1:7" x14ac:dyDescent="0.2">
      <c r="A217">
        <v>49</v>
      </c>
      <c r="B217">
        <v>102.79</v>
      </c>
      <c r="C217">
        <v>0</v>
      </c>
      <c r="D217">
        <f t="shared" si="12"/>
        <v>49</v>
      </c>
      <c r="E217">
        <f t="shared" si="13"/>
        <v>102.79</v>
      </c>
      <c r="F217" t="e">
        <f t="shared" si="14"/>
        <v>#N/A</v>
      </c>
      <c r="G217" t="e">
        <f t="shared" si="15"/>
        <v>#N/A</v>
      </c>
    </row>
    <row r="218" spans="1:7" x14ac:dyDescent="0.2">
      <c r="A218">
        <v>14</v>
      </c>
      <c r="B218">
        <v>95.05</v>
      </c>
      <c r="C218">
        <v>1</v>
      </c>
      <c r="D218" t="e">
        <f t="shared" si="12"/>
        <v>#N/A</v>
      </c>
      <c r="E218" t="e">
        <f t="shared" si="13"/>
        <v>#N/A</v>
      </c>
      <c r="F218">
        <f t="shared" si="14"/>
        <v>14</v>
      </c>
      <c r="G218">
        <f t="shared" si="15"/>
        <v>95.05</v>
      </c>
    </row>
    <row r="219" spans="1:7" x14ac:dyDescent="0.2">
      <c r="A219">
        <v>15</v>
      </c>
      <c r="B219">
        <v>99.95</v>
      </c>
      <c r="C219">
        <v>0</v>
      </c>
      <c r="D219">
        <f t="shared" si="12"/>
        <v>15</v>
      </c>
      <c r="E219">
        <f t="shared" si="13"/>
        <v>99.95</v>
      </c>
      <c r="F219" t="e">
        <f t="shared" si="14"/>
        <v>#N/A</v>
      </c>
      <c r="G219" t="e">
        <f t="shared" si="15"/>
        <v>#N/A</v>
      </c>
    </row>
    <row r="220" spans="1:7" x14ac:dyDescent="0.2">
      <c r="A220">
        <v>31</v>
      </c>
      <c r="B220">
        <v>102.51</v>
      </c>
      <c r="C220">
        <v>1</v>
      </c>
      <c r="D220" t="e">
        <f t="shared" si="12"/>
        <v>#N/A</v>
      </c>
      <c r="E220" t="e">
        <f t="shared" si="13"/>
        <v>#N/A</v>
      </c>
      <c r="F220">
        <f t="shared" si="14"/>
        <v>31</v>
      </c>
      <c r="G220">
        <f t="shared" si="15"/>
        <v>102.51</v>
      </c>
    </row>
    <row r="221" spans="1:7" x14ac:dyDescent="0.2">
      <c r="A221">
        <v>1</v>
      </c>
      <c r="B221">
        <v>38.64</v>
      </c>
      <c r="C221">
        <v>0</v>
      </c>
      <c r="D221">
        <f t="shared" si="12"/>
        <v>1</v>
      </c>
      <c r="E221">
        <f t="shared" si="13"/>
        <v>38.64</v>
      </c>
      <c r="F221" t="e">
        <f t="shared" si="14"/>
        <v>#N/A</v>
      </c>
      <c r="G221" t="e">
        <f t="shared" si="15"/>
        <v>#N/A</v>
      </c>
    </row>
    <row r="222" spans="1:7" x14ac:dyDescent="0.2">
      <c r="A222">
        <v>54</v>
      </c>
      <c r="B222">
        <v>43.57</v>
      </c>
      <c r="C222">
        <v>0</v>
      </c>
      <c r="D222">
        <f t="shared" si="12"/>
        <v>54</v>
      </c>
      <c r="E222">
        <f t="shared" si="13"/>
        <v>43.57</v>
      </c>
      <c r="F222" t="e">
        <f t="shared" si="14"/>
        <v>#N/A</v>
      </c>
      <c r="G222" t="e">
        <f t="shared" si="15"/>
        <v>#N/A</v>
      </c>
    </row>
    <row r="223" spans="1:7" x14ac:dyDescent="0.2">
      <c r="A223">
        <v>3</v>
      </c>
      <c r="B223">
        <v>83.38</v>
      </c>
      <c r="C223">
        <v>1</v>
      </c>
      <c r="D223" t="e">
        <f t="shared" si="12"/>
        <v>#N/A</v>
      </c>
      <c r="E223" t="e">
        <f t="shared" si="13"/>
        <v>#N/A</v>
      </c>
      <c r="F223">
        <f t="shared" si="14"/>
        <v>3</v>
      </c>
      <c r="G223">
        <f t="shared" si="15"/>
        <v>83.38</v>
      </c>
    </row>
    <row r="224" spans="1:7" x14ac:dyDescent="0.2">
      <c r="A224">
        <v>16</v>
      </c>
      <c r="B224">
        <v>110.79</v>
      </c>
      <c r="C224">
        <v>1</v>
      </c>
      <c r="D224" t="e">
        <f t="shared" si="12"/>
        <v>#N/A</v>
      </c>
      <c r="E224" t="e">
        <f t="shared" si="13"/>
        <v>#N/A</v>
      </c>
      <c r="F224">
        <f t="shared" si="14"/>
        <v>16</v>
      </c>
      <c r="G224">
        <f t="shared" si="15"/>
        <v>110.79</v>
      </c>
    </row>
    <row r="225" spans="1:7" x14ac:dyDescent="0.2">
      <c r="A225">
        <v>57</v>
      </c>
      <c r="B225">
        <v>51.62</v>
      </c>
      <c r="C225">
        <v>1</v>
      </c>
      <c r="D225" t="e">
        <f t="shared" si="12"/>
        <v>#N/A</v>
      </c>
      <c r="E225" t="e">
        <f t="shared" si="13"/>
        <v>#N/A</v>
      </c>
      <c r="F225">
        <f t="shared" si="14"/>
        <v>57</v>
      </c>
      <c r="G225">
        <f t="shared" si="15"/>
        <v>51.62</v>
      </c>
    </row>
    <row r="226" spans="1:7" x14ac:dyDescent="0.2">
      <c r="A226">
        <v>12</v>
      </c>
      <c r="B226">
        <v>78.83</v>
      </c>
      <c r="C226">
        <v>0</v>
      </c>
      <c r="D226">
        <f t="shared" si="12"/>
        <v>12</v>
      </c>
      <c r="E226">
        <f t="shared" si="13"/>
        <v>78.83</v>
      </c>
      <c r="F226" t="e">
        <f t="shared" si="14"/>
        <v>#N/A</v>
      </c>
      <c r="G226" t="e">
        <f t="shared" si="15"/>
        <v>#N/A</v>
      </c>
    </row>
    <row r="227" spans="1:7" x14ac:dyDescent="0.2">
      <c r="A227">
        <v>16</v>
      </c>
      <c r="B227">
        <v>88.3</v>
      </c>
      <c r="C227">
        <v>0</v>
      </c>
      <c r="D227">
        <f t="shared" si="12"/>
        <v>16</v>
      </c>
      <c r="E227">
        <f t="shared" si="13"/>
        <v>88.3</v>
      </c>
      <c r="F227" t="e">
        <f t="shared" si="14"/>
        <v>#N/A</v>
      </c>
      <c r="G227" t="e">
        <f t="shared" si="15"/>
        <v>#N/A</v>
      </c>
    </row>
    <row r="228" spans="1:7" x14ac:dyDescent="0.2">
      <c r="A228">
        <v>24</v>
      </c>
      <c r="B228">
        <v>65.19</v>
      </c>
      <c r="C228">
        <v>1</v>
      </c>
      <c r="D228" t="e">
        <f t="shared" si="12"/>
        <v>#N/A</v>
      </c>
      <c r="E228" t="e">
        <f t="shared" si="13"/>
        <v>#N/A</v>
      </c>
      <c r="F228">
        <f t="shared" si="14"/>
        <v>24</v>
      </c>
      <c r="G228">
        <f t="shared" si="15"/>
        <v>65.19</v>
      </c>
    </row>
    <row r="229" spans="1:7" x14ac:dyDescent="0.2">
      <c r="A229">
        <v>28</v>
      </c>
      <c r="B229">
        <v>91.38</v>
      </c>
      <c r="C229">
        <v>0</v>
      </c>
      <c r="D229">
        <f t="shared" si="12"/>
        <v>28</v>
      </c>
      <c r="E229">
        <f t="shared" si="13"/>
        <v>91.38</v>
      </c>
      <c r="F229" t="e">
        <f t="shared" si="14"/>
        <v>#N/A</v>
      </c>
      <c r="G229" t="e">
        <f t="shared" si="15"/>
        <v>#N/A</v>
      </c>
    </row>
    <row r="230" spans="1:7" x14ac:dyDescent="0.2">
      <c r="A230">
        <v>8</v>
      </c>
      <c r="B230">
        <v>109.97</v>
      </c>
      <c r="C230">
        <v>1</v>
      </c>
      <c r="D230" t="e">
        <f t="shared" si="12"/>
        <v>#N/A</v>
      </c>
      <c r="E230" t="e">
        <f t="shared" si="13"/>
        <v>#N/A</v>
      </c>
      <c r="F230">
        <f t="shared" si="14"/>
        <v>8</v>
      </c>
      <c r="G230">
        <f t="shared" si="15"/>
        <v>109.97</v>
      </c>
    </row>
    <row r="231" spans="1:7" x14ac:dyDescent="0.2">
      <c r="A231">
        <v>36</v>
      </c>
      <c r="B231">
        <v>82.41</v>
      </c>
      <c r="C231">
        <v>1</v>
      </c>
      <c r="D231" t="e">
        <f t="shared" si="12"/>
        <v>#N/A</v>
      </c>
      <c r="E231" t="e">
        <f t="shared" si="13"/>
        <v>#N/A</v>
      </c>
      <c r="F231">
        <f t="shared" si="14"/>
        <v>36</v>
      </c>
      <c r="G231">
        <f t="shared" si="15"/>
        <v>82.41</v>
      </c>
    </row>
    <row r="232" spans="1:7" x14ac:dyDescent="0.2">
      <c r="A232">
        <v>8</v>
      </c>
      <c r="B232">
        <v>73.98</v>
      </c>
      <c r="C232">
        <v>0</v>
      </c>
      <c r="D232">
        <f t="shared" si="12"/>
        <v>8</v>
      </c>
      <c r="E232">
        <f t="shared" si="13"/>
        <v>73.98</v>
      </c>
      <c r="F232" t="e">
        <f t="shared" si="14"/>
        <v>#N/A</v>
      </c>
      <c r="G232" t="e">
        <f t="shared" si="15"/>
        <v>#N/A</v>
      </c>
    </row>
    <row r="233" spans="1:7" x14ac:dyDescent="0.2">
      <c r="A233">
        <v>58</v>
      </c>
      <c r="B233">
        <v>63.87</v>
      </c>
      <c r="C233">
        <v>0</v>
      </c>
      <c r="D233">
        <f t="shared" si="12"/>
        <v>58</v>
      </c>
      <c r="E233">
        <f t="shared" si="13"/>
        <v>63.87</v>
      </c>
      <c r="F233" t="e">
        <f t="shared" si="14"/>
        <v>#N/A</v>
      </c>
      <c r="G233" t="e">
        <f t="shared" si="15"/>
        <v>#N/A</v>
      </c>
    </row>
    <row r="234" spans="1:7" x14ac:dyDescent="0.2">
      <c r="A234">
        <v>60</v>
      </c>
      <c r="B234">
        <v>77.75</v>
      </c>
      <c r="C234">
        <v>0</v>
      </c>
      <c r="D234">
        <f t="shared" si="12"/>
        <v>60</v>
      </c>
      <c r="E234">
        <f t="shared" si="13"/>
        <v>77.75</v>
      </c>
      <c r="F234" t="e">
        <f t="shared" si="14"/>
        <v>#N/A</v>
      </c>
      <c r="G234" t="e">
        <f t="shared" si="15"/>
        <v>#N/A</v>
      </c>
    </row>
    <row r="235" spans="1:7" x14ac:dyDescent="0.2">
      <c r="A235">
        <v>50</v>
      </c>
      <c r="B235">
        <v>55.54</v>
      </c>
      <c r="C235">
        <v>1</v>
      </c>
      <c r="D235" t="e">
        <f t="shared" si="12"/>
        <v>#N/A</v>
      </c>
      <c r="E235" t="e">
        <f t="shared" si="13"/>
        <v>#N/A</v>
      </c>
      <c r="F235">
        <f t="shared" si="14"/>
        <v>50</v>
      </c>
      <c r="G235">
        <f t="shared" si="15"/>
        <v>55.54</v>
      </c>
    </row>
    <row r="236" spans="1:7" x14ac:dyDescent="0.2">
      <c r="A236">
        <v>28</v>
      </c>
      <c r="B236">
        <v>59.15</v>
      </c>
      <c r="C236">
        <v>1</v>
      </c>
      <c r="D236" t="e">
        <f t="shared" si="12"/>
        <v>#N/A</v>
      </c>
      <c r="E236" t="e">
        <f t="shared" si="13"/>
        <v>#N/A</v>
      </c>
      <c r="F236">
        <f t="shared" si="14"/>
        <v>28</v>
      </c>
      <c r="G236">
        <f t="shared" si="15"/>
        <v>59.15</v>
      </c>
    </row>
    <row r="237" spans="1:7" x14ac:dyDescent="0.2">
      <c r="A237">
        <v>41</v>
      </c>
      <c r="B237">
        <v>73.19</v>
      </c>
      <c r="C237">
        <v>0</v>
      </c>
      <c r="D237">
        <f t="shared" si="12"/>
        <v>41</v>
      </c>
      <c r="E237">
        <f t="shared" si="13"/>
        <v>73.19</v>
      </c>
      <c r="F237" t="e">
        <f t="shared" si="14"/>
        <v>#N/A</v>
      </c>
      <c r="G237" t="e">
        <f t="shared" si="15"/>
        <v>#N/A</v>
      </c>
    </row>
    <row r="238" spans="1:7" x14ac:dyDescent="0.2">
      <c r="A238">
        <v>64</v>
      </c>
      <c r="B238">
        <v>26.66</v>
      </c>
      <c r="C238">
        <v>0</v>
      </c>
      <c r="D238">
        <f t="shared" si="12"/>
        <v>64</v>
      </c>
      <c r="E238">
        <f t="shared" si="13"/>
        <v>26.66</v>
      </c>
      <c r="F238" t="e">
        <f t="shared" si="14"/>
        <v>#N/A</v>
      </c>
      <c r="G238" t="e">
        <f t="shared" si="15"/>
        <v>#N/A</v>
      </c>
    </row>
    <row r="239" spans="1:7" x14ac:dyDescent="0.2">
      <c r="A239">
        <v>27</v>
      </c>
      <c r="B239">
        <v>42.9</v>
      </c>
      <c r="C239">
        <v>0</v>
      </c>
      <c r="D239">
        <f t="shared" si="12"/>
        <v>27</v>
      </c>
      <c r="E239">
        <f t="shared" si="13"/>
        <v>42.9</v>
      </c>
      <c r="F239" t="e">
        <f t="shared" si="14"/>
        <v>#N/A</v>
      </c>
      <c r="G239" t="e">
        <f t="shared" si="15"/>
        <v>#N/A</v>
      </c>
    </row>
    <row r="240" spans="1:7" x14ac:dyDescent="0.2">
      <c r="A240">
        <v>63</v>
      </c>
      <c r="B240">
        <v>74.28</v>
      </c>
      <c r="C240">
        <v>1</v>
      </c>
      <c r="D240" t="e">
        <f t="shared" si="12"/>
        <v>#N/A</v>
      </c>
      <c r="E240" t="e">
        <f t="shared" si="13"/>
        <v>#N/A</v>
      </c>
      <c r="F240">
        <f t="shared" si="14"/>
        <v>63</v>
      </c>
      <c r="G240">
        <f t="shared" si="15"/>
        <v>74.28</v>
      </c>
    </row>
    <row r="241" spans="1:7" x14ac:dyDescent="0.2">
      <c r="A241">
        <v>17</v>
      </c>
      <c r="B241">
        <v>63.15</v>
      </c>
      <c r="C241">
        <v>0</v>
      </c>
      <c r="D241">
        <f t="shared" si="12"/>
        <v>17</v>
      </c>
      <c r="E241">
        <f t="shared" si="13"/>
        <v>63.15</v>
      </c>
      <c r="F241" t="e">
        <f t="shared" si="14"/>
        <v>#N/A</v>
      </c>
      <c r="G241" t="e">
        <f t="shared" si="15"/>
        <v>#N/A</v>
      </c>
    </row>
    <row r="242" spans="1:7" x14ac:dyDescent="0.2">
      <c r="A242">
        <v>33</v>
      </c>
      <c r="B242">
        <v>53.28</v>
      </c>
      <c r="C242">
        <v>1</v>
      </c>
      <c r="D242" t="e">
        <f t="shared" si="12"/>
        <v>#N/A</v>
      </c>
      <c r="E242" t="e">
        <f t="shared" si="13"/>
        <v>#N/A</v>
      </c>
      <c r="F242">
        <f t="shared" si="14"/>
        <v>33</v>
      </c>
      <c r="G242">
        <f t="shared" si="15"/>
        <v>53.28</v>
      </c>
    </row>
    <row r="243" spans="1:7" x14ac:dyDescent="0.2">
      <c r="A243">
        <v>29</v>
      </c>
      <c r="B243">
        <v>93.05</v>
      </c>
      <c r="C243">
        <v>1</v>
      </c>
      <c r="D243" t="e">
        <f t="shared" si="12"/>
        <v>#N/A</v>
      </c>
      <c r="E243" t="e">
        <f t="shared" si="13"/>
        <v>#N/A</v>
      </c>
      <c r="F243">
        <f t="shared" si="14"/>
        <v>29</v>
      </c>
      <c r="G243">
        <f t="shared" si="15"/>
        <v>93.05</v>
      </c>
    </row>
    <row r="244" spans="1:7" x14ac:dyDescent="0.2">
      <c r="A244">
        <v>13</v>
      </c>
      <c r="B244">
        <v>89.37</v>
      </c>
      <c r="C244">
        <v>0</v>
      </c>
      <c r="D244">
        <f t="shared" si="12"/>
        <v>13</v>
      </c>
      <c r="E244">
        <f t="shared" si="13"/>
        <v>89.37</v>
      </c>
      <c r="F244" t="e">
        <f t="shared" si="14"/>
        <v>#N/A</v>
      </c>
      <c r="G244" t="e">
        <f t="shared" si="15"/>
        <v>#N/A</v>
      </c>
    </row>
    <row r="245" spans="1:7" x14ac:dyDescent="0.2">
      <c r="A245">
        <v>46</v>
      </c>
      <c r="B245">
        <v>36.67</v>
      </c>
      <c r="C245">
        <v>1</v>
      </c>
      <c r="D245" t="e">
        <f t="shared" si="12"/>
        <v>#N/A</v>
      </c>
      <c r="E245" t="e">
        <f t="shared" si="13"/>
        <v>#N/A</v>
      </c>
      <c r="F245">
        <f t="shared" si="14"/>
        <v>46</v>
      </c>
      <c r="G245">
        <f t="shared" si="15"/>
        <v>36.67</v>
      </c>
    </row>
    <row r="246" spans="1:7" x14ac:dyDescent="0.2">
      <c r="A246">
        <v>35</v>
      </c>
      <c r="B246">
        <v>107.86</v>
      </c>
      <c r="C246">
        <v>0</v>
      </c>
      <c r="D246">
        <f t="shared" si="12"/>
        <v>35</v>
      </c>
      <c r="E246">
        <f t="shared" si="13"/>
        <v>107.86</v>
      </c>
      <c r="F246" t="e">
        <f t="shared" si="14"/>
        <v>#N/A</v>
      </c>
      <c r="G246" t="e">
        <f t="shared" si="15"/>
        <v>#N/A</v>
      </c>
    </row>
    <row r="247" spans="1:7" x14ac:dyDescent="0.2">
      <c r="A247">
        <v>6</v>
      </c>
      <c r="B247">
        <v>69.540000000000006</v>
      </c>
      <c r="C247">
        <v>1</v>
      </c>
      <c r="D247" t="e">
        <f t="shared" si="12"/>
        <v>#N/A</v>
      </c>
      <c r="E247" t="e">
        <f t="shared" si="13"/>
        <v>#N/A</v>
      </c>
      <c r="F247">
        <f t="shared" si="14"/>
        <v>6</v>
      </c>
      <c r="G247">
        <f t="shared" si="15"/>
        <v>69.540000000000006</v>
      </c>
    </row>
    <row r="248" spans="1:7" x14ac:dyDescent="0.2">
      <c r="A248">
        <v>69</v>
      </c>
      <c r="B248">
        <v>94.15</v>
      </c>
      <c r="C248">
        <v>1</v>
      </c>
      <c r="D248" t="e">
        <f t="shared" si="12"/>
        <v>#N/A</v>
      </c>
      <c r="E248" t="e">
        <f t="shared" si="13"/>
        <v>#N/A</v>
      </c>
      <c r="F248">
        <f t="shared" si="14"/>
        <v>69</v>
      </c>
      <c r="G248">
        <f t="shared" si="15"/>
        <v>94.15</v>
      </c>
    </row>
    <row r="249" spans="1:7" x14ac:dyDescent="0.2">
      <c r="A249">
        <v>47</v>
      </c>
      <c r="B249">
        <v>77.319999999999993</v>
      </c>
      <c r="C249">
        <v>1</v>
      </c>
      <c r="D249" t="e">
        <f t="shared" si="12"/>
        <v>#N/A</v>
      </c>
      <c r="E249" t="e">
        <f t="shared" si="13"/>
        <v>#N/A</v>
      </c>
      <c r="F249">
        <f t="shared" si="14"/>
        <v>47</v>
      </c>
      <c r="G249">
        <f t="shared" si="15"/>
        <v>77.319999999999993</v>
      </c>
    </row>
    <row r="250" spans="1:7" x14ac:dyDescent="0.2">
      <c r="A250">
        <v>25</v>
      </c>
      <c r="B250">
        <v>119.77</v>
      </c>
      <c r="C250">
        <v>1</v>
      </c>
      <c r="D250" t="e">
        <f t="shared" si="12"/>
        <v>#N/A</v>
      </c>
      <c r="E250" t="e">
        <f t="shared" si="13"/>
        <v>#N/A</v>
      </c>
      <c r="F250">
        <f t="shared" si="14"/>
        <v>25</v>
      </c>
      <c r="G250">
        <f t="shared" si="15"/>
        <v>119.77</v>
      </c>
    </row>
    <row r="251" spans="1:7" x14ac:dyDescent="0.2">
      <c r="A251">
        <v>66</v>
      </c>
      <c r="B251">
        <v>95.24</v>
      </c>
      <c r="C251">
        <v>0</v>
      </c>
      <c r="D251">
        <f t="shared" si="12"/>
        <v>66</v>
      </c>
      <c r="E251">
        <f t="shared" si="13"/>
        <v>95.24</v>
      </c>
      <c r="F251" t="e">
        <f t="shared" si="14"/>
        <v>#N/A</v>
      </c>
      <c r="G251" t="e">
        <f t="shared" si="15"/>
        <v>#N/A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A867-4370-8E40-84F8-3F9D275DFE8D}">
  <dimension ref="A1:G251"/>
  <sheetViews>
    <sheetView zoomScale="111" workbookViewId="0">
      <selection sqref="A1:B133"/>
    </sheetView>
  </sheetViews>
  <sheetFormatPr baseColWidth="10" defaultRowHeight="15" x14ac:dyDescent="0.2"/>
  <sheetData>
    <row r="1" spans="1:7" x14ac:dyDescent="0.2">
      <c r="A1" t="s">
        <v>6</v>
      </c>
      <c r="B1" t="s">
        <v>11</v>
      </c>
      <c r="C1" t="s">
        <v>13</v>
      </c>
      <c r="D1" t="s">
        <v>26</v>
      </c>
      <c r="E1" t="s">
        <v>28</v>
      </c>
      <c r="F1" t="s">
        <v>27</v>
      </c>
      <c r="G1" t="s">
        <v>13</v>
      </c>
    </row>
    <row r="2" spans="1:7" x14ac:dyDescent="0.2">
      <c r="A2">
        <v>56</v>
      </c>
      <c r="B2">
        <v>6</v>
      </c>
      <c r="C2">
        <v>1</v>
      </c>
      <c r="D2" t="e">
        <f xml:space="preserve"> IF($C2=0, $A2, NA())</f>
        <v>#N/A</v>
      </c>
      <c r="E2" t="e">
        <f xml:space="preserve"> IF($C2=0, B2, NA())</f>
        <v>#N/A</v>
      </c>
      <c r="F2">
        <f xml:space="preserve"> IF($C2=1, A2, NA())</f>
        <v>56</v>
      </c>
      <c r="G2">
        <f xml:space="preserve"> IF($C2=1, $B2, NA())</f>
        <v>6</v>
      </c>
    </row>
    <row r="3" spans="1:7" x14ac:dyDescent="0.2">
      <c r="A3">
        <v>69</v>
      </c>
      <c r="B3">
        <v>1</v>
      </c>
      <c r="C3">
        <v>1</v>
      </c>
      <c r="D3" t="e">
        <f t="shared" ref="D3:D66" si="0" xml:space="preserve"> IF($C3=0, $A3, NA())</f>
        <v>#N/A</v>
      </c>
      <c r="E3" t="e">
        <f t="shared" ref="E3:E66" si="1" xml:space="preserve"> IF($C3=0, B3, NA())</f>
        <v>#N/A</v>
      </c>
      <c r="F3">
        <f t="shared" ref="F3:F66" si="2" xml:space="preserve"> IF($C3=1, A3, NA())</f>
        <v>69</v>
      </c>
      <c r="G3">
        <f t="shared" ref="G3:G66" si="3" xml:space="preserve"> IF($C3=1, $B3, NA())</f>
        <v>1</v>
      </c>
    </row>
    <row r="4" spans="1:7" x14ac:dyDescent="0.2">
      <c r="A4">
        <v>46</v>
      </c>
      <c r="B4">
        <v>5</v>
      </c>
      <c r="C4">
        <v>0</v>
      </c>
      <c r="D4">
        <f t="shared" si="0"/>
        <v>46</v>
      </c>
      <c r="E4">
        <f t="shared" si="1"/>
        <v>5</v>
      </c>
      <c r="F4" t="e">
        <f t="shared" si="2"/>
        <v>#N/A</v>
      </c>
      <c r="G4" t="e">
        <f t="shared" si="3"/>
        <v>#N/A</v>
      </c>
    </row>
    <row r="5" spans="1:7" x14ac:dyDescent="0.2">
      <c r="A5">
        <v>32</v>
      </c>
      <c r="B5">
        <v>3</v>
      </c>
      <c r="C5">
        <v>1</v>
      </c>
      <c r="D5" t="e">
        <f t="shared" si="0"/>
        <v>#N/A</v>
      </c>
      <c r="E5" t="e">
        <f t="shared" si="1"/>
        <v>#N/A</v>
      </c>
      <c r="F5">
        <f t="shared" si="2"/>
        <v>32</v>
      </c>
      <c r="G5">
        <f t="shared" si="3"/>
        <v>3</v>
      </c>
    </row>
    <row r="6" spans="1:7" x14ac:dyDescent="0.2">
      <c r="A6">
        <v>60</v>
      </c>
      <c r="B6">
        <v>1</v>
      </c>
      <c r="C6">
        <v>1</v>
      </c>
      <c r="D6" t="e">
        <f t="shared" si="0"/>
        <v>#N/A</v>
      </c>
      <c r="E6" t="e">
        <f t="shared" si="1"/>
        <v>#N/A</v>
      </c>
      <c r="F6">
        <f t="shared" si="2"/>
        <v>60</v>
      </c>
      <c r="G6">
        <f t="shared" si="3"/>
        <v>1</v>
      </c>
    </row>
    <row r="7" spans="1:7" x14ac:dyDescent="0.2">
      <c r="A7">
        <v>25</v>
      </c>
      <c r="B7">
        <v>4</v>
      </c>
      <c r="C7">
        <v>1</v>
      </c>
      <c r="D7" t="e">
        <f t="shared" si="0"/>
        <v>#N/A</v>
      </c>
      <c r="E7" t="e">
        <f t="shared" si="1"/>
        <v>#N/A</v>
      </c>
      <c r="F7">
        <f t="shared" si="2"/>
        <v>25</v>
      </c>
      <c r="G7">
        <f t="shared" si="3"/>
        <v>4</v>
      </c>
    </row>
    <row r="8" spans="1:7" x14ac:dyDescent="0.2">
      <c r="A8">
        <v>38</v>
      </c>
      <c r="B8">
        <v>2</v>
      </c>
      <c r="C8">
        <v>1</v>
      </c>
      <c r="D8" t="e">
        <f t="shared" si="0"/>
        <v>#N/A</v>
      </c>
      <c r="E8" t="e">
        <f t="shared" si="1"/>
        <v>#N/A</v>
      </c>
      <c r="F8">
        <f t="shared" si="2"/>
        <v>38</v>
      </c>
      <c r="G8">
        <f t="shared" si="3"/>
        <v>2</v>
      </c>
    </row>
    <row r="9" spans="1:7" x14ac:dyDescent="0.2">
      <c r="A9">
        <v>56</v>
      </c>
      <c r="B9">
        <v>2</v>
      </c>
      <c r="C9">
        <v>0</v>
      </c>
      <c r="D9">
        <f t="shared" si="0"/>
        <v>56</v>
      </c>
      <c r="E9">
        <f t="shared" si="1"/>
        <v>2</v>
      </c>
      <c r="F9" t="e">
        <f t="shared" si="2"/>
        <v>#N/A</v>
      </c>
      <c r="G9" t="e">
        <f t="shared" si="3"/>
        <v>#N/A</v>
      </c>
    </row>
    <row r="10" spans="1:7" x14ac:dyDescent="0.2">
      <c r="A10">
        <v>36</v>
      </c>
      <c r="B10">
        <v>3</v>
      </c>
      <c r="C10">
        <v>1</v>
      </c>
      <c r="D10" t="e">
        <f t="shared" si="0"/>
        <v>#N/A</v>
      </c>
      <c r="E10" t="e">
        <f t="shared" si="1"/>
        <v>#N/A</v>
      </c>
      <c r="F10">
        <f t="shared" si="2"/>
        <v>36</v>
      </c>
      <c r="G10">
        <f t="shared" si="3"/>
        <v>3</v>
      </c>
    </row>
    <row r="11" spans="1:7" x14ac:dyDescent="0.2">
      <c r="A11">
        <v>40</v>
      </c>
      <c r="B11">
        <v>8</v>
      </c>
      <c r="C11">
        <v>0</v>
      </c>
      <c r="D11">
        <f t="shared" si="0"/>
        <v>40</v>
      </c>
      <c r="E11">
        <f t="shared" si="1"/>
        <v>8</v>
      </c>
      <c r="F11" t="e">
        <f t="shared" si="2"/>
        <v>#N/A</v>
      </c>
      <c r="G11" t="e">
        <f t="shared" si="3"/>
        <v>#N/A</v>
      </c>
    </row>
    <row r="12" spans="1:7" x14ac:dyDescent="0.2">
      <c r="A12">
        <v>28</v>
      </c>
      <c r="B12">
        <v>8</v>
      </c>
      <c r="C12">
        <v>0</v>
      </c>
      <c r="D12">
        <f t="shared" si="0"/>
        <v>28</v>
      </c>
      <c r="E12">
        <f t="shared" si="1"/>
        <v>8</v>
      </c>
      <c r="F12" t="e">
        <f t="shared" si="2"/>
        <v>#N/A</v>
      </c>
      <c r="G12" t="e">
        <f t="shared" si="3"/>
        <v>#N/A</v>
      </c>
    </row>
    <row r="13" spans="1:7" x14ac:dyDescent="0.2">
      <c r="A13">
        <v>28</v>
      </c>
      <c r="B13">
        <v>7</v>
      </c>
      <c r="C13">
        <v>0</v>
      </c>
      <c r="D13">
        <f t="shared" si="0"/>
        <v>28</v>
      </c>
      <c r="E13">
        <f t="shared" si="1"/>
        <v>7</v>
      </c>
      <c r="F13" t="e">
        <f t="shared" si="2"/>
        <v>#N/A</v>
      </c>
      <c r="G13" t="e">
        <f t="shared" si="3"/>
        <v>#N/A</v>
      </c>
    </row>
    <row r="14" spans="1:7" x14ac:dyDescent="0.2">
      <c r="A14">
        <v>41</v>
      </c>
      <c r="B14">
        <v>6</v>
      </c>
      <c r="C14">
        <v>0</v>
      </c>
      <c r="D14">
        <f t="shared" si="0"/>
        <v>41</v>
      </c>
      <c r="E14">
        <f t="shared" si="1"/>
        <v>6</v>
      </c>
      <c r="F14" t="e">
        <f t="shared" si="2"/>
        <v>#N/A</v>
      </c>
      <c r="G14" t="e">
        <f t="shared" si="3"/>
        <v>#N/A</v>
      </c>
    </row>
    <row r="15" spans="1:7" x14ac:dyDescent="0.2">
      <c r="A15">
        <v>53</v>
      </c>
      <c r="B15">
        <v>9</v>
      </c>
      <c r="C15">
        <v>1</v>
      </c>
      <c r="D15" t="e">
        <f t="shared" si="0"/>
        <v>#N/A</v>
      </c>
      <c r="E15" t="e">
        <f t="shared" si="1"/>
        <v>#N/A</v>
      </c>
      <c r="F15">
        <f t="shared" si="2"/>
        <v>53</v>
      </c>
      <c r="G15">
        <f t="shared" si="3"/>
        <v>9</v>
      </c>
    </row>
    <row r="16" spans="1:7" x14ac:dyDescent="0.2">
      <c r="A16">
        <v>57</v>
      </c>
      <c r="B16">
        <v>4</v>
      </c>
      <c r="C16">
        <v>0</v>
      </c>
      <c r="D16">
        <f t="shared" si="0"/>
        <v>57</v>
      </c>
      <c r="E16">
        <f t="shared" si="1"/>
        <v>4</v>
      </c>
      <c r="F16" t="e">
        <f t="shared" si="2"/>
        <v>#N/A</v>
      </c>
      <c r="G16" t="e">
        <f t="shared" si="3"/>
        <v>#N/A</v>
      </c>
    </row>
    <row r="17" spans="1:7" x14ac:dyDescent="0.2">
      <c r="A17">
        <v>41</v>
      </c>
      <c r="B17">
        <v>1</v>
      </c>
      <c r="C17">
        <v>1</v>
      </c>
      <c r="D17" t="e">
        <f t="shared" si="0"/>
        <v>#N/A</v>
      </c>
      <c r="E17" t="e">
        <f t="shared" si="1"/>
        <v>#N/A</v>
      </c>
      <c r="F17">
        <f t="shared" si="2"/>
        <v>41</v>
      </c>
      <c r="G17">
        <f t="shared" si="3"/>
        <v>1</v>
      </c>
    </row>
    <row r="18" spans="1:7" x14ac:dyDescent="0.2">
      <c r="A18">
        <v>20</v>
      </c>
      <c r="B18">
        <v>8</v>
      </c>
      <c r="C18">
        <v>0</v>
      </c>
      <c r="D18">
        <f t="shared" si="0"/>
        <v>20</v>
      </c>
      <c r="E18">
        <f t="shared" si="1"/>
        <v>8</v>
      </c>
      <c r="F18" t="e">
        <f t="shared" si="2"/>
        <v>#N/A</v>
      </c>
      <c r="G18" t="e">
        <f t="shared" si="3"/>
        <v>#N/A</v>
      </c>
    </row>
    <row r="19" spans="1:7" x14ac:dyDescent="0.2">
      <c r="A19">
        <v>39</v>
      </c>
      <c r="B19">
        <v>7</v>
      </c>
      <c r="C19">
        <v>0</v>
      </c>
      <c r="D19">
        <f t="shared" si="0"/>
        <v>39</v>
      </c>
      <c r="E19">
        <f t="shared" si="1"/>
        <v>7</v>
      </c>
      <c r="F19" t="e">
        <f t="shared" si="2"/>
        <v>#N/A</v>
      </c>
      <c r="G19" t="e">
        <f t="shared" si="3"/>
        <v>#N/A</v>
      </c>
    </row>
    <row r="20" spans="1:7" x14ac:dyDescent="0.2">
      <c r="A20">
        <v>19</v>
      </c>
      <c r="B20">
        <v>7</v>
      </c>
      <c r="C20">
        <v>1</v>
      </c>
      <c r="D20" t="e">
        <f t="shared" si="0"/>
        <v>#N/A</v>
      </c>
      <c r="E20" t="e">
        <f t="shared" si="1"/>
        <v>#N/A</v>
      </c>
      <c r="F20">
        <f t="shared" si="2"/>
        <v>19</v>
      </c>
      <c r="G20">
        <f t="shared" si="3"/>
        <v>7</v>
      </c>
    </row>
    <row r="21" spans="1:7" x14ac:dyDescent="0.2">
      <c r="A21">
        <v>41</v>
      </c>
      <c r="B21">
        <v>3</v>
      </c>
      <c r="C21">
        <v>1</v>
      </c>
      <c r="D21" t="e">
        <f t="shared" si="0"/>
        <v>#N/A</v>
      </c>
      <c r="E21" t="e">
        <f t="shared" si="1"/>
        <v>#N/A</v>
      </c>
      <c r="F21">
        <f t="shared" si="2"/>
        <v>41</v>
      </c>
      <c r="G21">
        <f t="shared" si="3"/>
        <v>3</v>
      </c>
    </row>
    <row r="22" spans="1:7" x14ac:dyDescent="0.2">
      <c r="A22">
        <v>61</v>
      </c>
      <c r="B22">
        <v>4</v>
      </c>
      <c r="C22">
        <v>0</v>
      </c>
      <c r="D22">
        <f t="shared" si="0"/>
        <v>61</v>
      </c>
      <c r="E22">
        <f t="shared" si="1"/>
        <v>4</v>
      </c>
      <c r="F22" t="e">
        <f t="shared" si="2"/>
        <v>#N/A</v>
      </c>
      <c r="G22" t="e">
        <f t="shared" si="3"/>
        <v>#N/A</v>
      </c>
    </row>
    <row r="23" spans="1:7" x14ac:dyDescent="0.2">
      <c r="A23">
        <v>47</v>
      </c>
      <c r="B23">
        <v>10</v>
      </c>
      <c r="C23">
        <v>1</v>
      </c>
      <c r="D23" t="e">
        <f t="shared" si="0"/>
        <v>#N/A</v>
      </c>
      <c r="E23" t="e">
        <f t="shared" si="1"/>
        <v>#N/A</v>
      </c>
      <c r="F23">
        <f t="shared" si="2"/>
        <v>47</v>
      </c>
      <c r="G23">
        <f t="shared" si="3"/>
        <v>10</v>
      </c>
    </row>
    <row r="24" spans="1:7" x14ac:dyDescent="0.2">
      <c r="A24">
        <v>55</v>
      </c>
      <c r="B24">
        <v>9</v>
      </c>
      <c r="C24">
        <v>1</v>
      </c>
      <c r="D24" t="e">
        <f t="shared" si="0"/>
        <v>#N/A</v>
      </c>
      <c r="E24" t="e">
        <f t="shared" si="1"/>
        <v>#N/A</v>
      </c>
      <c r="F24">
        <f t="shared" si="2"/>
        <v>55</v>
      </c>
      <c r="G24">
        <f t="shared" si="3"/>
        <v>9</v>
      </c>
    </row>
    <row r="25" spans="1:7" x14ac:dyDescent="0.2">
      <c r="A25">
        <v>19</v>
      </c>
      <c r="B25">
        <v>6</v>
      </c>
      <c r="C25">
        <v>0</v>
      </c>
      <c r="D25">
        <f t="shared" si="0"/>
        <v>19</v>
      </c>
      <c r="E25">
        <f t="shared" si="1"/>
        <v>6</v>
      </c>
      <c r="F25" t="e">
        <f t="shared" si="2"/>
        <v>#N/A</v>
      </c>
      <c r="G25" t="e">
        <f t="shared" si="3"/>
        <v>#N/A</v>
      </c>
    </row>
    <row r="26" spans="1:7" x14ac:dyDescent="0.2">
      <c r="A26">
        <v>38</v>
      </c>
      <c r="B26">
        <v>5</v>
      </c>
      <c r="C26">
        <v>0</v>
      </c>
      <c r="D26">
        <f t="shared" si="0"/>
        <v>38</v>
      </c>
      <c r="E26">
        <f t="shared" si="1"/>
        <v>5</v>
      </c>
      <c r="F26" t="e">
        <f t="shared" si="2"/>
        <v>#N/A</v>
      </c>
      <c r="G26" t="e">
        <f t="shared" si="3"/>
        <v>#N/A</v>
      </c>
    </row>
    <row r="27" spans="1:7" x14ac:dyDescent="0.2">
      <c r="A27">
        <v>50</v>
      </c>
      <c r="B27">
        <v>3</v>
      </c>
      <c r="C27">
        <v>0</v>
      </c>
      <c r="D27">
        <f t="shared" si="0"/>
        <v>50</v>
      </c>
      <c r="E27">
        <f t="shared" si="1"/>
        <v>3</v>
      </c>
      <c r="F27" t="e">
        <f t="shared" si="2"/>
        <v>#N/A</v>
      </c>
      <c r="G27" t="e">
        <f t="shared" si="3"/>
        <v>#N/A</v>
      </c>
    </row>
    <row r="28" spans="1:7" x14ac:dyDescent="0.2">
      <c r="A28">
        <v>29</v>
      </c>
      <c r="B28">
        <v>9</v>
      </c>
      <c r="C28">
        <v>0</v>
      </c>
      <c r="D28">
        <f t="shared" si="0"/>
        <v>29</v>
      </c>
      <c r="E28">
        <f t="shared" si="1"/>
        <v>9</v>
      </c>
      <c r="F28" t="e">
        <f t="shared" si="2"/>
        <v>#N/A</v>
      </c>
      <c r="G28" t="e">
        <f t="shared" si="3"/>
        <v>#N/A</v>
      </c>
    </row>
    <row r="29" spans="1:7" x14ac:dyDescent="0.2">
      <c r="A29">
        <v>39</v>
      </c>
      <c r="B29">
        <v>5</v>
      </c>
      <c r="C29">
        <v>0</v>
      </c>
      <c r="D29">
        <f t="shared" si="0"/>
        <v>39</v>
      </c>
      <c r="E29">
        <f t="shared" si="1"/>
        <v>5</v>
      </c>
      <c r="F29" t="e">
        <f t="shared" si="2"/>
        <v>#N/A</v>
      </c>
      <c r="G29" t="e">
        <f t="shared" si="3"/>
        <v>#N/A</v>
      </c>
    </row>
    <row r="30" spans="1:7" x14ac:dyDescent="0.2">
      <c r="A30">
        <v>61</v>
      </c>
      <c r="B30">
        <v>5</v>
      </c>
      <c r="C30">
        <v>0</v>
      </c>
      <c r="D30">
        <f t="shared" si="0"/>
        <v>61</v>
      </c>
      <c r="E30">
        <f t="shared" si="1"/>
        <v>5</v>
      </c>
      <c r="F30" t="e">
        <f t="shared" si="2"/>
        <v>#N/A</v>
      </c>
      <c r="G30" t="e">
        <f t="shared" si="3"/>
        <v>#N/A</v>
      </c>
    </row>
    <row r="31" spans="1:7" x14ac:dyDescent="0.2">
      <c r="A31">
        <v>42</v>
      </c>
      <c r="B31">
        <v>4</v>
      </c>
      <c r="C31">
        <v>1</v>
      </c>
      <c r="D31" t="e">
        <f t="shared" si="0"/>
        <v>#N/A</v>
      </c>
      <c r="E31" t="e">
        <f t="shared" si="1"/>
        <v>#N/A</v>
      </c>
      <c r="F31">
        <f t="shared" si="2"/>
        <v>42</v>
      </c>
      <c r="G31">
        <f t="shared" si="3"/>
        <v>4</v>
      </c>
    </row>
    <row r="32" spans="1:7" x14ac:dyDescent="0.2">
      <c r="A32">
        <v>66</v>
      </c>
      <c r="B32">
        <v>4</v>
      </c>
      <c r="C32">
        <v>1</v>
      </c>
      <c r="D32" t="e">
        <f t="shared" si="0"/>
        <v>#N/A</v>
      </c>
      <c r="E32" t="e">
        <f t="shared" si="1"/>
        <v>#N/A</v>
      </c>
      <c r="F32">
        <f t="shared" si="2"/>
        <v>66</v>
      </c>
      <c r="G32">
        <f t="shared" si="3"/>
        <v>4</v>
      </c>
    </row>
    <row r="33" spans="1:7" x14ac:dyDescent="0.2">
      <c r="A33">
        <v>44</v>
      </c>
      <c r="B33">
        <v>1</v>
      </c>
      <c r="C33">
        <v>0</v>
      </c>
      <c r="D33">
        <f t="shared" si="0"/>
        <v>44</v>
      </c>
      <c r="E33">
        <f t="shared" si="1"/>
        <v>1</v>
      </c>
      <c r="F33" t="e">
        <f t="shared" si="2"/>
        <v>#N/A</v>
      </c>
      <c r="G33" t="e">
        <f t="shared" si="3"/>
        <v>#N/A</v>
      </c>
    </row>
    <row r="34" spans="1:7" x14ac:dyDescent="0.2">
      <c r="A34">
        <v>59</v>
      </c>
      <c r="B34">
        <v>7</v>
      </c>
      <c r="C34">
        <v>0</v>
      </c>
      <c r="D34">
        <f t="shared" si="0"/>
        <v>59</v>
      </c>
      <c r="E34">
        <f t="shared" si="1"/>
        <v>7</v>
      </c>
      <c r="F34" t="e">
        <f t="shared" si="2"/>
        <v>#N/A</v>
      </c>
      <c r="G34" t="e">
        <f t="shared" si="3"/>
        <v>#N/A</v>
      </c>
    </row>
    <row r="35" spans="1:7" x14ac:dyDescent="0.2">
      <c r="A35">
        <v>45</v>
      </c>
      <c r="B35">
        <v>9</v>
      </c>
      <c r="C35">
        <v>1</v>
      </c>
      <c r="D35" t="e">
        <f t="shared" si="0"/>
        <v>#N/A</v>
      </c>
      <c r="E35" t="e">
        <f t="shared" si="1"/>
        <v>#N/A</v>
      </c>
      <c r="F35">
        <f t="shared" si="2"/>
        <v>45</v>
      </c>
      <c r="G35">
        <f t="shared" si="3"/>
        <v>9</v>
      </c>
    </row>
    <row r="36" spans="1:7" x14ac:dyDescent="0.2">
      <c r="A36">
        <v>33</v>
      </c>
      <c r="B36">
        <v>3</v>
      </c>
      <c r="C36">
        <v>1</v>
      </c>
      <c r="D36" t="e">
        <f t="shared" si="0"/>
        <v>#N/A</v>
      </c>
      <c r="E36" t="e">
        <f t="shared" si="1"/>
        <v>#N/A</v>
      </c>
      <c r="F36">
        <f t="shared" si="2"/>
        <v>33</v>
      </c>
      <c r="G36">
        <f t="shared" si="3"/>
        <v>3</v>
      </c>
    </row>
    <row r="37" spans="1:7" x14ac:dyDescent="0.2">
      <c r="A37">
        <v>32</v>
      </c>
      <c r="B37">
        <v>2</v>
      </c>
      <c r="C37">
        <v>0</v>
      </c>
      <c r="D37">
        <f t="shared" si="0"/>
        <v>32</v>
      </c>
      <c r="E37">
        <f t="shared" si="1"/>
        <v>2</v>
      </c>
      <c r="F37" t="e">
        <f t="shared" si="2"/>
        <v>#N/A</v>
      </c>
      <c r="G37" t="e">
        <f t="shared" si="3"/>
        <v>#N/A</v>
      </c>
    </row>
    <row r="38" spans="1:7" x14ac:dyDescent="0.2">
      <c r="A38">
        <v>64</v>
      </c>
      <c r="B38">
        <v>3</v>
      </c>
      <c r="C38">
        <v>0</v>
      </c>
      <c r="D38">
        <f t="shared" si="0"/>
        <v>64</v>
      </c>
      <c r="E38">
        <f t="shared" si="1"/>
        <v>3</v>
      </c>
      <c r="F38" t="e">
        <f t="shared" si="2"/>
        <v>#N/A</v>
      </c>
      <c r="G38" t="e">
        <f t="shared" si="3"/>
        <v>#N/A</v>
      </c>
    </row>
    <row r="39" spans="1:7" x14ac:dyDescent="0.2">
      <c r="A39">
        <v>68</v>
      </c>
      <c r="B39">
        <v>1</v>
      </c>
      <c r="C39">
        <v>0</v>
      </c>
      <c r="D39">
        <f t="shared" si="0"/>
        <v>68</v>
      </c>
      <c r="E39">
        <f t="shared" si="1"/>
        <v>1</v>
      </c>
      <c r="F39" t="e">
        <f t="shared" si="2"/>
        <v>#N/A</v>
      </c>
      <c r="G39" t="e">
        <f t="shared" si="3"/>
        <v>#N/A</v>
      </c>
    </row>
    <row r="40" spans="1:7" x14ac:dyDescent="0.2">
      <c r="A40">
        <v>61</v>
      </c>
      <c r="B40">
        <v>6</v>
      </c>
      <c r="C40">
        <v>1</v>
      </c>
      <c r="D40" t="e">
        <f t="shared" si="0"/>
        <v>#N/A</v>
      </c>
      <c r="E40" t="e">
        <f t="shared" si="1"/>
        <v>#N/A</v>
      </c>
      <c r="F40">
        <f t="shared" si="2"/>
        <v>61</v>
      </c>
      <c r="G40">
        <f t="shared" si="3"/>
        <v>6</v>
      </c>
    </row>
    <row r="41" spans="1:7" x14ac:dyDescent="0.2">
      <c r="A41">
        <v>69</v>
      </c>
      <c r="B41">
        <v>7</v>
      </c>
      <c r="C41">
        <v>0</v>
      </c>
      <c r="D41">
        <f t="shared" si="0"/>
        <v>69</v>
      </c>
      <c r="E41">
        <f t="shared" si="1"/>
        <v>7</v>
      </c>
      <c r="F41" t="e">
        <f t="shared" si="2"/>
        <v>#N/A</v>
      </c>
      <c r="G41" t="e">
        <f t="shared" si="3"/>
        <v>#N/A</v>
      </c>
    </row>
    <row r="42" spans="1:7" x14ac:dyDescent="0.2">
      <c r="A42">
        <v>20</v>
      </c>
      <c r="B42">
        <v>2</v>
      </c>
      <c r="C42">
        <v>1</v>
      </c>
      <c r="D42" t="e">
        <f t="shared" si="0"/>
        <v>#N/A</v>
      </c>
      <c r="E42" t="e">
        <f t="shared" si="1"/>
        <v>#N/A</v>
      </c>
      <c r="F42">
        <f t="shared" si="2"/>
        <v>20</v>
      </c>
      <c r="G42">
        <f t="shared" si="3"/>
        <v>2</v>
      </c>
    </row>
    <row r="43" spans="1:7" x14ac:dyDescent="0.2">
      <c r="A43">
        <v>54</v>
      </c>
      <c r="B43">
        <v>8</v>
      </c>
      <c r="C43">
        <v>1</v>
      </c>
      <c r="D43" t="e">
        <f t="shared" si="0"/>
        <v>#N/A</v>
      </c>
      <c r="E43" t="e">
        <f t="shared" si="1"/>
        <v>#N/A</v>
      </c>
      <c r="F43">
        <f t="shared" si="2"/>
        <v>54</v>
      </c>
      <c r="G43">
        <f t="shared" si="3"/>
        <v>8</v>
      </c>
    </row>
    <row r="44" spans="1:7" x14ac:dyDescent="0.2">
      <c r="A44">
        <v>68</v>
      </c>
      <c r="B44">
        <v>6</v>
      </c>
      <c r="C44">
        <v>1</v>
      </c>
      <c r="D44" t="e">
        <f t="shared" si="0"/>
        <v>#N/A</v>
      </c>
      <c r="E44" t="e">
        <f t="shared" si="1"/>
        <v>#N/A</v>
      </c>
      <c r="F44">
        <f t="shared" si="2"/>
        <v>68</v>
      </c>
      <c r="G44">
        <f t="shared" si="3"/>
        <v>6</v>
      </c>
    </row>
    <row r="45" spans="1:7" x14ac:dyDescent="0.2">
      <c r="A45">
        <v>24</v>
      </c>
      <c r="B45">
        <v>4</v>
      </c>
      <c r="C45">
        <v>0</v>
      </c>
      <c r="D45">
        <f t="shared" si="0"/>
        <v>24</v>
      </c>
      <c r="E45">
        <f t="shared" si="1"/>
        <v>4</v>
      </c>
      <c r="F45" t="e">
        <f t="shared" si="2"/>
        <v>#N/A</v>
      </c>
      <c r="G45" t="e">
        <f t="shared" si="3"/>
        <v>#N/A</v>
      </c>
    </row>
    <row r="46" spans="1:7" x14ac:dyDescent="0.2">
      <c r="A46">
        <v>38</v>
      </c>
      <c r="B46">
        <v>5</v>
      </c>
      <c r="C46">
        <v>1</v>
      </c>
      <c r="D46" t="e">
        <f t="shared" si="0"/>
        <v>#N/A</v>
      </c>
      <c r="E46" t="e">
        <f t="shared" si="1"/>
        <v>#N/A</v>
      </c>
      <c r="F46">
        <f t="shared" si="2"/>
        <v>38</v>
      </c>
      <c r="G46">
        <f t="shared" si="3"/>
        <v>5</v>
      </c>
    </row>
    <row r="47" spans="1:7" x14ac:dyDescent="0.2">
      <c r="A47">
        <v>26</v>
      </c>
      <c r="B47">
        <v>8</v>
      </c>
      <c r="C47">
        <v>0</v>
      </c>
      <c r="D47">
        <f t="shared" si="0"/>
        <v>26</v>
      </c>
      <c r="E47">
        <f t="shared" si="1"/>
        <v>8</v>
      </c>
      <c r="F47" t="e">
        <f t="shared" si="2"/>
        <v>#N/A</v>
      </c>
      <c r="G47" t="e">
        <f t="shared" si="3"/>
        <v>#N/A</v>
      </c>
    </row>
    <row r="48" spans="1:7" x14ac:dyDescent="0.2">
      <c r="A48">
        <v>56</v>
      </c>
      <c r="B48">
        <v>3</v>
      </c>
      <c r="C48">
        <v>0</v>
      </c>
      <c r="D48">
        <f t="shared" si="0"/>
        <v>56</v>
      </c>
      <c r="E48">
        <f t="shared" si="1"/>
        <v>3</v>
      </c>
      <c r="F48" t="e">
        <f t="shared" si="2"/>
        <v>#N/A</v>
      </c>
      <c r="G48" t="e">
        <f t="shared" si="3"/>
        <v>#N/A</v>
      </c>
    </row>
    <row r="49" spans="1:7" x14ac:dyDescent="0.2">
      <c r="A49">
        <v>35</v>
      </c>
      <c r="B49">
        <v>3</v>
      </c>
      <c r="C49">
        <v>1</v>
      </c>
      <c r="D49" t="e">
        <f t="shared" si="0"/>
        <v>#N/A</v>
      </c>
      <c r="E49" t="e">
        <f t="shared" si="1"/>
        <v>#N/A</v>
      </c>
      <c r="F49">
        <f t="shared" si="2"/>
        <v>35</v>
      </c>
      <c r="G49">
        <f t="shared" si="3"/>
        <v>3</v>
      </c>
    </row>
    <row r="50" spans="1:7" x14ac:dyDescent="0.2">
      <c r="A50">
        <v>21</v>
      </c>
      <c r="B50">
        <v>4</v>
      </c>
      <c r="C50">
        <v>0</v>
      </c>
      <c r="D50">
        <f t="shared" si="0"/>
        <v>21</v>
      </c>
      <c r="E50">
        <f t="shared" si="1"/>
        <v>4</v>
      </c>
      <c r="F50" t="e">
        <f t="shared" si="2"/>
        <v>#N/A</v>
      </c>
      <c r="G50" t="e">
        <f t="shared" si="3"/>
        <v>#N/A</v>
      </c>
    </row>
    <row r="51" spans="1:7" x14ac:dyDescent="0.2">
      <c r="A51">
        <v>42</v>
      </c>
      <c r="B51">
        <v>1</v>
      </c>
      <c r="C51">
        <v>1</v>
      </c>
      <c r="D51" t="e">
        <f t="shared" si="0"/>
        <v>#N/A</v>
      </c>
      <c r="E51" t="e">
        <f t="shared" si="1"/>
        <v>#N/A</v>
      </c>
      <c r="F51">
        <f t="shared" si="2"/>
        <v>42</v>
      </c>
      <c r="G51">
        <f t="shared" si="3"/>
        <v>1</v>
      </c>
    </row>
    <row r="52" spans="1:7" x14ac:dyDescent="0.2">
      <c r="A52">
        <v>31</v>
      </c>
      <c r="B52">
        <v>9</v>
      </c>
      <c r="C52">
        <v>0</v>
      </c>
      <c r="D52">
        <f t="shared" si="0"/>
        <v>31</v>
      </c>
      <c r="E52">
        <f t="shared" si="1"/>
        <v>9</v>
      </c>
      <c r="F52" t="e">
        <f t="shared" si="2"/>
        <v>#N/A</v>
      </c>
      <c r="G52" t="e">
        <f t="shared" si="3"/>
        <v>#N/A</v>
      </c>
    </row>
    <row r="53" spans="1:7" x14ac:dyDescent="0.2">
      <c r="A53">
        <v>67</v>
      </c>
      <c r="B53">
        <v>8</v>
      </c>
      <c r="C53">
        <v>0</v>
      </c>
      <c r="D53">
        <f t="shared" si="0"/>
        <v>67</v>
      </c>
      <c r="E53">
        <f t="shared" si="1"/>
        <v>8</v>
      </c>
      <c r="F53" t="e">
        <f t="shared" si="2"/>
        <v>#N/A</v>
      </c>
      <c r="G53" t="e">
        <f t="shared" si="3"/>
        <v>#N/A</v>
      </c>
    </row>
    <row r="54" spans="1:7" x14ac:dyDescent="0.2">
      <c r="A54">
        <v>26</v>
      </c>
      <c r="B54">
        <v>8</v>
      </c>
      <c r="C54">
        <v>0</v>
      </c>
      <c r="D54">
        <f t="shared" si="0"/>
        <v>26</v>
      </c>
      <c r="E54">
        <f t="shared" si="1"/>
        <v>8</v>
      </c>
      <c r="F54" t="e">
        <f t="shared" si="2"/>
        <v>#N/A</v>
      </c>
      <c r="G54" t="e">
        <f t="shared" si="3"/>
        <v>#N/A</v>
      </c>
    </row>
    <row r="55" spans="1:7" x14ac:dyDescent="0.2">
      <c r="A55">
        <v>43</v>
      </c>
      <c r="B55">
        <v>10</v>
      </c>
      <c r="C55">
        <v>0</v>
      </c>
      <c r="D55">
        <f t="shared" si="0"/>
        <v>43</v>
      </c>
      <c r="E55">
        <f t="shared" si="1"/>
        <v>10</v>
      </c>
      <c r="F55" t="e">
        <f t="shared" si="2"/>
        <v>#N/A</v>
      </c>
      <c r="G55" t="e">
        <f t="shared" si="3"/>
        <v>#N/A</v>
      </c>
    </row>
    <row r="56" spans="1:7" x14ac:dyDescent="0.2">
      <c r="A56">
        <v>19</v>
      </c>
      <c r="B56">
        <v>6</v>
      </c>
      <c r="C56">
        <v>1</v>
      </c>
      <c r="D56" t="e">
        <f t="shared" si="0"/>
        <v>#N/A</v>
      </c>
      <c r="E56" t="e">
        <f t="shared" si="1"/>
        <v>#N/A</v>
      </c>
      <c r="F56">
        <f t="shared" si="2"/>
        <v>19</v>
      </c>
      <c r="G56">
        <f t="shared" si="3"/>
        <v>6</v>
      </c>
    </row>
    <row r="57" spans="1:7" x14ac:dyDescent="0.2">
      <c r="A57">
        <v>37</v>
      </c>
      <c r="B57">
        <v>7</v>
      </c>
      <c r="C57">
        <v>1</v>
      </c>
      <c r="D57" t="e">
        <f t="shared" si="0"/>
        <v>#N/A</v>
      </c>
      <c r="E57" t="e">
        <f t="shared" si="1"/>
        <v>#N/A</v>
      </c>
      <c r="F57">
        <f t="shared" si="2"/>
        <v>37</v>
      </c>
      <c r="G57">
        <f t="shared" si="3"/>
        <v>7</v>
      </c>
    </row>
    <row r="58" spans="1:7" x14ac:dyDescent="0.2">
      <c r="A58">
        <v>45</v>
      </c>
      <c r="B58">
        <v>6</v>
      </c>
      <c r="C58">
        <v>0</v>
      </c>
      <c r="D58">
        <f t="shared" si="0"/>
        <v>45</v>
      </c>
      <c r="E58">
        <f t="shared" si="1"/>
        <v>6</v>
      </c>
      <c r="F58" t="e">
        <f t="shared" si="2"/>
        <v>#N/A</v>
      </c>
      <c r="G58" t="e">
        <f t="shared" si="3"/>
        <v>#N/A</v>
      </c>
    </row>
    <row r="59" spans="1:7" x14ac:dyDescent="0.2">
      <c r="A59">
        <v>64</v>
      </c>
      <c r="B59">
        <v>9</v>
      </c>
      <c r="C59">
        <v>0</v>
      </c>
      <c r="D59">
        <f t="shared" si="0"/>
        <v>64</v>
      </c>
      <c r="E59">
        <f t="shared" si="1"/>
        <v>9</v>
      </c>
      <c r="F59" t="e">
        <f t="shared" si="2"/>
        <v>#N/A</v>
      </c>
      <c r="G59" t="e">
        <f t="shared" si="3"/>
        <v>#N/A</v>
      </c>
    </row>
    <row r="60" spans="1:7" x14ac:dyDescent="0.2">
      <c r="A60">
        <v>24</v>
      </c>
      <c r="B60">
        <v>3</v>
      </c>
      <c r="C60">
        <v>1</v>
      </c>
      <c r="D60" t="e">
        <f t="shared" si="0"/>
        <v>#N/A</v>
      </c>
      <c r="E60" t="e">
        <f t="shared" si="1"/>
        <v>#N/A</v>
      </c>
      <c r="F60">
        <f t="shared" si="2"/>
        <v>24</v>
      </c>
      <c r="G60">
        <f t="shared" si="3"/>
        <v>3</v>
      </c>
    </row>
    <row r="61" spans="1:7" x14ac:dyDescent="0.2">
      <c r="A61">
        <v>61</v>
      </c>
      <c r="B61">
        <v>3</v>
      </c>
      <c r="C61">
        <v>0</v>
      </c>
      <c r="D61">
        <f t="shared" si="0"/>
        <v>61</v>
      </c>
      <c r="E61">
        <f t="shared" si="1"/>
        <v>3</v>
      </c>
      <c r="F61" t="e">
        <f t="shared" si="2"/>
        <v>#N/A</v>
      </c>
      <c r="G61" t="e">
        <f t="shared" si="3"/>
        <v>#N/A</v>
      </c>
    </row>
    <row r="62" spans="1:7" x14ac:dyDescent="0.2">
      <c r="A62">
        <v>25</v>
      </c>
      <c r="B62">
        <v>3</v>
      </c>
      <c r="C62">
        <v>1</v>
      </c>
      <c r="D62" t="e">
        <f t="shared" si="0"/>
        <v>#N/A</v>
      </c>
      <c r="E62" t="e">
        <f t="shared" si="1"/>
        <v>#N/A</v>
      </c>
      <c r="F62">
        <f t="shared" si="2"/>
        <v>25</v>
      </c>
      <c r="G62">
        <f t="shared" si="3"/>
        <v>3</v>
      </c>
    </row>
    <row r="63" spans="1:7" x14ac:dyDescent="0.2">
      <c r="A63">
        <v>64</v>
      </c>
      <c r="B63">
        <v>10</v>
      </c>
      <c r="C63">
        <v>0</v>
      </c>
      <c r="D63">
        <f t="shared" si="0"/>
        <v>64</v>
      </c>
      <c r="E63">
        <f t="shared" si="1"/>
        <v>10</v>
      </c>
      <c r="F63" t="e">
        <f t="shared" si="2"/>
        <v>#N/A</v>
      </c>
      <c r="G63" t="e">
        <f t="shared" si="3"/>
        <v>#N/A</v>
      </c>
    </row>
    <row r="64" spans="1:7" x14ac:dyDescent="0.2">
      <c r="A64">
        <v>52</v>
      </c>
      <c r="B64">
        <v>3</v>
      </c>
      <c r="C64">
        <v>1</v>
      </c>
      <c r="D64" t="e">
        <f t="shared" si="0"/>
        <v>#N/A</v>
      </c>
      <c r="E64" t="e">
        <f t="shared" si="1"/>
        <v>#N/A</v>
      </c>
      <c r="F64">
        <f t="shared" si="2"/>
        <v>52</v>
      </c>
      <c r="G64">
        <f t="shared" si="3"/>
        <v>3</v>
      </c>
    </row>
    <row r="65" spans="1:7" x14ac:dyDescent="0.2">
      <c r="A65">
        <v>31</v>
      </c>
      <c r="B65">
        <v>9</v>
      </c>
      <c r="C65">
        <v>0</v>
      </c>
      <c r="D65">
        <f t="shared" si="0"/>
        <v>31</v>
      </c>
      <c r="E65">
        <f t="shared" si="1"/>
        <v>9</v>
      </c>
      <c r="F65" t="e">
        <f t="shared" si="2"/>
        <v>#N/A</v>
      </c>
      <c r="G65" t="e">
        <f t="shared" si="3"/>
        <v>#N/A</v>
      </c>
    </row>
    <row r="66" spans="1:7" x14ac:dyDescent="0.2">
      <c r="A66">
        <v>34</v>
      </c>
      <c r="B66">
        <v>4</v>
      </c>
      <c r="C66">
        <v>1</v>
      </c>
      <c r="D66" t="e">
        <f t="shared" si="0"/>
        <v>#N/A</v>
      </c>
      <c r="E66" t="e">
        <f t="shared" si="1"/>
        <v>#N/A</v>
      </c>
      <c r="F66">
        <f t="shared" si="2"/>
        <v>34</v>
      </c>
      <c r="G66">
        <f t="shared" si="3"/>
        <v>4</v>
      </c>
    </row>
    <row r="67" spans="1:7" x14ac:dyDescent="0.2">
      <c r="A67">
        <v>53</v>
      </c>
      <c r="B67">
        <v>7</v>
      </c>
      <c r="C67">
        <v>1</v>
      </c>
      <c r="D67" t="e">
        <f t="shared" ref="D67:D130" si="4" xml:space="preserve"> IF($C67=0, $A67, NA())</f>
        <v>#N/A</v>
      </c>
      <c r="E67" t="e">
        <f t="shared" ref="E67:E130" si="5" xml:space="preserve"> IF($C67=0, B67, NA())</f>
        <v>#N/A</v>
      </c>
      <c r="F67">
        <f t="shared" ref="F67:F130" si="6" xml:space="preserve"> IF($C67=1, A67, NA())</f>
        <v>53</v>
      </c>
      <c r="G67">
        <f t="shared" ref="G67:G130" si="7" xml:space="preserve"> IF($C67=1, $B67, NA())</f>
        <v>7</v>
      </c>
    </row>
    <row r="68" spans="1:7" x14ac:dyDescent="0.2">
      <c r="A68">
        <v>67</v>
      </c>
      <c r="B68">
        <v>9</v>
      </c>
      <c r="C68">
        <v>1</v>
      </c>
      <c r="D68" t="e">
        <f t="shared" si="4"/>
        <v>#N/A</v>
      </c>
      <c r="E68" t="e">
        <f t="shared" si="5"/>
        <v>#N/A</v>
      </c>
      <c r="F68">
        <f t="shared" si="6"/>
        <v>67</v>
      </c>
      <c r="G68">
        <f t="shared" si="7"/>
        <v>9</v>
      </c>
    </row>
    <row r="69" spans="1:7" x14ac:dyDescent="0.2">
      <c r="A69">
        <v>57</v>
      </c>
      <c r="B69">
        <v>7</v>
      </c>
      <c r="C69">
        <v>1</v>
      </c>
      <c r="D69" t="e">
        <f t="shared" si="4"/>
        <v>#N/A</v>
      </c>
      <c r="E69" t="e">
        <f t="shared" si="5"/>
        <v>#N/A</v>
      </c>
      <c r="F69">
        <f t="shared" si="6"/>
        <v>57</v>
      </c>
      <c r="G69">
        <f t="shared" si="7"/>
        <v>7</v>
      </c>
    </row>
    <row r="70" spans="1:7" x14ac:dyDescent="0.2">
      <c r="A70">
        <v>21</v>
      </c>
      <c r="B70">
        <v>9</v>
      </c>
      <c r="C70">
        <v>0</v>
      </c>
      <c r="D70">
        <f t="shared" si="4"/>
        <v>21</v>
      </c>
      <c r="E70">
        <f t="shared" si="5"/>
        <v>9</v>
      </c>
      <c r="F70" t="e">
        <f t="shared" si="6"/>
        <v>#N/A</v>
      </c>
      <c r="G70" t="e">
        <f t="shared" si="7"/>
        <v>#N/A</v>
      </c>
    </row>
    <row r="71" spans="1:7" x14ac:dyDescent="0.2">
      <c r="A71">
        <v>19</v>
      </c>
      <c r="B71">
        <v>3</v>
      </c>
      <c r="C71">
        <v>1</v>
      </c>
      <c r="D71" t="e">
        <f t="shared" si="4"/>
        <v>#N/A</v>
      </c>
      <c r="E71" t="e">
        <f t="shared" si="5"/>
        <v>#N/A</v>
      </c>
      <c r="F71">
        <f t="shared" si="6"/>
        <v>19</v>
      </c>
      <c r="G71">
        <f t="shared" si="7"/>
        <v>3</v>
      </c>
    </row>
    <row r="72" spans="1:7" x14ac:dyDescent="0.2">
      <c r="A72">
        <v>23</v>
      </c>
      <c r="B72">
        <v>4</v>
      </c>
      <c r="C72">
        <v>0</v>
      </c>
      <c r="D72">
        <f t="shared" si="4"/>
        <v>23</v>
      </c>
      <c r="E72">
        <f t="shared" si="5"/>
        <v>4</v>
      </c>
      <c r="F72" t="e">
        <f t="shared" si="6"/>
        <v>#N/A</v>
      </c>
      <c r="G72" t="e">
        <f t="shared" si="7"/>
        <v>#N/A</v>
      </c>
    </row>
    <row r="73" spans="1:7" x14ac:dyDescent="0.2">
      <c r="A73">
        <v>59</v>
      </c>
      <c r="B73">
        <v>8</v>
      </c>
      <c r="C73">
        <v>1</v>
      </c>
      <c r="D73" t="e">
        <f t="shared" si="4"/>
        <v>#N/A</v>
      </c>
      <c r="E73" t="e">
        <f t="shared" si="5"/>
        <v>#N/A</v>
      </c>
      <c r="F73">
        <f t="shared" si="6"/>
        <v>59</v>
      </c>
      <c r="G73">
        <f t="shared" si="7"/>
        <v>8</v>
      </c>
    </row>
    <row r="74" spans="1:7" x14ac:dyDescent="0.2">
      <c r="A74">
        <v>21</v>
      </c>
      <c r="B74">
        <v>6</v>
      </c>
      <c r="C74">
        <v>1</v>
      </c>
      <c r="D74" t="e">
        <f t="shared" si="4"/>
        <v>#N/A</v>
      </c>
      <c r="E74" t="e">
        <f t="shared" si="5"/>
        <v>#N/A</v>
      </c>
      <c r="F74">
        <f t="shared" si="6"/>
        <v>21</v>
      </c>
      <c r="G74">
        <f t="shared" si="7"/>
        <v>6</v>
      </c>
    </row>
    <row r="75" spans="1:7" x14ac:dyDescent="0.2">
      <c r="A75">
        <v>46</v>
      </c>
      <c r="B75">
        <v>5</v>
      </c>
      <c r="C75">
        <v>1</v>
      </c>
      <c r="D75" t="e">
        <f t="shared" si="4"/>
        <v>#N/A</v>
      </c>
      <c r="E75" t="e">
        <f t="shared" si="5"/>
        <v>#N/A</v>
      </c>
      <c r="F75">
        <f t="shared" si="6"/>
        <v>46</v>
      </c>
      <c r="G75">
        <f t="shared" si="7"/>
        <v>5</v>
      </c>
    </row>
    <row r="76" spans="1:7" x14ac:dyDescent="0.2">
      <c r="A76">
        <v>35</v>
      </c>
      <c r="B76">
        <v>4</v>
      </c>
      <c r="C76">
        <v>1</v>
      </c>
      <c r="D76" t="e">
        <f t="shared" si="4"/>
        <v>#N/A</v>
      </c>
      <c r="E76" t="e">
        <f t="shared" si="5"/>
        <v>#N/A</v>
      </c>
      <c r="F76">
        <f t="shared" si="6"/>
        <v>35</v>
      </c>
      <c r="G76">
        <f t="shared" si="7"/>
        <v>4</v>
      </c>
    </row>
    <row r="77" spans="1:7" x14ac:dyDescent="0.2">
      <c r="A77">
        <v>43</v>
      </c>
      <c r="B77">
        <v>8</v>
      </c>
      <c r="C77">
        <v>1</v>
      </c>
      <c r="D77" t="e">
        <f t="shared" si="4"/>
        <v>#N/A</v>
      </c>
      <c r="E77" t="e">
        <f t="shared" si="5"/>
        <v>#N/A</v>
      </c>
      <c r="F77">
        <f t="shared" si="6"/>
        <v>43</v>
      </c>
      <c r="G77">
        <f t="shared" si="7"/>
        <v>8</v>
      </c>
    </row>
    <row r="78" spans="1:7" x14ac:dyDescent="0.2">
      <c r="A78">
        <v>61</v>
      </c>
      <c r="B78">
        <v>1</v>
      </c>
      <c r="C78">
        <v>0</v>
      </c>
      <c r="D78">
        <f t="shared" si="4"/>
        <v>61</v>
      </c>
      <c r="E78">
        <f t="shared" si="5"/>
        <v>1</v>
      </c>
      <c r="F78" t="e">
        <f t="shared" si="6"/>
        <v>#N/A</v>
      </c>
      <c r="G78" t="e">
        <f t="shared" si="7"/>
        <v>#N/A</v>
      </c>
    </row>
    <row r="79" spans="1:7" x14ac:dyDescent="0.2">
      <c r="A79">
        <v>51</v>
      </c>
      <c r="B79">
        <v>9</v>
      </c>
      <c r="C79">
        <v>0</v>
      </c>
      <c r="D79">
        <f t="shared" si="4"/>
        <v>51</v>
      </c>
      <c r="E79">
        <f t="shared" si="5"/>
        <v>9</v>
      </c>
      <c r="F79" t="e">
        <f t="shared" si="6"/>
        <v>#N/A</v>
      </c>
      <c r="G79" t="e">
        <f t="shared" si="7"/>
        <v>#N/A</v>
      </c>
    </row>
    <row r="80" spans="1:7" x14ac:dyDescent="0.2">
      <c r="A80">
        <v>27</v>
      </c>
      <c r="B80">
        <v>1</v>
      </c>
      <c r="C80">
        <v>1</v>
      </c>
      <c r="D80" t="e">
        <f t="shared" si="4"/>
        <v>#N/A</v>
      </c>
      <c r="E80" t="e">
        <f t="shared" si="5"/>
        <v>#N/A</v>
      </c>
      <c r="F80">
        <f t="shared" si="6"/>
        <v>27</v>
      </c>
      <c r="G80">
        <f t="shared" si="7"/>
        <v>1</v>
      </c>
    </row>
    <row r="81" spans="1:7" x14ac:dyDescent="0.2">
      <c r="A81">
        <v>53</v>
      </c>
      <c r="B81">
        <v>8</v>
      </c>
      <c r="C81">
        <v>0</v>
      </c>
      <c r="D81">
        <f t="shared" si="4"/>
        <v>53</v>
      </c>
      <c r="E81">
        <f t="shared" si="5"/>
        <v>8</v>
      </c>
      <c r="F81" t="e">
        <f t="shared" si="6"/>
        <v>#N/A</v>
      </c>
      <c r="G81" t="e">
        <f t="shared" si="7"/>
        <v>#N/A</v>
      </c>
    </row>
    <row r="82" spans="1:7" x14ac:dyDescent="0.2">
      <c r="A82">
        <v>31</v>
      </c>
      <c r="B82">
        <v>4</v>
      </c>
      <c r="C82">
        <v>1</v>
      </c>
      <c r="D82" t="e">
        <f t="shared" si="4"/>
        <v>#N/A</v>
      </c>
      <c r="E82" t="e">
        <f t="shared" si="5"/>
        <v>#N/A</v>
      </c>
      <c r="F82">
        <f t="shared" si="6"/>
        <v>31</v>
      </c>
      <c r="G82">
        <f t="shared" si="7"/>
        <v>4</v>
      </c>
    </row>
    <row r="83" spans="1:7" x14ac:dyDescent="0.2">
      <c r="A83">
        <v>48</v>
      </c>
      <c r="B83">
        <v>9</v>
      </c>
      <c r="C83">
        <v>1</v>
      </c>
      <c r="D83" t="e">
        <f t="shared" si="4"/>
        <v>#N/A</v>
      </c>
      <c r="E83" t="e">
        <f t="shared" si="5"/>
        <v>#N/A</v>
      </c>
      <c r="F83">
        <f t="shared" si="6"/>
        <v>48</v>
      </c>
      <c r="G83">
        <f t="shared" si="7"/>
        <v>9</v>
      </c>
    </row>
    <row r="84" spans="1:7" x14ac:dyDescent="0.2">
      <c r="A84">
        <v>65</v>
      </c>
      <c r="B84">
        <v>5</v>
      </c>
      <c r="C84">
        <v>0</v>
      </c>
      <c r="D84">
        <f t="shared" si="4"/>
        <v>65</v>
      </c>
      <c r="E84">
        <f t="shared" si="5"/>
        <v>5</v>
      </c>
      <c r="F84" t="e">
        <f t="shared" si="6"/>
        <v>#N/A</v>
      </c>
      <c r="G84" t="e">
        <f t="shared" si="7"/>
        <v>#N/A</v>
      </c>
    </row>
    <row r="85" spans="1:7" x14ac:dyDescent="0.2">
      <c r="A85">
        <v>32</v>
      </c>
      <c r="B85">
        <v>3</v>
      </c>
      <c r="C85">
        <v>0</v>
      </c>
      <c r="D85">
        <f t="shared" si="4"/>
        <v>32</v>
      </c>
      <c r="E85">
        <f t="shared" si="5"/>
        <v>3</v>
      </c>
      <c r="F85" t="e">
        <f t="shared" si="6"/>
        <v>#N/A</v>
      </c>
      <c r="G85" t="e">
        <f t="shared" si="7"/>
        <v>#N/A</v>
      </c>
    </row>
    <row r="86" spans="1:7" x14ac:dyDescent="0.2">
      <c r="A86">
        <v>25</v>
      </c>
      <c r="B86">
        <v>9</v>
      </c>
      <c r="C86">
        <v>0</v>
      </c>
      <c r="D86">
        <f t="shared" si="4"/>
        <v>25</v>
      </c>
      <c r="E86">
        <f t="shared" si="5"/>
        <v>9</v>
      </c>
      <c r="F86" t="e">
        <f t="shared" si="6"/>
        <v>#N/A</v>
      </c>
      <c r="G86" t="e">
        <f t="shared" si="7"/>
        <v>#N/A</v>
      </c>
    </row>
    <row r="87" spans="1:7" x14ac:dyDescent="0.2">
      <c r="A87">
        <v>31</v>
      </c>
      <c r="B87">
        <v>9</v>
      </c>
      <c r="C87">
        <v>0</v>
      </c>
      <c r="D87">
        <f t="shared" si="4"/>
        <v>31</v>
      </c>
      <c r="E87">
        <f t="shared" si="5"/>
        <v>9</v>
      </c>
      <c r="F87" t="e">
        <f t="shared" si="6"/>
        <v>#N/A</v>
      </c>
      <c r="G87" t="e">
        <f t="shared" si="7"/>
        <v>#N/A</v>
      </c>
    </row>
    <row r="88" spans="1:7" x14ac:dyDescent="0.2">
      <c r="A88">
        <v>40</v>
      </c>
      <c r="B88">
        <v>4</v>
      </c>
      <c r="C88">
        <v>1</v>
      </c>
      <c r="D88" t="e">
        <f t="shared" si="4"/>
        <v>#N/A</v>
      </c>
      <c r="E88" t="e">
        <f t="shared" si="5"/>
        <v>#N/A</v>
      </c>
      <c r="F88">
        <f t="shared" si="6"/>
        <v>40</v>
      </c>
      <c r="G88">
        <f t="shared" si="7"/>
        <v>4</v>
      </c>
    </row>
    <row r="89" spans="1:7" x14ac:dyDescent="0.2">
      <c r="A89">
        <v>57</v>
      </c>
      <c r="B89">
        <v>4</v>
      </c>
      <c r="C89">
        <v>0</v>
      </c>
      <c r="D89">
        <f t="shared" si="4"/>
        <v>57</v>
      </c>
      <c r="E89">
        <f t="shared" si="5"/>
        <v>4</v>
      </c>
      <c r="F89" t="e">
        <f t="shared" si="6"/>
        <v>#N/A</v>
      </c>
      <c r="G89" t="e">
        <f t="shared" si="7"/>
        <v>#N/A</v>
      </c>
    </row>
    <row r="90" spans="1:7" x14ac:dyDescent="0.2">
      <c r="A90">
        <v>38</v>
      </c>
      <c r="B90">
        <v>8</v>
      </c>
      <c r="C90">
        <v>0</v>
      </c>
      <c r="D90">
        <f t="shared" si="4"/>
        <v>38</v>
      </c>
      <c r="E90">
        <f t="shared" si="5"/>
        <v>8</v>
      </c>
      <c r="F90" t="e">
        <f t="shared" si="6"/>
        <v>#N/A</v>
      </c>
      <c r="G90" t="e">
        <f t="shared" si="7"/>
        <v>#N/A</v>
      </c>
    </row>
    <row r="91" spans="1:7" x14ac:dyDescent="0.2">
      <c r="A91">
        <v>33</v>
      </c>
      <c r="B91">
        <v>2</v>
      </c>
      <c r="C91">
        <v>1</v>
      </c>
      <c r="D91" t="e">
        <f t="shared" si="4"/>
        <v>#N/A</v>
      </c>
      <c r="E91" t="e">
        <f t="shared" si="5"/>
        <v>#N/A</v>
      </c>
      <c r="F91">
        <f t="shared" si="6"/>
        <v>33</v>
      </c>
      <c r="G91">
        <f t="shared" si="7"/>
        <v>2</v>
      </c>
    </row>
    <row r="92" spans="1:7" x14ac:dyDescent="0.2">
      <c r="A92">
        <v>62</v>
      </c>
      <c r="B92">
        <v>9</v>
      </c>
      <c r="C92">
        <v>0</v>
      </c>
      <c r="D92">
        <f t="shared" si="4"/>
        <v>62</v>
      </c>
      <c r="E92">
        <f t="shared" si="5"/>
        <v>9</v>
      </c>
      <c r="F92" t="e">
        <f t="shared" si="6"/>
        <v>#N/A</v>
      </c>
      <c r="G92" t="e">
        <f t="shared" si="7"/>
        <v>#N/A</v>
      </c>
    </row>
    <row r="93" spans="1:7" x14ac:dyDescent="0.2">
      <c r="A93">
        <v>35</v>
      </c>
      <c r="B93">
        <v>6</v>
      </c>
      <c r="C93">
        <v>1</v>
      </c>
      <c r="D93" t="e">
        <f t="shared" si="4"/>
        <v>#N/A</v>
      </c>
      <c r="E93" t="e">
        <f t="shared" si="5"/>
        <v>#N/A</v>
      </c>
      <c r="F93">
        <f t="shared" si="6"/>
        <v>35</v>
      </c>
      <c r="G93">
        <f t="shared" si="7"/>
        <v>6</v>
      </c>
    </row>
    <row r="94" spans="1:7" x14ac:dyDescent="0.2">
      <c r="A94">
        <v>64</v>
      </c>
      <c r="B94">
        <v>9</v>
      </c>
      <c r="C94">
        <v>1</v>
      </c>
      <c r="D94" t="e">
        <f t="shared" si="4"/>
        <v>#N/A</v>
      </c>
      <c r="E94" t="e">
        <f t="shared" si="5"/>
        <v>#N/A</v>
      </c>
      <c r="F94">
        <f t="shared" si="6"/>
        <v>64</v>
      </c>
      <c r="G94">
        <f t="shared" si="7"/>
        <v>9</v>
      </c>
    </row>
    <row r="95" spans="1:7" x14ac:dyDescent="0.2">
      <c r="A95">
        <v>41</v>
      </c>
      <c r="B95">
        <v>8</v>
      </c>
      <c r="C95">
        <v>0</v>
      </c>
      <c r="D95">
        <f t="shared" si="4"/>
        <v>41</v>
      </c>
      <c r="E95">
        <f t="shared" si="5"/>
        <v>8</v>
      </c>
      <c r="F95" t="e">
        <f t="shared" si="6"/>
        <v>#N/A</v>
      </c>
      <c r="G95" t="e">
        <f t="shared" si="7"/>
        <v>#N/A</v>
      </c>
    </row>
    <row r="96" spans="1:7" x14ac:dyDescent="0.2">
      <c r="A96">
        <v>43</v>
      </c>
      <c r="B96">
        <v>7</v>
      </c>
      <c r="C96">
        <v>0</v>
      </c>
      <c r="D96">
        <f t="shared" si="4"/>
        <v>43</v>
      </c>
      <c r="E96">
        <f t="shared" si="5"/>
        <v>7</v>
      </c>
      <c r="F96" t="e">
        <f t="shared" si="6"/>
        <v>#N/A</v>
      </c>
      <c r="G96" t="e">
        <f t="shared" si="7"/>
        <v>#N/A</v>
      </c>
    </row>
    <row r="97" spans="1:7" x14ac:dyDescent="0.2">
      <c r="A97">
        <v>42</v>
      </c>
      <c r="B97">
        <v>1</v>
      </c>
      <c r="C97">
        <v>1</v>
      </c>
      <c r="D97" t="e">
        <f t="shared" si="4"/>
        <v>#N/A</v>
      </c>
      <c r="E97" t="e">
        <f t="shared" si="5"/>
        <v>#N/A</v>
      </c>
      <c r="F97">
        <f t="shared" si="6"/>
        <v>42</v>
      </c>
      <c r="G97">
        <f t="shared" si="7"/>
        <v>1</v>
      </c>
    </row>
    <row r="98" spans="1:7" x14ac:dyDescent="0.2">
      <c r="A98">
        <v>62</v>
      </c>
      <c r="B98">
        <v>3</v>
      </c>
      <c r="C98">
        <v>1</v>
      </c>
      <c r="D98" t="e">
        <f t="shared" si="4"/>
        <v>#N/A</v>
      </c>
      <c r="E98" t="e">
        <f t="shared" si="5"/>
        <v>#N/A</v>
      </c>
      <c r="F98">
        <f t="shared" si="6"/>
        <v>62</v>
      </c>
      <c r="G98">
        <f t="shared" si="7"/>
        <v>3</v>
      </c>
    </row>
    <row r="99" spans="1:7" x14ac:dyDescent="0.2">
      <c r="A99">
        <v>58</v>
      </c>
      <c r="B99">
        <v>2</v>
      </c>
      <c r="C99">
        <v>1</v>
      </c>
      <c r="D99" t="e">
        <f t="shared" si="4"/>
        <v>#N/A</v>
      </c>
      <c r="E99" t="e">
        <f t="shared" si="5"/>
        <v>#N/A</v>
      </c>
      <c r="F99">
        <f t="shared" si="6"/>
        <v>58</v>
      </c>
      <c r="G99">
        <f t="shared" si="7"/>
        <v>2</v>
      </c>
    </row>
    <row r="100" spans="1:7" x14ac:dyDescent="0.2">
      <c r="A100">
        <v>46</v>
      </c>
      <c r="B100">
        <v>5</v>
      </c>
      <c r="C100">
        <v>1</v>
      </c>
      <c r="D100" t="e">
        <f t="shared" si="4"/>
        <v>#N/A</v>
      </c>
      <c r="E100" t="e">
        <f t="shared" si="5"/>
        <v>#N/A</v>
      </c>
      <c r="F100">
        <f t="shared" si="6"/>
        <v>46</v>
      </c>
      <c r="G100">
        <f t="shared" si="7"/>
        <v>5</v>
      </c>
    </row>
    <row r="101" spans="1:7" x14ac:dyDescent="0.2">
      <c r="A101">
        <v>32</v>
      </c>
      <c r="B101">
        <v>5</v>
      </c>
      <c r="C101">
        <v>0</v>
      </c>
      <c r="D101">
        <f t="shared" si="4"/>
        <v>32</v>
      </c>
      <c r="E101">
        <f t="shared" si="5"/>
        <v>5</v>
      </c>
      <c r="F101" t="e">
        <f t="shared" si="6"/>
        <v>#N/A</v>
      </c>
      <c r="G101" t="e">
        <f t="shared" si="7"/>
        <v>#N/A</v>
      </c>
    </row>
    <row r="102" spans="1:7" x14ac:dyDescent="0.2">
      <c r="A102">
        <v>62</v>
      </c>
      <c r="B102">
        <v>5</v>
      </c>
      <c r="C102">
        <v>0</v>
      </c>
      <c r="D102">
        <f t="shared" si="4"/>
        <v>62</v>
      </c>
      <c r="E102">
        <f t="shared" si="5"/>
        <v>5</v>
      </c>
      <c r="F102" t="e">
        <f t="shared" si="6"/>
        <v>#N/A</v>
      </c>
      <c r="G102" t="e">
        <f t="shared" si="7"/>
        <v>#N/A</v>
      </c>
    </row>
    <row r="103" spans="1:7" x14ac:dyDescent="0.2">
      <c r="A103">
        <v>18</v>
      </c>
      <c r="B103">
        <v>4</v>
      </c>
      <c r="C103">
        <v>1</v>
      </c>
      <c r="D103" t="e">
        <f t="shared" si="4"/>
        <v>#N/A</v>
      </c>
      <c r="E103" t="e">
        <f t="shared" si="5"/>
        <v>#N/A</v>
      </c>
      <c r="F103">
        <f t="shared" si="6"/>
        <v>18</v>
      </c>
      <c r="G103">
        <f t="shared" si="7"/>
        <v>4</v>
      </c>
    </row>
    <row r="104" spans="1:7" x14ac:dyDescent="0.2">
      <c r="A104">
        <v>42</v>
      </c>
      <c r="B104">
        <v>5</v>
      </c>
      <c r="C104">
        <v>1</v>
      </c>
      <c r="D104" t="e">
        <f t="shared" si="4"/>
        <v>#N/A</v>
      </c>
      <c r="E104" t="e">
        <f t="shared" si="5"/>
        <v>#N/A</v>
      </c>
      <c r="F104">
        <f t="shared" si="6"/>
        <v>42</v>
      </c>
      <c r="G104">
        <f t="shared" si="7"/>
        <v>5</v>
      </c>
    </row>
    <row r="105" spans="1:7" x14ac:dyDescent="0.2">
      <c r="A105">
        <v>24</v>
      </c>
      <c r="B105">
        <v>3</v>
      </c>
      <c r="C105">
        <v>1</v>
      </c>
      <c r="D105" t="e">
        <f t="shared" si="4"/>
        <v>#N/A</v>
      </c>
      <c r="E105" t="e">
        <f t="shared" si="5"/>
        <v>#N/A</v>
      </c>
      <c r="F105">
        <f t="shared" si="6"/>
        <v>24</v>
      </c>
      <c r="G105">
        <f t="shared" si="7"/>
        <v>3</v>
      </c>
    </row>
    <row r="106" spans="1:7" x14ac:dyDescent="0.2">
      <c r="A106">
        <v>26</v>
      </c>
      <c r="B106">
        <v>1</v>
      </c>
      <c r="C106">
        <v>1</v>
      </c>
      <c r="D106" t="e">
        <f t="shared" si="4"/>
        <v>#N/A</v>
      </c>
      <c r="E106" t="e">
        <f t="shared" si="5"/>
        <v>#N/A</v>
      </c>
      <c r="F106">
        <f t="shared" si="6"/>
        <v>26</v>
      </c>
      <c r="G106">
        <f t="shared" si="7"/>
        <v>1</v>
      </c>
    </row>
    <row r="107" spans="1:7" x14ac:dyDescent="0.2">
      <c r="A107">
        <v>41</v>
      </c>
      <c r="B107">
        <v>5</v>
      </c>
      <c r="C107">
        <v>0</v>
      </c>
      <c r="D107">
        <f t="shared" si="4"/>
        <v>41</v>
      </c>
      <c r="E107">
        <f t="shared" si="5"/>
        <v>5</v>
      </c>
      <c r="F107" t="e">
        <f t="shared" si="6"/>
        <v>#N/A</v>
      </c>
      <c r="G107" t="e">
        <f t="shared" si="7"/>
        <v>#N/A</v>
      </c>
    </row>
    <row r="108" spans="1:7" x14ac:dyDescent="0.2">
      <c r="A108">
        <v>18</v>
      </c>
      <c r="B108">
        <v>9</v>
      </c>
      <c r="C108">
        <v>0</v>
      </c>
      <c r="D108">
        <f t="shared" si="4"/>
        <v>18</v>
      </c>
      <c r="E108">
        <f t="shared" si="5"/>
        <v>9</v>
      </c>
      <c r="F108" t="e">
        <f t="shared" si="6"/>
        <v>#N/A</v>
      </c>
      <c r="G108" t="e">
        <f t="shared" si="7"/>
        <v>#N/A</v>
      </c>
    </row>
    <row r="109" spans="1:7" x14ac:dyDescent="0.2">
      <c r="A109">
        <v>61</v>
      </c>
      <c r="B109">
        <v>9</v>
      </c>
      <c r="C109">
        <v>0</v>
      </c>
      <c r="D109">
        <f t="shared" si="4"/>
        <v>61</v>
      </c>
      <c r="E109">
        <f t="shared" si="5"/>
        <v>9</v>
      </c>
      <c r="F109" t="e">
        <f t="shared" si="6"/>
        <v>#N/A</v>
      </c>
      <c r="G109" t="e">
        <f t="shared" si="7"/>
        <v>#N/A</v>
      </c>
    </row>
    <row r="110" spans="1:7" x14ac:dyDescent="0.2">
      <c r="A110">
        <v>25</v>
      </c>
      <c r="B110">
        <v>4</v>
      </c>
      <c r="C110">
        <v>1</v>
      </c>
      <c r="D110" t="e">
        <f t="shared" si="4"/>
        <v>#N/A</v>
      </c>
      <c r="E110" t="e">
        <f t="shared" si="5"/>
        <v>#N/A</v>
      </c>
      <c r="F110">
        <f t="shared" si="6"/>
        <v>25</v>
      </c>
      <c r="G110">
        <f t="shared" si="7"/>
        <v>4</v>
      </c>
    </row>
    <row r="111" spans="1:7" x14ac:dyDescent="0.2">
      <c r="A111">
        <v>41</v>
      </c>
      <c r="B111">
        <v>3</v>
      </c>
      <c r="C111">
        <v>0</v>
      </c>
      <c r="D111">
        <f t="shared" si="4"/>
        <v>41</v>
      </c>
      <c r="E111">
        <f t="shared" si="5"/>
        <v>3</v>
      </c>
      <c r="F111" t="e">
        <f t="shared" si="6"/>
        <v>#N/A</v>
      </c>
      <c r="G111" t="e">
        <f t="shared" si="7"/>
        <v>#N/A</v>
      </c>
    </row>
    <row r="112" spans="1:7" x14ac:dyDescent="0.2">
      <c r="A112">
        <v>28</v>
      </c>
      <c r="B112">
        <v>1</v>
      </c>
      <c r="C112">
        <v>0</v>
      </c>
      <c r="D112">
        <f t="shared" si="4"/>
        <v>28</v>
      </c>
      <c r="E112">
        <f t="shared" si="5"/>
        <v>1</v>
      </c>
      <c r="F112" t="e">
        <f t="shared" si="6"/>
        <v>#N/A</v>
      </c>
      <c r="G112" t="e">
        <f t="shared" si="7"/>
        <v>#N/A</v>
      </c>
    </row>
    <row r="113" spans="1:7" x14ac:dyDescent="0.2">
      <c r="A113">
        <v>68</v>
      </c>
      <c r="B113">
        <v>2</v>
      </c>
      <c r="C113">
        <v>0</v>
      </c>
      <c r="D113">
        <f t="shared" si="4"/>
        <v>68</v>
      </c>
      <c r="E113">
        <f t="shared" si="5"/>
        <v>2</v>
      </c>
      <c r="F113" t="e">
        <f t="shared" si="6"/>
        <v>#N/A</v>
      </c>
      <c r="G113" t="e">
        <f t="shared" si="7"/>
        <v>#N/A</v>
      </c>
    </row>
    <row r="114" spans="1:7" x14ac:dyDescent="0.2">
      <c r="A114">
        <v>34</v>
      </c>
      <c r="B114">
        <v>8</v>
      </c>
      <c r="C114">
        <v>0</v>
      </c>
      <c r="D114">
        <f t="shared" si="4"/>
        <v>34</v>
      </c>
      <c r="E114">
        <f t="shared" si="5"/>
        <v>8</v>
      </c>
      <c r="F114" t="e">
        <f t="shared" si="6"/>
        <v>#N/A</v>
      </c>
      <c r="G114" t="e">
        <f t="shared" si="7"/>
        <v>#N/A</v>
      </c>
    </row>
    <row r="115" spans="1:7" x14ac:dyDescent="0.2">
      <c r="A115">
        <v>25</v>
      </c>
      <c r="B115">
        <v>1</v>
      </c>
      <c r="C115">
        <v>1</v>
      </c>
      <c r="D115" t="e">
        <f t="shared" si="4"/>
        <v>#N/A</v>
      </c>
      <c r="E115" t="e">
        <f t="shared" si="5"/>
        <v>#N/A</v>
      </c>
      <c r="F115">
        <f t="shared" si="6"/>
        <v>25</v>
      </c>
      <c r="G115">
        <f t="shared" si="7"/>
        <v>1</v>
      </c>
    </row>
    <row r="116" spans="1:7" x14ac:dyDescent="0.2">
      <c r="A116">
        <v>52</v>
      </c>
      <c r="B116">
        <v>8</v>
      </c>
      <c r="C116">
        <v>0</v>
      </c>
      <c r="D116">
        <f t="shared" si="4"/>
        <v>52</v>
      </c>
      <c r="E116">
        <f t="shared" si="5"/>
        <v>8</v>
      </c>
      <c r="F116" t="e">
        <f t="shared" si="6"/>
        <v>#N/A</v>
      </c>
      <c r="G116" t="e">
        <f t="shared" si="7"/>
        <v>#N/A</v>
      </c>
    </row>
    <row r="117" spans="1:7" x14ac:dyDescent="0.2">
      <c r="A117">
        <v>52</v>
      </c>
      <c r="B117">
        <v>7</v>
      </c>
      <c r="C117">
        <v>1</v>
      </c>
      <c r="D117" t="e">
        <f t="shared" si="4"/>
        <v>#N/A</v>
      </c>
      <c r="E117" t="e">
        <f t="shared" si="5"/>
        <v>#N/A</v>
      </c>
      <c r="F117">
        <f t="shared" si="6"/>
        <v>52</v>
      </c>
      <c r="G117">
        <f t="shared" si="7"/>
        <v>7</v>
      </c>
    </row>
    <row r="118" spans="1:7" x14ac:dyDescent="0.2">
      <c r="A118">
        <v>50</v>
      </c>
      <c r="B118">
        <v>8</v>
      </c>
      <c r="C118">
        <v>1</v>
      </c>
      <c r="D118" t="e">
        <f t="shared" si="4"/>
        <v>#N/A</v>
      </c>
      <c r="E118" t="e">
        <f t="shared" si="5"/>
        <v>#N/A</v>
      </c>
      <c r="F118">
        <f t="shared" si="6"/>
        <v>50</v>
      </c>
      <c r="G118">
        <f t="shared" si="7"/>
        <v>8</v>
      </c>
    </row>
    <row r="119" spans="1:7" x14ac:dyDescent="0.2">
      <c r="A119">
        <v>22</v>
      </c>
      <c r="B119">
        <v>6</v>
      </c>
      <c r="C119">
        <v>1</v>
      </c>
      <c r="D119" t="e">
        <f t="shared" si="4"/>
        <v>#N/A</v>
      </c>
      <c r="E119" t="e">
        <f t="shared" si="5"/>
        <v>#N/A</v>
      </c>
      <c r="F119">
        <f t="shared" si="6"/>
        <v>22</v>
      </c>
      <c r="G119">
        <f t="shared" si="7"/>
        <v>6</v>
      </c>
    </row>
    <row r="120" spans="1:7" x14ac:dyDescent="0.2">
      <c r="A120">
        <v>59</v>
      </c>
      <c r="B120">
        <v>9</v>
      </c>
      <c r="C120">
        <v>0</v>
      </c>
      <c r="D120">
        <f t="shared" si="4"/>
        <v>59</v>
      </c>
      <c r="E120">
        <f t="shared" si="5"/>
        <v>9</v>
      </c>
      <c r="F120" t="e">
        <f t="shared" si="6"/>
        <v>#N/A</v>
      </c>
      <c r="G120" t="e">
        <f t="shared" si="7"/>
        <v>#N/A</v>
      </c>
    </row>
    <row r="121" spans="1:7" x14ac:dyDescent="0.2">
      <c r="A121">
        <v>56</v>
      </c>
      <c r="B121">
        <v>3</v>
      </c>
      <c r="C121">
        <v>0</v>
      </c>
      <c r="D121">
        <f t="shared" si="4"/>
        <v>56</v>
      </c>
      <c r="E121">
        <f t="shared" si="5"/>
        <v>3</v>
      </c>
      <c r="F121" t="e">
        <f t="shared" si="6"/>
        <v>#N/A</v>
      </c>
      <c r="G121" t="e">
        <f t="shared" si="7"/>
        <v>#N/A</v>
      </c>
    </row>
    <row r="122" spans="1:7" x14ac:dyDescent="0.2">
      <c r="A122">
        <v>58</v>
      </c>
      <c r="B122">
        <v>10</v>
      </c>
      <c r="C122">
        <v>0</v>
      </c>
      <c r="D122">
        <f t="shared" si="4"/>
        <v>58</v>
      </c>
      <c r="E122">
        <f t="shared" si="5"/>
        <v>10</v>
      </c>
      <c r="F122" t="e">
        <f t="shared" si="6"/>
        <v>#N/A</v>
      </c>
      <c r="G122" t="e">
        <f t="shared" si="7"/>
        <v>#N/A</v>
      </c>
    </row>
    <row r="123" spans="1:7" x14ac:dyDescent="0.2">
      <c r="A123">
        <v>45</v>
      </c>
      <c r="B123">
        <v>4</v>
      </c>
      <c r="C123">
        <v>1</v>
      </c>
      <c r="D123" t="e">
        <f t="shared" si="4"/>
        <v>#N/A</v>
      </c>
      <c r="E123" t="e">
        <f t="shared" si="5"/>
        <v>#N/A</v>
      </c>
      <c r="F123">
        <f t="shared" si="6"/>
        <v>45</v>
      </c>
      <c r="G123">
        <f t="shared" si="7"/>
        <v>4</v>
      </c>
    </row>
    <row r="124" spans="1:7" x14ac:dyDescent="0.2">
      <c r="A124">
        <v>24</v>
      </c>
      <c r="B124">
        <v>6</v>
      </c>
      <c r="C124">
        <v>0</v>
      </c>
      <c r="D124">
        <f t="shared" si="4"/>
        <v>24</v>
      </c>
      <c r="E124">
        <f t="shared" si="5"/>
        <v>6</v>
      </c>
      <c r="F124" t="e">
        <f t="shared" si="6"/>
        <v>#N/A</v>
      </c>
      <c r="G124" t="e">
        <f t="shared" si="7"/>
        <v>#N/A</v>
      </c>
    </row>
    <row r="125" spans="1:7" x14ac:dyDescent="0.2">
      <c r="A125">
        <v>26</v>
      </c>
      <c r="B125">
        <v>8</v>
      </c>
      <c r="C125">
        <v>0</v>
      </c>
      <c r="D125">
        <f t="shared" si="4"/>
        <v>26</v>
      </c>
      <c r="E125">
        <f t="shared" si="5"/>
        <v>8</v>
      </c>
      <c r="F125" t="e">
        <f t="shared" si="6"/>
        <v>#N/A</v>
      </c>
      <c r="G125" t="e">
        <f t="shared" si="7"/>
        <v>#N/A</v>
      </c>
    </row>
    <row r="126" spans="1:7" x14ac:dyDescent="0.2">
      <c r="A126">
        <v>25</v>
      </c>
      <c r="B126">
        <v>5</v>
      </c>
      <c r="C126">
        <v>0</v>
      </c>
      <c r="D126">
        <f t="shared" si="4"/>
        <v>25</v>
      </c>
      <c r="E126">
        <f t="shared" si="5"/>
        <v>5</v>
      </c>
      <c r="F126" t="e">
        <f t="shared" si="6"/>
        <v>#N/A</v>
      </c>
      <c r="G126" t="e">
        <f t="shared" si="7"/>
        <v>#N/A</v>
      </c>
    </row>
    <row r="127" spans="1:7" x14ac:dyDescent="0.2">
      <c r="A127">
        <v>29</v>
      </c>
      <c r="B127">
        <v>3</v>
      </c>
      <c r="C127">
        <v>0</v>
      </c>
      <c r="D127">
        <f t="shared" si="4"/>
        <v>29</v>
      </c>
      <c r="E127">
        <f t="shared" si="5"/>
        <v>3</v>
      </c>
      <c r="F127" t="e">
        <f t="shared" si="6"/>
        <v>#N/A</v>
      </c>
      <c r="G127" t="e">
        <f t="shared" si="7"/>
        <v>#N/A</v>
      </c>
    </row>
    <row r="128" spans="1:7" x14ac:dyDescent="0.2">
      <c r="A128">
        <v>51</v>
      </c>
      <c r="B128">
        <v>6</v>
      </c>
      <c r="C128">
        <v>0</v>
      </c>
      <c r="D128">
        <f t="shared" si="4"/>
        <v>51</v>
      </c>
      <c r="E128">
        <f t="shared" si="5"/>
        <v>6</v>
      </c>
      <c r="F128" t="e">
        <f t="shared" si="6"/>
        <v>#N/A</v>
      </c>
      <c r="G128" t="e">
        <f t="shared" si="7"/>
        <v>#N/A</v>
      </c>
    </row>
    <row r="129" spans="1:7" x14ac:dyDescent="0.2">
      <c r="A129">
        <v>50</v>
      </c>
      <c r="B129">
        <v>4</v>
      </c>
      <c r="C129">
        <v>0</v>
      </c>
      <c r="D129">
        <f t="shared" si="4"/>
        <v>50</v>
      </c>
      <c r="E129">
        <f t="shared" si="5"/>
        <v>4</v>
      </c>
      <c r="F129" t="e">
        <f t="shared" si="6"/>
        <v>#N/A</v>
      </c>
      <c r="G129" t="e">
        <f t="shared" si="7"/>
        <v>#N/A</v>
      </c>
    </row>
    <row r="130" spans="1:7" x14ac:dyDescent="0.2">
      <c r="A130">
        <v>65</v>
      </c>
      <c r="B130">
        <v>9</v>
      </c>
      <c r="C130">
        <v>1</v>
      </c>
      <c r="D130" t="e">
        <f t="shared" si="4"/>
        <v>#N/A</v>
      </c>
      <c r="E130" t="e">
        <f t="shared" si="5"/>
        <v>#N/A</v>
      </c>
      <c r="F130">
        <f t="shared" si="6"/>
        <v>65</v>
      </c>
      <c r="G130">
        <f t="shared" si="7"/>
        <v>9</v>
      </c>
    </row>
    <row r="131" spans="1:7" x14ac:dyDescent="0.2">
      <c r="A131">
        <v>40</v>
      </c>
      <c r="B131">
        <v>3</v>
      </c>
      <c r="C131">
        <v>1</v>
      </c>
      <c r="D131" t="e">
        <f t="shared" ref="D131:D194" si="8" xml:space="preserve"> IF($C131=0, $A131, NA())</f>
        <v>#N/A</v>
      </c>
      <c r="E131" t="e">
        <f t="shared" ref="E131:E194" si="9" xml:space="preserve"> IF($C131=0, B131, NA())</f>
        <v>#N/A</v>
      </c>
      <c r="F131">
        <f t="shared" ref="F131:F194" si="10" xml:space="preserve"> IF($C131=1, A131, NA())</f>
        <v>40</v>
      </c>
      <c r="G131">
        <f t="shared" ref="G131:G194" si="11" xml:space="preserve"> IF($C131=1, $B131, NA())</f>
        <v>3</v>
      </c>
    </row>
    <row r="132" spans="1:7" x14ac:dyDescent="0.2">
      <c r="A132">
        <v>41</v>
      </c>
      <c r="B132">
        <v>4</v>
      </c>
      <c r="C132">
        <v>1</v>
      </c>
      <c r="D132" t="e">
        <f t="shared" si="8"/>
        <v>#N/A</v>
      </c>
      <c r="E132" t="e">
        <f t="shared" si="9"/>
        <v>#N/A</v>
      </c>
      <c r="F132">
        <f t="shared" si="10"/>
        <v>41</v>
      </c>
      <c r="G132">
        <f t="shared" si="11"/>
        <v>4</v>
      </c>
    </row>
    <row r="133" spans="1:7" x14ac:dyDescent="0.2">
      <c r="A133">
        <v>54</v>
      </c>
      <c r="B133">
        <v>7</v>
      </c>
      <c r="C133">
        <v>1</v>
      </c>
      <c r="D133" t="e">
        <f t="shared" si="8"/>
        <v>#N/A</v>
      </c>
      <c r="E133" t="e">
        <f t="shared" si="9"/>
        <v>#N/A</v>
      </c>
      <c r="F133">
        <f t="shared" si="10"/>
        <v>54</v>
      </c>
      <c r="G133">
        <f t="shared" si="11"/>
        <v>7</v>
      </c>
    </row>
    <row r="134" spans="1:7" x14ac:dyDescent="0.2">
      <c r="A134">
        <v>52</v>
      </c>
      <c r="B134">
        <v>7</v>
      </c>
      <c r="C134">
        <v>1</v>
      </c>
      <c r="D134" t="e">
        <f t="shared" si="8"/>
        <v>#N/A</v>
      </c>
      <c r="E134" t="e">
        <f t="shared" si="9"/>
        <v>#N/A</v>
      </c>
      <c r="F134">
        <f t="shared" si="10"/>
        <v>52</v>
      </c>
      <c r="G134">
        <f t="shared" si="11"/>
        <v>7</v>
      </c>
    </row>
    <row r="135" spans="1:7" x14ac:dyDescent="0.2">
      <c r="A135">
        <v>61</v>
      </c>
      <c r="B135">
        <v>4</v>
      </c>
      <c r="C135">
        <v>1</v>
      </c>
      <c r="D135" t="e">
        <f t="shared" si="8"/>
        <v>#N/A</v>
      </c>
      <c r="E135" t="e">
        <f t="shared" si="9"/>
        <v>#N/A</v>
      </c>
      <c r="F135">
        <f t="shared" si="10"/>
        <v>61</v>
      </c>
      <c r="G135">
        <f t="shared" si="11"/>
        <v>4</v>
      </c>
    </row>
    <row r="136" spans="1:7" x14ac:dyDescent="0.2">
      <c r="A136">
        <v>57</v>
      </c>
      <c r="B136">
        <v>6</v>
      </c>
      <c r="C136">
        <v>0</v>
      </c>
      <c r="D136">
        <f t="shared" si="8"/>
        <v>57</v>
      </c>
      <c r="E136">
        <f t="shared" si="9"/>
        <v>6</v>
      </c>
      <c r="F136" t="e">
        <f t="shared" si="10"/>
        <v>#N/A</v>
      </c>
      <c r="G136" t="e">
        <f t="shared" si="11"/>
        <v>#N/A</v>
      </c>
    </row>
    <row r="137" spans="1:7" x14ac:dyDescent="0.2">
      <c r="A137">
        <v>39</v>
      </c>
      <c r="B137">
        <v>3</v>
      </c>
      <c r="C137">
        <v>1</v>
      </c>
      <c r="D137" t="e">
        <f t="shared" si="8"/>
        <v>#N/A</v>
      </c>
      <c r="E137" t="e">
        <f t="shared" si="9"/>
        <v>#N/A</v>
      </c>
      <c r="F137">
        <f t="shared" si="10"/>
        <v>39</v>
      </c>
      <c r="G137">
        <f t="shared" si="11"/>
        <v>3</v>
      </c>
    </row>
    <row r="138" spans="1:7" x14ac:dyDescent="0.2">
      <c r="A138">
        <v>44</v>
      </c>
      <c r="B138">
        <v>6</v>
      </c>
      <c r="C138">
        <v>1</v>
      </c>
      <c r="D138" t="e">
        <f t="shared" si="8"/>
        <v>#N/A</v>
      </c>
      <c r="E138" t="e">
        <f t="shared" si="9"/>
        <v>#N/A</v>
      </c>
      <c r="F138">
        <f t="shared" si="10"/>
        <v>44</v>
      </c>
      <c r="G138">
        <f t="shared" si="11"/>
        <v>6</v>
      </c>
    </row>
    <row r="139" spans="1:7" x14ac:dyDescent="0.2">
      <c r="A139">
        <v>52</v>
      </c>
      <c r="B139">
        <v>2</v>
      </c>
      <c r="C139">
        <v>0</v>
      </c>
      <c r="D139">
        <f t="shared" si="8"/>
        <v>52</v>
      </c>
      <c r="E139">
        <f t="shared" si="9"/>
        <v>2</v>
      </c>
      <c r="F139" t="e">
        <f t="shared" si="10"/>
        <v>#N/A</v>
      </c>
      <c r="G139" t="e">
        <f t="shared" si="11"/>
        <v>#N/A</v>
      </c>
    </row>
    <row r="140" spans="1:7" x14ac:dyDescent="0.2">
      <c r="A140">
        <v>18</v>
      </c>
      <c r="B140">
        <v>8</v>
      </c>
      <c r="C140">
        <v>0</v>
      </c>
      <c r="D140">
        <f t="shared" si="8"/>
        <v>18</v>
      </c>
      <c r="E140">
        <f t="shared" si="9"/>
        <v>8</v>
      </c>
      <c r="F140" t="e">
        <f t="shared" si="10"/>
        <v>#N/A</v>
      </c>
      <c r="G140" t="e">
        <f t="shared" si="11"/>
        <v>#N/A</v>
      </c>
    </row>
    <row r="141" spans="1:7" x14ac:dyDescent="0.2">
      <c r="A141">
        <v>52</v>
      </c>
      <c r="B141">
        <v>2</v>
      </c>
      <c r="C141">
        <v>1</v>
      </c>
      <c r="D141" t="e">
        <f t="shared" si="8"/>
        <v>#N/A</v>
      </c>
      <c r="E141" t="e">
        <f t="shared" si="9"/>
        <v>#N/A</v>
      </c>
      <c r="F141">
        <f t="shared" si="10"/>
        <v>52</v>
      </c>
      <c r="G141">
        <f t="shared" si="11"/>
        <v>2</v>
      </c>
    </row>
    <row r="142" spans="1:7" x14ac:dyDescent="0.2">
      <c r="A142">
        <v>54</v>
      </c>
      <c r="B142">
        <v>7</v>
      </c>
      <c r="C142">
        <v>0</v>
      </c>
      <c r="D142">
        <f t="shared" si="8"/>
        <v>54</v>
      </c>
      <c r="E142">
        <f t="shared" si="9"/>
        <v>7</v>
      </c>
      <c r="F142" t="e">
        <f t="shared" si="10"/>
        <v>#N/A</v>
      </c>
      <c r="G142" t="e">
        <f t="shared" si="11"/>
        <v>#N/A</v>
      </c>
    </row>
    <row r="143" spans="1:7" x14ac:dyDescent="0.2">
      <c r="A143">
        <v>64</v>
      </c>
      <c r="B143">
        <v>9</v>
      </c>
      <c r="C143">
        <v>0</v>
      </c>
      <c r="D143">
        <f t="shared" si="8"/>
        <v>64</v>
      </c>
      <c r="E143">
        <f t="shared" si="9"/>
        <v>9</v>
      </c>
      <c r="F143" t="e">
        <f t="shared" si="10"/>
        <v>#N/A</v>
      </c>
      <c r="G143" t="e">
        <f t="shared" si="11"/>
        <v>#N/A</v>
      </c>
    </row>
    <row r="144" spans="1:7" x14ac:dyDescent="0.2">
      <c r="A144">
        <v>31</v>
      </c>
      <c r="B144">
        <v>1</v>
      </c>
      <c r="C144">
        <v>1</v>
      </c>
      <c r="D144" t="e">
        <f t="shared" si="8"/>
        <v>#N/A</v>
      </c>
      <c r="E144" t="e">
        <f t="shared" si="9"/>
        <v>#N/A</v>
      </c>
      <c r="F144">
        <f t="shared" si="10"/>
        <v>31</v>
      </c>
      <c r="G144">
        <f t="shared" si="11"/>
        <v>1</v>
      </c>
    </row>
    <row r="145" spans="1:7" x14ac:dyDescent="0.2">
      <c r="A145">
        <v>20</v>
      </c>
      <c r="B145">
        <v>8</v>
      </c>
      <c r="C145">
        <v>0</v>
      </c>
      <c r="D145">
        <f t="shared" si="8"/>
        <v>20</v>
      </c>
      <c r="E145">
        <f t="shared" si="9"/>
        <v>8</v>
      </c>
      <c r="F145" t="e">
        <f t="shared" si="10"/>
        <v>#N/A</v>
      </c>
      <c r="G145" t="e">
        <f t="shared" si="11"/>
        <v>#N/A</v>
      </c>
    </row>
    <row r="146" spans="1:7" x14ac:dyDescent="0.2">
      <c r="A146">
        <v>18</v>
      </c>
      <c r="B146">
        <v>7</v>
      </c>
      <c r="C146">
        <v>0</v>
      </c>
      <c r="D146">
        <f t="shared" si="8"/>
        <v>18</v>
      </c>
      <c r="E146">
        <f t="shared" si="9"/>
        <v>7</v>
      </c>
      <c r="F146" t="e">
        <f t="shared" si="10"/>
        <v>#N/A</v>
      </c>
      <c r="G146" t="e">
        <f t="shared" si="11"/>
        <v>#N/A</v>
      </c>
    </row>
    <row r="147" spans="1:7" x14ac:dyDescent="0.2">
      <c r="A147">
        <v>22</v>
      </c>
      <c r="B147">
        <v>6</v>
      </c>
      <c r="C147">
        <v>0</v>
      </c>
      <c r="D147">
        <f t="shared" si="8"/>
        <v>22</v>
      </c>
      <c r="E147">
        <f t="shared" si="9"/>
        <v>6</v>
      </c>
      <c r="F147" t="e">
        <f t="shared" si="10"/>
        <v>#N/A</v>
      </c>
      <c r="G147" t="e">
        <f t="shared" si="11"/>
        <v>#N/A</v>
      </c>
    </row>
    <row r="148" spans="1:7" x14ac:dyDescent="0.2">
      <c r="A148">
        <v>43</v>
      </c>
      <c r="B148">
        <v>6</v>
      </c>
      <c r="C148">
        <v>0</v>
      </c>
      <c r="D148">
        <f t="shared" si="8"/>
        <v>43</v>
      </c>
      <c r="E148">
        <f t="shared" si="9"/>
        <v>6</v>
      </c>
      <c r="F148" t="e">
        <f t="shared" si="10"/>
        <v>#N/A</v>
      </c>
      <c r="G148" t="e">
        <f t="shared" si="11"/>
        <v>#N/A</v>
      </c>
    </row>
    <row r="149" spans="1:7" x14ac:dyDescent="0.2">
      <c r="A149">
        <v>31</v>
      </c>
      <c r="B149">
        <v>6</v>
      </c>
      <c r="C149">
        <v>0</v>
      </c>
      <c r="D149">
        <f t="shared" si="8"/>
        <v>31</v>
      </c>
      <c r="E149">
        <f t="shared" si="9"/>
        <v>6</v>
      </c>
      <c r="F149" t="e">
        <f t="shared" si="10"/>
        <v>#N/A</v>
      </c>
      <c r="G149" t="e">
        <f t="shared" si="11"/>
        <v>#N/A</v>
      </c>
    </row>
    <row r="150" spans="1:7" x14ac:dyDescent="0.2">
      <c r="A150">
        <v>56</v>
      </c>
      <c r="B150">
        <v>9</v>
      </c>
      <c r="C150">
        <v>1</v>
      </c>
      <c r="D150" t="e">
        <f t="shared" si="8"/>
        <v>#N/A</v>
      </c>
      <c r="E150" t="e">
        <f t="shared" si="9"/>
        <v>#N/A</v>
      </c>
      <c r="F150">
        <f t="shared" si="10"/>
        <v>56</v>
      </c>
      <c r="G150">
        <f t="shared" si="11"/>
        <v>9</v>
      </c>
    </row>
    <row r="151" spans="1:7" x14ac:dyDescent="0.2">
      <c r="A151">
        <v>44</v>
      </c>
      <c r="B151">
        <v>2</v>
      </c>
      <c r="C151">
        <v>1</v>
      </c>
      <c r="D151" t="e">
        <f t="shared" si="8"/>
        <v>#N/A</v>
      </c>
      <c r="E151" t="e">
        <f t="shared" si="9"/>
        <v>#N/A</v>
      </c>
      <c r="F151">
        <f t="shared" si="10"/>
        <v>44</v>
      </c>
      <c r="G151">
        <f t="shared" si="11"/>
        <v>2</v>
      </c>
    </row>
    <row r="152" spans="1:7" x14ac:dyDescent="0.2">
      <c r="A152">
        <v>26</v>
      </c>
      <c r="B152">
        <v>1</v>
      </c>
      <c r="C152">
        <v>1</v>
      </c>
      <c r="D152" t="e">
        <f t="shared" si="8"/>
        <v>#N/A</v>
      </c>
      <c r="E152" t="e">
        <f t="shared" si="9"/>
        <v>#N/A</v>
      </c>
      <c r="F152">
        <f t="shared" si="10"/>
        <v>26</v>
      </c>
      <c r="G152">
        <f t="shared" si="11"/>
        <v>1</v>
      </c>
    </row>
    <row r="153" spans="1:7" x14ac:dyDescent="0.2">
      <c r="A153">
        <v>32</v>
      </c>
      <c r="B153">
        <v>6</v>
      </c>
      <c r="C153">
        <v>0</v>
      </c>
      <c r="D153">
        <f t="shared" si="8"/>
        <v>32</v>
      </c>
      <c r="E153">
        <f t="shared" si="9"/>
        <v>6</v>
      </c>
      <c r="F153" t="e">
        <f t="shared" si="10"/>
        <v>#N/A</v>
      </c>
      <c r="G153" t="e">
        <f t="shared" si="11"/>
        <v>#N/A</v>
      </c>
    </row>
    <row r="154" spans="1:7" x14ac:dyDescent="0.2">
      <c r="A154">
        <v>32</v>
      </c>
      <c r="B154">
        <v>10</v>
      </c>
      <c r="C154">
        <v>0</v>
      </c>
      <c r="D154">
        <f t="shared" si="8"/>
        <v>32</v>
      </c>
      <c r="E154">
        <f t="shared" si="9"/>
        <v>10</v>
      </c>
      <c r="F154" t="e">
        <f t="shared" si="10"/>
        <v>#N/A</v>
      </c>
      <c r="G154" t="e">
        <f t="shared" si="11"/>
        <v>#N/A</v>
      </c>
    </row>
    <row r="155" spans="1:7" x14ac:dyDescent="0.2">
      <c r="A155">
        <v>43</v>
      </c>
      <c r="B155">
        <v>8</v>
      </c>
      <c r="C155">
        <v>1</v>
      </c>
      <c r="D155" t="e">
        <f t="shared" si="8"/>
        <v>#N/A</v>
      </c>
      <c r="E155" t="e">
        <f t="shared" si="9"/>
        <v>#N/A</v>
      </c>
      <c r="F155">
        <f t="shared" si="10"/>
        <v>43</v>
      </c>
      <c r="G155">
        <f t="shared" si="11"/>
        <v>8</v>
      </c>
    </row>
    <row r="156" spans="1:7" x14ac:dyDescent="0.2">
      <c r="A156">
        <v>59</v>
      </c>
      <c r="B156">
        <v>3</v>
      </c>
      <c r="C156">
        <v>0</v>
      </c>
      <c r="D156">
        <f t="shared" si="8"/>
        <v>59</v>
      </c>
      <c r="E156">
        <f t="shared" si="9"/>
        <v>3</v>
      </c>
      <c r="F156" t="e">
        <f t="shared" si="10"/>
        <v>#N/A</v>
      </c>
      <c r="G156" t="e">
        <f t="shared" si="11"/>
        <v>#N/A</v>
      </c>
    </row>
    <row r="157" spans="1:7" x14ac:dyDescent="0.2">
      <c r="A157">
        <v>30</v>
      </c>
      <c r="B157">
        <v>10</v>
      </c>
      <c r="C157">
        <v>0</v>
      </c>
      <c r="D157">
        <f t="shared" si="8"/>
        <v>30</v>
      </c>
      <c r="E157">
        <f t="shared" si="9"/>
        <v>10</v>
      </c>
      <c r="F157" t="e">
        <f t="shared" si="10"/>
        <v>#N/A</v>
      </c>
      <c r="G157" t="e">
        <f t="shared" si="11"/>
        <v>#N/A</v>
      </c>
    </row>
    <row r="158" spans="1:7" x14ac:dyDescent="0.2">
      <c r="A158">
        <v>68</v>
      </c>
      <c r="B158">
        <v>1</v>
      </c>
      <c r="C158">
        <v>1</v>
      </c>
      <c r="D158" t="e">
        <f t="shared" si="8"/>
        <v>#N/A</v>
      </c>
      <c r="E158" t="e">
        <f t="shared" si="9"/>
        <v>#N/A</v>
      </c>
      <c r="F158">
        <f t="shared" si="10"/>
        <v>68</v>
      </c>
      <c r="G158">
        <f t="shared" si="11"/>
        <v>1</v>
      </c>
    </row>
    <row r="159" spans="1:7" x14ac:dyDescent="0.2">
      <c r="A159">
        <v>49</v>
      </c>
      <c r="B159">
        <v>9</v>
      </c>
      <c r="C159">
        <v>0</v>
      </c>
      <c r="D159">
        <f t="shared" si="8"/>
        <v>49</v>
      </c>
      <c r="E159">
        <f t="shared" si="9"/>
        <v>9</v>
      </c>
      <c r="F159" t="e">
        <f t="shared" si="10"/>
        <v>#N/A</v>
      </c>
      <c r="G159" t="e">
        <f t="shared" si="11"/>
        <v>#N/A</v>
      </c>
    </row>
    <row r="160" spans="1:7" x14ac:dyDescent="0.2">
      <c r="A160">
        <v>56</v>
      </c>
      <c r="B160">
        <v>1</v>
      </c>
      <c r="C160">
        <v>0</v>
      </c>
      <c r="D160">
        <f t="shared" si="8"/>
        <v>56</v>
      </c>
      <c r="E160">
        <f t="shared" si="9"/>
        <v>1</v>
      </c>
      <c r="F160" t="e">
        <f t="shared" si="10"/>
        <v>#N/A</v>
      </c>
      <c r="G160" t="e">
        <f t="shared" si="11"/>
        <v>#N/A</v>
      </c>
    </row>
    <row r="161" spans="1:7" x14ac:dyDescent="0.2">
      <c r="A161">
        <v>66</v>
      </c>
      <c r="B161">
        <v>3</v>
      </c>
      <c r="C161">
        <v>1</v>
      </c>
      <c r="D161" t="e">
        <f t="shared" si="8"/>
        <v>#N/A</v>
      </c>
      <c r="E161" t="e">
        <f t="shared" si="9"/>
        <v>#N/A</v>
      </c>
      <c r="F161">
        <f t="shared" si="10"/>
        <v>66</v>
      </c>
      <c r="G161">
        <f t="shared" si="11"/>
        <v>3</v>
      </c>
    </row>
    <row r="162" spans="1:7" x14ac:dyDescent="0.2">
      <c r="A162">
        <v>69</v>
      </c>
      <c r="B162">
        <v>8</v>
      </c>
      <c r="C162">
        <v>0</v>
      </c>
      <c r="D162">
        <f t="shared" si="8"/>
        <v>69</v>
      </c>
      <c r="E162">
        <f t="shared" si="9"/>
        <v>8</v>
      </c>
      <c r="F162" t="e">
        <f t="shared" si="10"/>
        <v>#N/A</v>
      </c>
      <c r="G162" t="e">
        <f t="shared" si="11"/>
        <v>#N/A</v>
      </c>
    </row>
    <row r="163" spans="1:7" x14ac:dyDescent="0.2">
      <c r="A163">
        <v>49</v>
      </c>
      <c r="B163">
        <v>3</v>
      </c>
      <c r="C163">
        <v>0</v>
      </c>
      <c r="D163">
        <f t="shared" si="8"/>
        <v>49</v>
      </c>
      <c r="E163">
        <f t="shared" si="9"/>
        <v>3</v>
      </c>
      <c r="F163" t="e">
        <f t="shared" si="10"/>
        <v>#N/A</v>
      </c>
      <c r="G163" t="e">
        <f t="shared" si="11"/>
        <v>#N/A</v>
      </c>
    </row>
    <row r="164" spans="1:7" x14ac:dyDescent="0.2">
      <c r="A164">
        <v>21</v>
      </c>
      <c r="B164">
        <v>4</v>
      </c>
      <c r="C164">
        <v>1</v>
      </c>
      <c r="D164" t="e">
        <f t="shared" si="8"/>
        <v>#N/A</v>
      </c>
      <c r="E164" t="e">
        <f t="shared" si="9"/>
        <v>#N/A</v>
      </c>
      <c r="F164">
        <f t="shared" si="10"/>
        <v>21</v>
      </c>
      <c r="G164">
        <f t="shared" si="11"/>
        <v>4</v>
      </c>
    </row>
    <row r="165" spans="1:7" x14ac:dyDescent="0.2">
      <c r="A165">
        <v>47</v>
      </c>
      <c r="B165">
        <v>8</v>
      </c>
      <c r="C165">
        <v>0</v>
      </c>
      <c r="D165">
        <f t="shared" si="8"/>
        <v>47</v>
      </c>
      <c r="E165">
        <f t="shared" si="9"/>
        <v>8</v>
      </c>
      <c r="F165" t="e">
        <f t="shared" si="10"/>
        <v>#N/A</v>
      </c>
      <c r="G165" t="e">
        <f t="shared" si="11"/>
        <v>#N/A</v>
      </c>
    </row>
    <row r="166" spans="1:7" x14ac:dyDescent="0.2">
      <c r="A166">
        <v>54</v>
      </c>
      <c r="B166">
        <v>1</v>
      </c>
      <c r="C166">
        <v>1</v>
      </c>
      <c r="D166" t="e">
        <f t="shared" si="8"/>
        <v>#N/A</v>
      </c>
      <c r="E166" t="e">
        <f t="shared" si="9"/>
        <v>#N/A</v>
      </c>
      <c r="F166">
        <f t="shared" si="10"/>
        <v>54</v>
      </c>
      <c r="G166">
        <f t="shared" si="11"/>
        <v>1</v>
      </c>
    </row>
    <row r="167" spans="1:7" x14ac:dyDescent="0.2">
      <c r="A167">
        <v>40</v>
      </c>
      <c r="B167">
        <v>6</v>
      </c>
      <c r="C167">
        <v>1</v>
      </c>
      <c r="D167" t="e">
        <f t="shared" si="8"/>
        <v>#N/A</v>
      </c>
      <c r="E167" t="e">
        <f t="shared" si="9"/>
        <v>#N/A</v>
      </c>
      <c r="F167">
        <f t="shared" si="10"/>
        <v>40</v>
      </c>
      <c r="G167">
        <f t="shared" si="11"/>
        <v>6</v>
      </c>
    </row>
    <row r="168" spans="1:7" x14ac:dyDescent="0.2">
      <c r="A168">
        <v>56</v>
      </c>
      <c r="B168">
        <v>1</v>
      </c>
      <c r="C168">
        <v>1</v>
      </c>
      <c r="D168" t="e">
        <f t="shared" si="8"/>
        <v>#N/A</v>
      </c>
      <c r="E168" t="e">
        <f t="shared" si="9"/>
        <v>#N/A</v>
      </c>
      <c r="F168">
        <f t="shared" si="10"/>
        <v>56</v>
      </c>
      <c r="G168">
        <f t="shared" si="11"/>
        <v>1</v>
      </c>
    </row>
    <row r="169" spans="1:7" x14ac:dyDescent="0.2">
      <c r="A169">
        <v>62</v>
      </c>
      <c r="B169">
        <v>1</v>
      </c>
      <c r="C169">
        <v>1</v>
      </c>
      <c r="D169" t="e">
        <f t="shared" si="8"/>
        <v>#N/A</v>
      </c>
      <c r="E169" t="e">
        <f t="shared" si="9"/>
        <v>#N/A</v>
      </c>
      <c r="F169">
        <f t="shared" si="10"/>
        <v>62</v>
      </c>
      <c r="G169">
        <f t="shared" si="11"/>
        <v>1</v>
      </c>
    </row>
    <row r="170" spans="1:7" x14ac:dyDescent="0.2">
      <c r="A170">
        <v>32</v>
      </c>
      <c r="B170">
        <v>8</v>
      </c>
      <c r="C170">
        <v>1</v>
      </c>
      <c r="D170" t="e">
        <f t="shared" si="8"/>
        <v>#N/A</v>
      </c>
      <c r="E170" t="e">
        <f t="shared" si="9"/>
        <v>#N/A</v>
      </c>
      <c r="F170">
        <f t="shared" si="10"/>
        <v>32</v>
      </c>
      <c r="G170">
        <f t="shared" si="11"/>
        <v>8</v>
      </c>
    </row>
    <row r="171" spans="1:7" x14ac:dyDescent="0.2">
      <c r="A171">
        <v>60</v>
      </c>
      <c r="B171">
        <v>4</v>
      </c>
      <c r="C171">
        <v>1</v>
      </c>
      <c r="D171" t="e">
        <f t="shared" si="8"/>
        <v>#N/A</v>
      </c>
      <c r="E171" t="e">
        <f t="shared" si="9"/>
        <v>#N/A</v>
      </c>
      <c r="F171">
        <f t="shared" si="10"/>
        <v>60</v>
      </c>
      <c r="G171">
        <f t="shared" si="11"/>
        <v>4</v>
      </c>
    </row>
    <row r="172" spans="1:7" x14ac:dyDescent="0.2">
      <c r="A172">
        <v>46</v>
      </c>
      <c r="B172">
        <v>1</v>
      </c>
      <c r="C172">
        <v>0</v>
      </c>
      <c r="D172">
        <f t="shared" si="8"/>
        <v>46</v>
      </c>
      <c r="E172">
        <f t="shared" si="9"/>
        <v>1</v>
      </c>
      <c r="F172" t="e">
        <f t="shared" si="10"/>
        <v>#N/A</v>
      </c>
      <c r="G172" t="e">
        <f t="shared" si="11"/>
        <v>#N/A</v>
      </c>
    </row>
    <row r="173" spans="1:7" x14ac:dyDescent="0.2">
      <c r="A173">
        <v>53</v>
      </c>
      <c r="B173">
        <v>10</v>
      </c>
      <c r="C173">
        <v>0</v>
      </c>
      <c r="D173">
        <f t="shared" si="8"/>
        <v>53</v>
      </c>
      <c r="E173">
        <f t="shared" si="9"/>
        <v>10</v>
      </c>
      <c r="F173" t="e">
        <f t="shared" si="10"/>
        <v>#N/A</v>
      </c>
      <c r="G173" t="e">
        <f t="shared" si="11"/>
        <v>#N/A</v>
      </c>
    </row>
    <row r="174" spans="1:7" x14ac:dyDescent="0.2">
      <c r="A174">
        <v>30</v>
      </c>
      <c r="B174">
        <v>7</v>
      </c>
      <c r="C174">
        <v>0</v>
      </c>
      <c r="D174">
        <f t="shared" si="8"/>
        <v>30</v>
      </c>
      <c r="E174">
        <f t="shared" si="9"/>
        <v>7</v>
      </c>
      <c r="F174" t="e">
        <f t="shared" si="10"/>
        <v>#N/A</v>
      </c>
      <c r="G174" t="e">
        <f t="shared" si="11"/>
        <v>#N/A</v>
      </c>
    </row>
    <row r="175" spans="1:7" x14ac:dyDescent="0.2">
      <c r="A175">
        <v>49</v>
      </c>
      <c r="B175">
        <v>5</v>
      </c>
      <c r="C175">
        <v>0</v>
      </c>
      <c r="D175">
        <f t="shared" si="8"/>
        <v>49</v>
      </c>
      <c r="E175">
        <f t="shared" si="9"/>
        <v>5</v>
      </c>
      <c r="F175" t="e">
        <f t="shared" si="10"/>
        <v>#N/A</v>
      </c>
      <c r="G175" t="e">
        <f t="shared" si="11"/>
        <v>#N/A</v>
      </c>
    </row>
    <row r="176" spans="1:7" x14ac:dyDescent="0.2">
      <c r="A176">
        <v>24</v>
      </c>
      <c r="B176">
        <v>5</v>
      </c>
      <c r="C176">
        <v>0</v>
      </c>
      <c r="D176">
        <f t="shared" si="8"/>
        <v>24</v>
      </c>
      <c r="E176">
        <f t="shared" si="9"/>
        <v>5</v>
      </c>
      <c r="F176" t="e">
        <f t="shared" si="10"/>
        <v>#N/A</v>
      </c>
      <c r="G176" t="e">
        <f t="shared" si="11"/>
        <v>#N/A</v>
      </c>
    </row>
    <row r="177" spans="1:7" x14ac:dyDescent="0.2">
      <c r="A177">
        <v>68</v>
      </c>
      <c r="B177">
        <v>1</v>
      </c>
      <c r="C177">
        <v>0</v>
      </c>
      <c r="D177">
        <f t="shared" si="8"/>
        <v>68</v>
      </c>
      <c r="E177">
        <f t="shared" si="9"/>
        <v>1</v>
      </c>
      <c r="F177" t="e">
        <f t="shared" si="10"/>
        <v>#N/A</v>
      </c>
      <c r="G177" t="e">
        <f t="shared" si="11"/>
        <v>#N/A</v>
      </c>
    </row>
    <row r="178" spans="1:7" x14ac:dyDescent="0.2">
      <c r="A178">
        <v>39</v>
      </c>
      <c r="B178">
        <v>10</v>
      </c>
      <c r="C178">
        <v>1</v>
      </c>
      <c r="D178" t="e">
        <f t="shared" si="8"/>
        <v>#N/A</v>
      </c>
      <c r="E178" t="e">
        <f t="shared" si="9"/>
        <v>#N/A</v>
      </c>
      <c r="F178">
        <f t="shared" si="10"/>
        <v>39</v>
      </c>
      <c r="G178">
        <f t="shared" si="11"/>
        <v>10</v>
      </c>
    </row>
    <row r="179" spans="1:7" x14ac:dyDescent="0.2">
      <c r="A179">
        <v>45</v>
      </c>
      <c r="B179">
        <v>6</v>
      </c>
      <c r="C179">
        <v>0</v>
      </c>
      <c r="D179">
        <f t="shared" si="8"/>
        <v>45</v>
      </c>
      <c r="E179">
        <f t="shared" si="9"/>
        <v>6</v>
      </c>
      <c r="F179" t="e">
        <f t="shared" si="10"/>
        <v>#N/A</v>
      </c>
      <c r="G179" t="e">
        <f t="shared" si="11"/>
        <v>#N/A</v>
      </c>
    </row>
    <row r="180" spans="1:7" x14ac:dyDescent="0.2">
      <c r="A180">
        <v>19</v>
      </c>
      <c r="B180">
        <v>9</v>
      </c>
      <c r="C180">
        <v>0</v>
      </c>
      <c r="D180">
        <f t="shared" si="8"/>
        <v>19</v>
      </c>
      <c r="E180">
        <f t="shared" si="9"/>
        <v>9</v>
      </c>
      <c r="F180" t="e">
        <f t="shared" si="10"/>
        <v>#N/A</v>
      </c>
      <c r="G180" t="e">
        <f t="shared" si="11"/>
        <v>#N/A</v>
      </c>
    </row>
    <row r="181" spans="1:7" x14ac:dyDescent="0.2">
      <c r="A181">
        <v>59</v>
      </c>
      <c r="B181">
        <v>9</v>
      </c>
      <c r="C181">
        <v>0</v>
      </c>
      <c r="D181">
        <f t="shared" si="8"/>
        <v>59</v>
      </c>
      <c r="E181">
        <f t="shared" si="9"/>
        <v>9</v>
      </c>
      <c r="F181" t="e">
        <f t="shared" si="10"/>
        <v>#N/A</v>
      </c>
      <c r="G181" t="e">
        <f t="shared" si="11"/>
        <v>#N/A</v>
      </c>
    </row>
    <row r="182" spans="1:7" x14ac:dyDescent="0.2">
      <c r="A182">
        <v>62</v>
      </c>
      <c r="B182">
        <v>8</v>
      </c>
      <c r="C182">
        <v>0</v>
      </c>
      <c r="D182">
        <f t="shared" si="8"/>
        <v>62</v>
      </c>
      <c r="E182">
        <f t="shared" si="9"/>
        <v>8</v>
      </c>
      <c r="F182" t="e">
        <f t="shared" si="10"/>
        <v>#N/A</v>
      </c>
      <c r="G182" t="e">
        <f t="shared" si="11"/>
        <v>#N/A</v>
      </c>
    </row>
    <row r="183" spans="1:7" x14ac:dyDescent="0.2">
      <c r="A183">
        <v>23</v>
      </c>
      <c r="B183">
        <v>5</v>
      </c>
      <c r="C183">
        <v>0</v>
      </c>
      <c r="D183">
        <f t="shared" si="8"/>
        <v>23</v>
      </c>
      <c r="E183">
        <f t="shared" si="9"/>
        <v>5</v>
      </c>
      <c r="F183" t="e">
        <f t="shared" si="10"/>
        <v>#N/A</v>
      </c>
      <c r="G183" t="e">
        <f t="shared" si="11"/>
        <v>#N/A</v>
      </c>
    </row>
    <row r="184" spans="1:7" x14ac:dyDescent="0.2">
      <c r="A184">
        <v>45</v>
      </c>
      <c r="B184">
        <v>1</v>
      </c>
      <c r="C184">
        <v>1</v>
      </c>
      <c r="D184" t="e">
        <f t="shared" si="8"/>
        <v>#N/A</v>
      </c>
      <c r="E184" t="e">
        <f t="shared" si="9"/>
        <v>#N/A</v>
      </c>
      <c r="F184">
        <f t="shared" si="10"/>
        <v>45</v>
      </c>
      <c r="G184">
        <f t="shared" si="11"/>
        <v>1</v>
      </c>
    </row>
    <row r="185" spans="1:7" x14ac:dyDescent="0.2">
      <c r="A185">
        <v>45</v>
      </c>
      <c r="B185">
        <v>9</v>
      </c>
      <c r="C185">
        <v>1</v>
      </c>
      <c r="D185" t="e">
        <f t="shared" si="8"/>
        <v>#N/A</v>
      </c>
      <c r="E185" t="e">
        <f t="shared" si="9"/>
        <v>#N/A</v>
      </c>
      <c r="F185">
        <f t="shared" si="10"/>
        <v>45</v>
      </c>
      <c r="G185">
        <f t="shared" si="11"/>
        <v>9</v>
      </c>
    </row>
    <row r="186" spans="1:7" x14ac:dyDescent="0.2">
      <c r="A186">
        <v>61</v>
      </c>
      <c r="B186">
        <v>1</v>
      </c>
      <c r="C186">
        <v>1</v>
      </c>
      <c r="D186" t="e">
        <f t="shared" si="8"/>
        <v>#N/A</v>
      </c>
      <c r="E186" t="e">
        <f t="shared" si="9"/>
        <v>#N/A</v>
      </c>
      <c r="F186">
        <f t="shared" si="10"/>
        <v>61</v>
      </c>
      <c r="G186">
        <f t="shared" si="11"/>
        <v>1</v>
      </c>
    </row>
    <row r="187" spans="1:7" x14ac:dyDescent="0.2">
      <c r="A187">
        <v>61</v>
      </c>
      <c r="B187">
        <v>8</v>
      </c>
      <c r="C187">
        <v>1</v>
      </c>
      <c r="D187" t="e">
        <f t="shared" si="8"/>
        <v>#N/A</v>
      </c>
      <c r="E187" t="e">
        <f t="shared" si="9"/>
        <v>#N/A</v>
      </c>
      <c r="F187">
        <f t="shared" si="10"/>
        <v>61</v>
      </c>
      <c r="G187">
        <f t="shared" si="11"/>
        <v>8</v>
      </c>
    </row>
    <row r="188" spans="1:7" x14ac:dyDescent="0.2">
      <c r="A188">
        <v>37</v>
      </c>
      <c r="B188">
        <v>5</v>
      </c>
      <c r="C188">
        <v>0</v>
      </c>
      <c r="D188">
        <f t="shared" si="8"/>
        <v>37</v>
      </c>
      <c r="E188">
        <f t="shared" si="9"/>
        <v>5</v>
      </c>
      <c r="F188" t="e">
        <f t="shared" si="10"/>
        <v>#N/A</v>
      </c>
      <c r="G188" t="e">
        <f t="shared" si="11"/>
        <v>#N/A</v>
      </c>
    </row>
    <row r="189" spans="1:7" x14ac:dyDescent="0.2">
      <c r="A189">
        <v>47</v>
      </c>
      <c r="B189">
        <v>3</v>
      </c>
      <c r="C189">
        <v>0</v>
      </c>
      <c r="D189">
        <f t="shared" si="8"/>
        <v>47</v>
      </c>
      <c r="E189">
        <f t="shared" si="9"/>
        <v>3</v>
      </c>
      <c r="F189" t="e">
        <f t="shared" si="10"/>
        <v>#N/A</v>
      </c>
      <c r="G189" t="e">
        <f t="shared" si="11"/>
        <v>#N/A</v>
      </c>
    </row>
    <row r="190" spans="1:7" x14ac:dyDescent="0.2">
      <c r="A190">
        <v>28</v>
      </c>
      <c r="B190">
        <v>7</v>
      </c>
      <c r="C190">
        <v>1</v>
      </c>
      <c r="D190" t="e">
        <f t="shared" si="8"/>
        <v>#N/A</v>
      </c>
      <c r="E190" t="e">
        <f t="shared" si="9"/>
        <v>#N/A</v>
      </c>
      <c r="F190">
        <f t="shared" si="10"/>
        <v>28</v>
      </c>
      <c r="G190">
        <f t="shared" si="11"/>
        <v>7</v>
      </c>
    </row>
    <row r="191" spans="1:7" x14ac:dyDescent="0.2">
      <c r="A191">
        <v>45</v>
      </c>
      <c r="B191">
        <v>7</v>
      </c>
      <c r="C191">
        <v>0</v>
      </c>
      <c r="D191">
        <f t="shared" si="8"/>
        <v>45</v>
      </c>
      <c r="E191">
        <f t="shared" si="9"/>
        <v>7</v>
      </c>
      <c r="F191" t="e">
        <f t="shared" si="10"/>
        <v>#N/A</v>
      </c>
      <c r="G191" t="e">
        <f t="shared" si="11"/>
        <v>#N/A</v>
      </c>
    </row>
    <row r="192" spans="1:7" x14ac:dyDescent="0.2">
      <c r="A192">
        <v>42</v>
      </c>
      <c r="B192">
        <v>9</v>
      </c>
      <c r="C192">
        <v>0</v>
      </c>
      <c r="D192">
        <f t="shared" si="8"/>
        <v>42</v>
      </c>
      <c r="E192">
        <f t="shared" si="9"/>
        <v>9</v>
      </c>
      <c r="F192" t="e">
        <f t="shared" si="10"/>
        <v>#N/A</v>
      </c>
      <c r="G192" t="e">
        <f t="shared" si="11"/>
        <v>#N/A</v>
      </c>
    </row>
    <row r="193" spans="1:7" x14ac:dyDescent="0.2">
      <c r="A193">
        <v>56</v>
      </c>
      <c r="B193">
        <v>7</v>
      </c>
      <c r="C193">
        <v>0</v>
      </c>
      <c r="D193">
        <f t="shared" si="8"/>
        <v>56</v>
      </c>
      <c r="E193">
        <f t="shared" si="9"/>
        <v>7</v>
      </c>
      <c r="F193" t="e">
        <f t="shared" si="10"/>
        <v>#N/A</v>
      </c>
      <c r="G193" t="e">
        <f t="shared" si="11"/>
        <v>#N/A</v>
      </c>
    </row>
    <row r="194" spans="1:7" x14ac:dyDescent="0.2">
      <c r="A194">
        <v>50</v>
      </c>
      <c r="B194">
        <v>3</v>
      </c>
      <c r="C194">
        <v>0</v>
      </c>
      <c r="D194">
        <f t="shared" si="8"/>
        <v>50</v>
      </c>
      <c r="E194">
        <f t="shared" si="9"/>
        <v>3</v>
      </c>
      <c r="F194" t="e">
        <f t="shared" si="10"/>
        <v>#N/A</v>
      </c>
      <c r="G194" t="e">
        <f t="shared" si="11"/>
        <v>#N/A</v>
      </c>
    </row>
    <row r="195" spans="1:7" x14ac:dyDescent="0.2">
      <c r="A195">
        <v>18</v>
      </c>
      <c r="B195">
        <v>1</v>
      </c>
      <c r="C195">
        <v>1</v>
      </c>
      <c r="D195" t="e">
        <f t="shared" ref="D195:D251" si="12" xml:space="preserve"> IF($C195=0, $A195, NA())</f>
        <v>#N/A</v>
      </c>
      <c r="E195" t="e">
        <f t="shared" ref="E195:E251" si="13" xml:space="preserve"> IF($C195=0, B195, NA())</f>
        <v>#N/A</v>
      </c>
      <c r="F195">
        <f t="shared" ref="F195:F251" si="14" xml:space="preserve"> IF($C195=1, A195, NA())</f>
        <v>18</v>
      </c>
      <c r="G195">
        <f t="shared" ref="G195:G251" si="15" xml:space="preserve"> IF($C195=1, $B195, NA())</f>
        <v>1</v>
      </c>
    </row>
    <row r="196" spans="1:7" x14ac:dyDescent="0.2">
      <c r="A196">
        <v>44</v>
      </c>
      <c r="B196">
        <v>8</v>
      </c>
      <c r="C196">
        <v>0</v>
      </c>
      <c r="D196">
        <f t="shared" si="12"/>
        <v>44</v>
      </c>
      <c r="E196">
        <f t="shared" si="13"/>
        <v>8</v>
      </c>
      <c r="F196" t="e">
        <f t="shared" si="14"/>
        <v>#N/A</v>
      </c>
      <c r="G196" t="e">
        <f t="shared" si="15"/>
        <v>#N/A</v>
      </c>
    </row>
    <row r="197" spans="1:7" x14ac:dyDescent="0.2">
      <c r="A197">
        <v>69</v>
      </c>
      <c r="B197">
        <v>3</v>
      </c>
      <c r="C197">
        <v>0</v>
      </c>
      <c r="D197">
        <f t="shared" si="12"/>
        <v>69</v>
      </c>
      <c r="E197">
        <f t="shared" si="13"/>
        <v>3</v>
      </c>
      <c r="F197" t="e">
        <f t="shared" si="14"/>
        <v>#N/A</v>
      </c>
      <c r="G197" t="e">
        <f t="shared" si="15"/>
        <v>#N/A</v>
      </c>
    </row>
    <row r="198" spans="1:7" x14ac:dyDescent="0.2">
      <c r="A198">
        <v>30</v>
      </c>
      <c r="B198">
        <v>8</v>
      </c>
      <c r="C198">
        <v>1</v>
      </c>
      <c r="D198" t="e">
        <f t="shared" si="12"/>
        <v>#N/A</v>
      </c>
      <c r="E198" t="e">
        <f t="shared" si="13"/>
        <v>#N/A</v>
      </c>
      <c r="F198">
        <f t="shared" si="14"/>
        <v>30</v>
      </c>
      <c r="G198">
        <f t="shared" si="15"/>
        <v>8</v>
      </c>
    </row>
    <row r="199" spans="1:7" x14ac:dyDescent="0.2">
      <c r="A199">
        <v>58</v>
      </c>
      <c r="B199">
        <v>8</v>
      </c>
      <c r="C199">
        <v>0</v>
      </c>
      <c r="D199">
        <f t="shared" si="12"/>
        <v>58</v>
      </c>
      <c r="E199">
        <f t="shared" si="13"/>
        <v>8</v>
      </c>
      <c r="F199" t="e">
        <f t="shared" si="14"/>
        <v>#N/A</v>
      </c>
      <c r="G199" t="e">
        <f t="shared" si="15"/>
        <v>#N/A</v>
      </c>
    </row>
    <row r="200" spans="1:7" x14ac:dyDescent="0.2">
      <c r="A200">
        <v>20</v>
      </c>
      <c r="B200">
        <v>5</v>
      </c>
      <c r="C200">
        <v>0</v>
      </c>
      <c r="D200">
        <f t="shared" si="12"/>
        <v>20</v>
      </c>
      <c r="E200">
        <f t="shared" si="13"/>
        <v>5</v>
      </c>
      <c r="F200" t="e">
        <f t="shared" si="14"/>
        <v>#N/A</v>
      </c>
      <c r="G200" t="e">
        <f t="shared" si="15"/>
        <v>#N/A</v>
      </c>
    </row>
    <row r="201" spans="1:7" x14ac:dyDescent="0.2">
      <c r="A201">
        <v>56</v>
      </c>
      <c r="B201">
        <v>1</v>
      </c>
      <c r="C201">
        <v>1</v>
      </c>
      <c r="D201" t="e">
        <f t="shared" si="12"/>
        <v>#N/A</v>
      </c>
      <c r="E201" t="e">
        <f t="shared" si="13"/>
        <v>#N/A</v>
      </c>
      <c r="F201">
        <f t="shared" si="14"/>
        <v>56</v>
      </c>
      <c r="G201">
        <f t="shared" si="15"/>
        <v>1</v>
      </c>
    </row>
    <row r="202" spans="1:7" x14ac:dyDescent="0.2">
      <c r="A202">
        <v>23</v>
      </c>
      <c r="B202">
        <v>10</v>
      </c>
      <c r="C202">
        <v>0</v>
      </c>
      <c r="D202">
        <f t="shared" si="12"/>
        <v>23</v>
      </c>
      <c r="E202">
        <f t="shared" si="13"/>
        <v>10</v>
      </c>
      <c r="F202" t="e">
        <f t="shared" si="14"/>
        <v>#N/A</v>
      </c>
      <c r="G202" t="e">
        <f t="shared" si="15"/>
        <v>#N/A</v>
      </c>
    </row>
    <row r="203" spans="1:7" x14ac:dyDescent="0.2">
      <c r="A203">
        <v>25</v>
      </c>
      <c r="B203">
        <v>7</v>
      </c>
      <c r="C203">
        <v>0</v>
      </c>
      <c r="D203">
        <f t="shared" si="12"/>
        <v>25</v>
      </c>
      <c r="E203">
        <f t="shared" si="13"/>
        <v>7</v>
      </c>
      <c r="F203" t="e">
        <f t="shared" si="14"/>
        <v>#N/A</v>
      </c>
      <c r="G203" t="e">
        <f t="shared" si="15"/>
        <v>#N/A</v>
      </c>
    </row>
    <row r="204" spans="1:7" x14ac:dyDescent="0.2">
      <c r="A204">
        <v>44</v>
      </c>
      <c r="B204">
        <v>10</v>
      </c>
      <c r="C204">
        <v>1</v>
      </c>
      <c r="D204" t="e">
        <f t="shared" si="12"/>
        <v>#N/A</v>
      </c>
      <c r="E204" t="e">
        <f t="shared" si="13"/>
        <v>#N/A</v>
      </c>
      <c r="F204">
        <f t="shared" si="14"/>
        <v>44</v>
      </c>
      <c r="G204">
        <f t="shared" si="15"/>
        <v>10</v>
      </c>
    </row>
    <row r="205" spans="1:7" x14ac:dyDescent="0.2">
      <c r="A205">
        <v>26</v>
      </c>
      <c r="B205">
        <v>5</v>
      </c>
      <c r="C205">
        <v>0</v>
      </c>
      <c r="D205">
        <f t="shared" si="12"/>
        <v>26</v>
      </c>
      <c r="E205">
        <f t="shared" si="13"/>
        <v>5</v>
      </c>
      <c r="F205" t="e">
        <f t="shared" si="14"/>
        <v>#N/A</v>
      </c>
      <c r="G205" t="e">
        <f t="shared" si="15"/>
        <v>#N/A</v>
      </c>
    </row>
    <row r="206" spans="1:7" x14ac:dyDescent="0.2">
      <c r="A206">
        <v>54</v>
      </c>
      <c r="B206">
        <v>8</v>
      </c>
      <c r="C206">
        <v>0</v>
      </c>
      <c r="D206">
        <f t="shared" si="12"/>
        <v>54</v>
      </c>
      <c r="E206">
        <f t="shared" si="13"/>
        <v>8</v>
      </c>
      <c r="F206" t="e">
        <f t="shared" si="14"/>
        <v>#N/A</v>
      </c>
      <c r="G206" t="e">
        <f t="shared" si="15"/>
        <v>#N/A</v>
      </c>
    </row>
    <row r="207" spans="1:7" x14ac:dyDescent="0.2">
      <c r="A207">
        <v>50</v>
      </c>
      <c r="B207">
        <v>9</v>
      </c>
      <c r="C207">
        <v>0</v>
      </c>
      <c r="D207">
        <f t="shared" si="12"/>
        <v>50</v>
      </c>
      <c r="E207">
        <f t="shared" si="13"/>
        <v>9</v>
      </c>
      <c r="F207" t="e">
        <f t="shared" si="14"/>
        <v>#N/A</v>
      </c>
      <c r="G207" t="e">
        <f t="shared" si="15"/>
        <v>#N/A</v>
      </c>
    </row>
    <row r="208" spans="1:7" x14ac:dyDescent="0.2">
      <c r="A208">
        <v>68</v>
      </c>
      <c r="B208">
        <v>7</v>
      </c>
      <c r="C208">
        <v>1</v>
      </c>
      <c r="D208" t="e">
        <f t="shared" si="12"/>
        <v>#N/A</v>
      </c>
      <c r="E208" t="e">
        <f t="shared" si="13"/>
        <v>#N/A</v>
      </c>
      <c r="F208">
        <f t="shared" si="14"/>
        <v>68</v>
      </c>
      <c r="G208">
        <f t="shared" si="15"/>
        <v>7</v>
      </c>
    </row>
    <row r="209" spans="1:7" x14ac:dyDescent="0.2">
      <c r="A209">
        <v>59</v>
      </c>
      <c r="B209">
        <v>7</v>
      </c>
      <c r="C209">
        <v>1</v>
      </c>
      <c r="D209" t="e">
        <f t="shared" si="12"/>
        <v>#N/A</v>
      </c>
      <c r="E209" t="e">
        <f t="shared" si="13"/>
        <v>#N/A</v>
      </c>
      <c r="F209">
        <f t="shared" si="14"/>
        <v>59</v>
      </c>
      <c r="G209">
        <f t="shared" si="15"/>
        <v>7</v>
      </c>
    </row>
    <row r="210" spans="1:7" x14ac:dyDescent="0.2">
      <c r="A210">
        <v>61</v>
      </c>
      <c r="B210">
        <v>1</v>
      </c>
      <c r="C210">
        <v>1</v>
      </c>
      <c r="D210" t="e">
        <f t="shared" si="12"/>
        <v>#N/A</v>
      </c>
      <c r="E210" t="e">
        <f t="shared" si="13"/>
        <v>#N/A</v>
      </c>
      <c r="F210">
        <f t="shared" si="14"/>
        <v>61</v>
      </c>
      <c r="G210">
        <f t="shared" si="15"/>
        <v>1</v>
      </c>
    </row>
    <row r="211" spans="1:7" x14ac:dyDescent="0.2">
      <c r="A211">
        <v>41</v>
      </c>
      <c r="B211">
        <v>4</v>
      </c>
      <c r="C211">
        <v>0</v>
      </c>
      <c r="D211">
        <f t="shared" si="12"/>
        <v>41</v>
      </c>
      <c r="E211">
        <f t="shared" si="13"/>
        <v>4</v>
      </c>
      <c r="F211" t="e">
        <f t="shared" si="14"/>
        <v>#N/A</v>
      </c>
      <c r="G211" t="e">
        <f t="shared" si="15"/>
        <v>#N/A</v>
      </c>
    </row>
    <row r="212" spans="1:7" x14ac:dyDescent="0.2">
      <c r="A212">
        <v>32</v>
      </c>
      <c r="B212">
        <v>2</v>
      </c>
      <c r="C212">
        <v>1</v>
      </c>
      <c r="D212" t="e">
        <f t="shared" si="12"/>
        <v>#N/A</v>
      </c>
      <c r="E212" t="e">
        <f t="shared" si="13"/>
        <v>#N/A</v>
      </c>
      <c r="F212">
        <f t="shared" si="14"/>
        <v>32</v>
      </c>
      <c r="G212">
        <f t="shared" si="15"/>
        <v>2</v>
      </c>
    </row>
    <row r="213" spans="1:7" x14ac:dyDescent="0.2">
      <c r="A213">
        <v>49</v>
      </c>
      <c r="B213">
        <v>2</v>
      </c>
      <c r="C213">
        <v>1</v>
      </c>
      <c r="D213" t="e">
        <f t="shared" si="12"/>
        <v>#N/A</v>
      </c>
      <c r="E213" t="e">
        <f t="shared" si="13"/>
        <v>#N/A</v>
      </c>
      <c r="F213">
        <f t="shared" si="14"/>
        <v>49</v>
      </c>
      <c r="G213">
        <f t="shared" si="15"/>
        <v>2</v>
      </c>
    </row>
    <row r="214" spans="1:7" x14ac:dyDescent="0.2">
      <c r="A214">
        <v>49</v>
      </c>
      <c r="B214">
        <v>2</v>
      </c>
      <c r="C214">
        <v>1</v>
      </c>
      <c r="D214" t="e">
        <f t="shared" si="12"/>
        <v>#N/A</v>
      </c>
      <c r="E214" t="e">
        <f t="shared" si="13"/>
        <v>#N/A</v>
      </c>
      <c r="F214">
        <f t="shared" si="14"/>
        <v>49</v>
      </c>
      <c r="G214">
        <f t="shared" si="15"/>
        <v>2</v>
      </c>
    </row>
    <row r="215" spans="1:7" x14ac:dyDescent="0.2">
      <c r="A215">
        <v>41</v>
      </c>
      <c r="B215">
        <v>4</v>
      </c>
      <c r="C215">
        <v>1</v>
      </c>
      <c r="D215" t="e">
        <f t="shared" si="12"/>
        <v>#N/A</v>
      </c>
      <c r="E215" t="e">
        <f t="shared" si="13"/>
        <v>#N/A</v>
      </c>
      <c r="F215">
        <f t="shared" si="14"/>
        <v>41</v>
      </c>
      <c r="G215">
        <f t="shared" si="15"/>
        <v>4</v>
      </c>
    </row>
    <row r="216" spans="1:7" x14ac:dyDescent="0.2">
      <c r="A216">
        <v>58</v>
      </c>
      <c r="B216">
        <v>1</v>
      </c>
      <c r="C216">
        <v>0</v>
      </c>
      <c r="D216">
        <f t="shared" si="12"/>
        <v>58</v>
      </c>
      <c r="E216">
        <f t="shared" si="13"/>
        <v>1</v>
      </c>
      <c r="F216" t="e">
        <f t="shared" si="14"/>
        <v>#N/A</v>
      </c>
      <c r="G216" t="e">
        <f t="shared" si="15"/>
        <v>#N/A</v>
      </c>
    </row>
    <row r="217" spans="1:7" x14ac:dyDescent="0.2">
      <c r="A217">
        <v>69</v>
      </c>
      <c r="B217">
        <v>4</v>
      </c>
      <c r="C217">
        <v>0</v>
      </c>
      <c r="D217">
        <f t="shared" si="12"/>
        <v>69</v>
      </c>
      <c r="E217">
        <f t="shared" si="13"/>
        <v>4</v>
      </c>
      <c r="F217" t="e">
        <f t="shared" si="14"/>
        <v>#N/A</v>
      </c>
      <c r="G217" t="e">
        <f t="shared" si="15"/>
        <v>#N/A</v>
      </c>
    </row>
    <row r="218" spans="1:7" x14ac:dyDescent="0.2">
      <c r="A218">
        <v>66</v>
      </c>
      <c r="B218">
        <v>2</v>
      </c>
      <c r="C218">
        <v>1</v>
      </c>
      <c r="D218" t="e">
        <f t="shared" si="12"/>
        <v>#N/A</v>
      </c>
      <c r="E218" t="e">
        <f t="shared" si="13"/>
        <v>#N/A</v>
      </c>
      <c r="F218">
        <f t="shared" si="14"/>
        <v>66</v>
      </c>
      <c r="G218">
        <f t="shared" si="15"/>
        <v>2</v>
      </c>
    </row>
    <row r="219" spans="1:7" x14ac:dyDescent="0.2">
      <c r="A219">
        <v>66</v>
      </c>
      <c r="B219">
        <v>5</v>
      </c>
      <c r="C219">
        <v>0</v>
      </c>
      <c r="D219">
        <f t="shared" si="12"/>
        <v>66</v>
      </c>
      <c r="E219">
        <f t="shared" si="13"/>
        <v>5</v>
      </c>
      <c r="F219" t="e">
        <f t="shared" si="14"/>
        <v>#N/A</v>
      </c>
      <c r="G219" t="e">
        <f t="shared" si="15"/>
        <v>#N/A</v>
      </c>
    </row>
    <row r="220" spans="1:7" x14ac:dyDescent="0.2">
      <c r="A220">
        <v>69</v>
      </c>
      <c r="B220">
        <v>3</v>
      </c>
      <c r="C220">
        <v>1</v>
      </c>
      <c r="D220" t="e">
        <f t="shared" si="12"/>
        <v>#N/A</v>
      </c>
      <c r="E220" t="e">
        <f t="shared" si="13"/>
        <v>#N/A</v>
      </c>
      <c r="F220">
        <f t="shared" si="14"/>
        <v>69</v>
      </c>
      <c r="G220">
        <f t="shared" si="15"/>
        <v>3</v>
      </c>
    </row>
    <row r="221" spans="1:7" x14ac:dyDescent="0.2">
      <c r="A221">
        <v>29</v>
      </c>
      <c r="B221">
        <v>8</v>
      </c>
      <c r="C221">
        <v>0</v>
      </c>
      <c r="D221">
        <f t="shared" si="12"/>
        <v>29</v>
      </c>
      <c r="E221">
        <f t="shared" si="13"/>
        <v>8</v>
      </c>
      <c r="F221" t="e">
        <f t="shared" si="14"/>
        <v>#N/A</v>
      </c>
      <c r="G221" t="e">
        <f t="shared" si="15"/>
        <v>#N/A</v>
      </c>
    </row>
    <row r="222" spans="1:7" x14ac:dyDescent="0.2">
      <c r="A222">
        <v>56</v>
      </c>
      <c r="B222">
        <v>4</v>
      </c>
      <c r="C222">
        <v>0</v>
      </c>
      <c r="D222">
        <f t="shared" si="12"/>
        <v>56</v>
      </c>
      <c r="E222">
        <f t="shared" si="13"/>
        <v>4</v>
      </c>
      <c r="F222" t="e">
        <f t="shared" si="14"/>
        <v>#N/A</v>
      </c>
      <c r="G222" t="e">
        <f t="shared" si="15"/>
        <v>#N/A</v>
      </c>
    </row>
    <row r="223" spans="1:7" x14ac:dyDescent="0.2">
      <c r="A223">
        <v>19</v>
      </c>
      <c r="B223">
        <v>1</v>
      </c>
      <c r="C223">
        <v>1</v>
      </c>
      <c r="D223" t="e">
        <f t="shared" si="12"/>
        <v>#N/A</v>
      </c>
      <c r="E223" t="e">
        <f t="shared" si="13"/>
        <v>#N/A</v>
      </c>
      <c r="F223">
        <f t="shared" si="14"/>
        <v>19</v>
      </c>
      <c r="G223">
        <f t="shared" si="15"/>
        <v>1</v>
      </c>
    </row>
    <row r="224" spans="1:7" x14ac:dyDescent="0.2">
      <c r="A224">
        <v>20</v>
      </c>
      <c r="B224">
        <v>1</v>
      </c>
      <c r="C224">
        <v>1</v>
      </c>
      <c r="D224" t="e">
        <f t="shared" si="12"/>
        <v>#N/A</v>
      </c>
      <c r="E224" t="e">
        <f t="shared" si="13"/>
        <v>#N/A</v>
      </c>
      <c r="F224">
        <f t="shared" si="14"/>
        <v>20</v>
      </c>
      <c r="G224">
        <f t="shared" si="15"/>
        <v>1</v>
      </c>
    </row>
    <row r="225" spans="1:7" x14ac:dyDescent="0.2">
      <c r="A225">
        <v>66</v>
      </c>
      <c r="B225">
        <v>10</v>
      </c>
      <c r="C225">
        <v>1</v>
      </c>
      <c r="D225" t="e">
        <f t="shared" si="12"/>
        <v>#N/A</v>
      </c>
      <c r="E225" t="e">
        <f t="shared" si="13"/>
        <v>#N/A</v>
      </c>
      <c r="F225">
        <f t="shared" si="14"/>
        <v>66</v>
      </c>
      <c r="G225">
        <f t="shared" si="15"/>
        <v>10</v>
      </c>
    </row>
    <row r="226" spans="1:7" x14ac:dyDescent="0.2">
      <c r="A226">
        <v>54</v>
      </c>
      <c r="B226">
        <v>3</v>
      </c>
      <c r="C226">
        <v>0</v>
      </c>
      <c r="D226">
        <f t="shared" si="12"/>
        <v>54</v>
      </c>
      <c r="E226">
        <f t="shared" si="13"/>
        <v>3</v>
      </c>
      <c r="F226" t="e">
        <f t="shared" si="14"/>
        <v>#N/A</v>
      </c>
      <c r="G226" t="e">
        <f t="shared" si="15"/>
        <v>#N/A</v>
      </c>
    </row>
    <row r="227" spans="1:7" x14ac:dyDescent="0.2">
      <c r="A227">
        <v>66</v>
      </c>
      <c r="B227">
        <v>9</v>
      </c>
      <c r="C227">
        <v>0</v>
      </c>
      <c r="D227">
        <f t="shared" si="12"/>
        <v>66</v>
      </c>
      <c r="E227">
        <f t="shared" si="13"/>
        <v>9</v>
      </c>
      <c r="F227" t="e">
        <f t="shared" si="14"/>
        <v>#N/A</v>
      </c>
      <c r="G227" t="e">
        <f t="shared" si="15"/>
        <v>#N/A</v>
      </c>
    </row>
    <row r="228" spans="1:7" x14ac:dyDescent="0.2">
      <c r="A228">
        <v>34</v>
      </c>
      <c r="B228">
        <v>7</v>
      </c>
      <c r="C228">
        <v>1</v>
      </c>
      <c r="D228" t="e">
        <f t="shared" si="12"/>
        <v>#N/A</v>
      </c>
      <c r="E228" t="e">
        <f t="shared" si="13"/>
        <v>#N/A</v>
      </c>
      <c r="F228">
        <f t="shared" si="14"/>
        <v>34</v>
      </c>
      <c r="G228">
        <f t="shared" si="15"/>
        <v>7</v>
      </c>
    </row>
    <row r="229" spans="1:7" x14ac:dyDescent="0.2">
      <c r="A229">
        <v>66</v>
      </c>
      <c r="B229">
        <v>2</v>
      </c>
      <c r="C229">
        <v>0</v>
      </c>
      <c r="D229">
        <f t="shared" si="12"/>
        <v>66</v>
      </c>
      <c r="E229">
        <f t="shared" si="13"/>
        <v>2</v>
      </c>
      <c r="F229" t="e">
        <f t="shared" si="14"/>
        <v>#N/A</v>
      </c>
      <c r="G229" t="e">
        <f t="shared" si="15"/>
        <v>#N/A</v>
      </c>
    </row>
    <row r="230" spans="1:7" x14ac:dyDescent="0.2">
      <c r="A230">
        <v>19</v>
      </c>
      <c r="B230">
        <v>9</v>
      </c>
      <c r="C230">
        <v>1</v>
      </c>
      <c r="D230" t="e">
        <f t="shared" si="12"/>
        <v>#N/A</v>
      </c>
      <c r="E230" t="e">
        <f t="shared" si="13"/>
        <v>#N/A</v>
      </c>
      <c r="F230">
        <f t="shared" si="14"/>
        <v>19</v>
      </c>
      <c r="G230">
        <f t="shared" si="15"/>
        <v>9</v>
      </c>
    </row>
    <row r="231" spans="1:7" x14ac:dyDescent="0.2">
      <c r="A231">
        <v>19</v>
      </c>
      <c r="B231">
        <v>10</v>
      </c>
      <c r="C231">
        <v>1</v>
      </c>
      <c r="D231" t="e">
        <f t="shared" si="12"/>
        <v>#N/A</v>
      </c>
      <c r="E231" t="e">
        <f t="shared" si="13"/>
        <v>#N/A</v>
      </c>
      <c r="F231">
        <f t="shared" si="14"/>
        <v>19</v>
      </c>
      <c r="G231">
        <f t="shared" si="15"/>
        <v>10</v>
      </c>
    </row>
    <row r="232" spans="1:7" x14ac:dyDescent="0.2">
      <c r="A232">
        <v>45</v>
      </c>
      <c r="B232">
        <v>2</v>
      </c>
      <c r="C232">
        <v>0</v>
      </c>
      <c r="D232">
        <f t="shared" si="12"/>
        <v>45</v>
      </c>
      <c r="E232">
        <f t="shared" si="13"/>
        <v>2</v>
      </c>
      <c r="F232" t="e">
        <f t="shared" si="14"/>
        <v>#N/A</v>
      </c>
      <c r="G232" t="e">
        <f t="shared" si="15"/>
        <v>#N/A</v>
      </c>
    </row>
    <row r="233" spans="1:7" x14ac:dyDescent="0.2">
      <c r="A233">
        <v>40</v>
      </c>
      <c r="B233">
        <v>3</v>
      </c>
      <c r="C233">
        <v>0</v>
      </c>
      <c r="D233">
        <f t="shared" si="12"/>
        <v>40</v>
      </c>
      <c r="E233">
        <f t="shared" si="13"/>
        <v>3</v>
      </c>
      <c r="F233" t="e">
        <f t="shared" si="14"/>
        <v>#N/A</v>
      </c>
      <c r="G233" t="e">
        <f t="shared" si="15"/>
        <v>#N/A</v>
      </c>
    </row>
    <row r="234" spans="1:7" x14ac:dyDescent="0.2">
      <c r="A234">
        <v>54</v>
      </c>
      <c r="B234">
        <v>10</v>
      </c>
      <c r="C234">
        <v>0</v>
      </c>
      <c r="D234">
        <f t="shared" si="12"/>
        <v>54</v>
      </c>
      <c r="E234">
        <f t="shared" si="13"/>
        <v>10</v>
      </c>
      <c r="F234" t="e">
        <f t="shared" si="14"/>
        <v>#N/A</v>
      </c>
      <c r="G234" t="e">
        <f t="shared" si="15"/>
        <v>#N/A</v>
      </c>
    </row>
    <row r="235" spans="1:7" x14ac:dyDescent="0.2">
      <c r="A235">
        <v>49</v>
      </c>
      <c r="B235">
        <v>2</v>
      </c>
      <c r="C235">
        <v>1</v>
      </c>
      <c r="D235" t="e">
        <f t="shared" si="12"/>
        <v>#N/A</v>
      </c>
      <c r="E235" t="e">
        <f t="shared" si="13"/>
        <v>#N/A</v>
      </c>
      <c r="F235">
        <f t="shared" si="14"/>
        <v>49</v>
      </c>
      <c r="G235">
        <f t="shared" si="15"/>
        <v>2</v>
      </c>
    </row>
    <row r="236" spans="1:7" x14ac:dyDescent="0.2">
      <c r="A236">
        <v>50</v>
      </c>
      <c r="B236">
        <v>3</v>
      </c>
      <c r="C236">
        <v>1</v>
      </c>
      <c r="D236" t="e">
        <f t="shared" si="12"/>
        <v>#N/A</v>
      </c>
      <c r="E236" t="e">
        <f t="shared" si="13"/>
        <v>#N/A</v>
      </c>
      <c r="F236">
        <f t="shared" si="14"/>
        <v>50</v>
      </c>
      <c r="G236">
        <f t="shared" si="15"/>
        <v>3</v>
      </c>
    </row>
    <row r="237" spans="1:7" x14ac:dyDescent="0.2">
      <c r="A237">
        <v>18</v>
      </c>
      <c r="B237">
        <v>6</v>
      </c>
      <c r="C237">
        <v>0</v>
      </c>
      <c r="D237">
        <f t="shared" si="12"/>
        <v>18</v>
      </c>
      <c r="E237">
        <f t="shared" si="13"/>
        <v>6</v>
      </c>
      <c r="F237" t="e">
        <f t="shared" si="14"/>
        <v>#N/A</v>
      </c>
      <c r="G237" t="e">
        <f t="shared" si="15"/>
        <v>#N/A</v>
      </c>
    </row>
    <row r="238" spans="1:7" x14ac:dyDescent="0.2">
      <c r="A238">
        <v>36</v>
      </c>
      <c r="B238">
        <v>9</v>
      </c>
      <c r="C238">
        <v>0</v>
      </c>
      <c r="D238">
        <f t="shared" si="12"/>
        <v>36</v>
      </c>
      <c r="E238">
        <f t="shared" si="13"/>
        <v>9</v>
      </c>
      <c r="F238" t="e">
        <f t="shared" si="14"/>
        <v>#N/A</v>
      </c>
      <c r="G238" t="e">
        <f t="shared" si="15"/>
        <v>#N/A</v>
      </c>
    </row>
    <row r="239" spans="1:7" x14ac:dyDescent="0.2">
      <c r="A239">
        <v>19</v>
      </c>
      <c r="B239">
        <v>9</v>
      </c>
      <c r="C239">
        <v>0</v>
      </c>
      <c r="D239">
        <f t="shared" si="12"/>
        <v>19</v>
      </c>
      <c r="E239">
        <f t="shared" si="13"/>
        <v>9</v>
      </c>
      <c r="F239" t="e">
        <f t="shared" si="14"/>
        <v>#N/A</v>
      </c>
      <c r="G239" t="e">
        <f t="shared" si="15"/>
        <v>#N/A</v>
      </c>
    </row>
    <row r="240" spans="1:7" x14ac:dyDescent="0.2">
      <c r="A240">
        <v>61</v>
      </c>
      <c r="B240">
        <v>7</v>
      </c>
      <c r="C240">
        <v>1</v>
      </c>
      <c r="D240" t="e">
        <f t="shared" si="12"/>
        <v>#N/A</v>
      </c>
      <c r="E240" t="e">
        <f t="shared" si="13"/>
        <v>#N/A</v>
      </c>
      <c r="F240">
        <f t="shared" si="14"/>
        <v>61</v>
      </c>
      <c r="G240">
        <f t="shared" si="15"/>
        <v>7</v>
      </c>
    </row>
    <row r="241" spans="1:7" x14ac:dyDescent="0.2">
      <c r="A241">
        <v>43</v>
      </c>
      <c r="B241">
        <v>3</v>
      </c>
      <c r="C241">
        <v>0</v>
      </c>
      <c r="D241">
        <f t="shared" si="12"/>
        <v>43</v>
      </c>
      <c r="E241">
        <f t="shared" si="13"/>
        <v>3</v>
      </c>
      <c r="F241" t="e">
        <f t="shared" si="14"/>
        <v>#N/A</v>
      </c>
      <c r="G241" t="e">
        <f t="shared" si="15"/>
        <v>#N/A</v>
      </c>
    </row>
    <row r="242" spans="1:7" x14ac:dyDescent="0.2">
      <c r="A242">
        <v>49</v>
      </c>
      <c r="B242">
        <v>4</v>
      </c>
      <c r="C242">
        <v>1</v>
      </c>
      <c r="D242" t="e">
        <f t="shared" si="12"/>
        <v>#N/A</v>
      </c>
      <c r="E242" t="e">
        <f t="shared" si="13"/>
        <v>#N/A</v>
      </c>
      <c r="F242">
        <f t="shared" si="14"/>
        <v>49</v>
      </c>
      <c r="G242">
        <f t="shared" si="15"/>
        <v>4</v>
      </c>
    </row>
    <row r="243" spans="1:7" x14ac:dyDescent="0.2">
      <c r="A243">
        <v>23</v>
      </c>
      <c r="B243">
        <v>6</v>
      </c>
      <c r="C243">
        <v>1</v>
      </c>
      <c r="D243" t="e">
        <f t="shared" si="12"/>
        <v>#N/A</v>
      </c>
      <c r="E243" t="e">
        <f t="shared" si="13"/>
        <v>#N/A</v>
      </c>
      <c r="F243">
        <f t="shared" si="14"/>
        <v>23</v>
      </c>
      <c r="G243">
        <f t="shared" si="15"/>
        <v>6</v>
      </c>
    </row>
    <row r="244" spans="1:7" x14ac:dyDescent="0.2">
      <c r="A244">
        <v>49</v>
      </c>
      <c r="B244">
        <v>5</v>
      </c>
      <c r="C244">
        <v>0</v>
      </c>
      <c r="D244">
        <f t="shared" si="12"/>
        <v>49</v>
      </c>
      <c r="E244">
        <f t="shared" si="13"/>
        <v>5</v>
      </c>
      <c r="F244" t="e">
        <f t="shared" si="14"/>
        <v>#N/A</v>
      </c>
      <c r="G244" t="e">
        <f t="shared" si="15"/>
        <v>#N/A</v>
      </c>
    </row>
    <row r="245" spans="1:7" x14ac:dyDescent="0.2">
      <c r="A245">
        <v>21</v>
      </c>
      <c r="B245">
        <v>2</v>
      </c>
      <c r="C245">
        <v>1</v>
      </c>
      <c r="D245" t="e">
        <f t="shared" si="12"/>
        <v>#N/A</v>
      </c>
      <c r="E245" t="e">
        <f t="shared" si="13"/>
        <v>#N/A</v>
      </c>
      <c r="F245">
        <f t="shared" si="14"/>
        <v>21</v>
      </c>
      <c r="G245">
        <f t="shared" si="15"/>
        <v>2</v>
      </c>
    </row>
    <row r="246" spans="1:7" x14ac:dyDescent="0.2">
      <c r="A246">
        <v>28</v>
      </c>
      <c r="B246">
        <v>6</v>
      </c>
      <c r="C246">
        <v>0</v>
      </c>
      <c r="D246">
        <f t="shared" si="12"/>
        <v>28</v>
      </c>
      <c r="E246">
        <f t="shared" si="13"/>
        <v>6</v>
      </c>
      <c r="F246" t="e">
        <f t="shared" si="14"/>
        <v>#N/A</v>
      </c>
      <c r="G246" t="e">
        <f t="shared" si="15"/>
        <v>#N/A</v>
      </c>
    </row>
    <row r="247" spans="1:7" x14ac:dyDescent="0.2">
      <c r="A247">
        <v>34</v>
      </c>
      <c r="B247">
        <v>3</v>
      </c>
      <c r="C247">
        <v>1</v>
      </c>
      <c r="D247" t="e">
        <f t="shared" si="12"/>
        <v>#N/A</v>
      </c>
      <c r="E247" t="e">
        <f t="shared" si="13"/>
        <v>#N/A</v>
      </c>
      <c r="F247">
        <f t="shared" si="14"/>
        <v>34</v>
      </c>
      <c r="G247">
        <f t="shared" si="15"/>
        <v>3</v>
      </c>
    </row>
    <row r="248" spans="1:7" x14ac:dyDescent="0.2">
      <c r="A248">
        <v>55</v>
      </c>
      <c r="B248">
        <v>8</v>
      </c>
      <c r="C248">
        <v>1</v>
      </c>
      <c r="D248" t="e">
        <f t="shared" si="12"/>
        <v>#N/A</v>
      </c>
      <c r="E248" t="e">
        <f t="shared" si="13"/>
        <v>#N/A</v>
      </c>
      <c r="F248">
        <f t="shared" si="14"/>
        <v>55</v>
      </c>
      <c r="G248">
        <f t="shared" si="15"/>
        <v>8</v>
      </c>
    </row>
    <row r="249" spans="1:7" x14ac:dyDescent="0.2">
      <c r="A249">
        <v>41</v>
      </c>
      <c r="B249">
        <v>2</v>
      </c>
      <c r="C249">
        <v>1</v>
      </c>
      <c r="D249" t="e">
        <f t="shared" si="12"/>
        <v>#N/A</v>
      </c>
      <c r="E249" t="e">
        <f t="shared" si="13"/>
        <v>#N/A</v>
      </c>
      <c r="F249">
        <f t="shared" si="14"/>
        <v>41</v>
      </c>
      <c r="G249">
        <f t="shared" si="15"/>
        <v>2</v>
      </c>
    </row>
    <row r="250" spans="1:7" x14ac:dyDescent="0.2">
      <c r="A250">
        <v>22</v>
      </c>
      <c r="B250">
        <v>1</v>
      </c>
      <c r="C250">
        <v>1</v>
      </c>
      <c r="D250" t="e">
        <f t="shared" si="12"/>
        <v>#N/A</v>
      </c>
      <c r="E250" t="e">
        <f t="shared" si="13"/>
        <v>#N/A</v>
      </c>
      <c r="F250">
        <f t="shared" si="14"/>
        <v>22</v>
      </c>
      <c r="G250">
        <f t="shared" si="15"/>
        <v>1</v>
      </c>
    </row>
    <row r="251" spans="1:7" x14ac:dyDescent="0.2">
      <c r="A251">
        <v>69</v>
      </c>
      <c r="B251">
        <v>9</v>
      </c>
      <c r="C251">
        <v>0</v>
      </c>
      <c r="D251">
        <f t="shared" si="12"/>
        <v>69</v>
      </c>
      <c r="E251">
        <f t="shared" si="13"/>
        <v>9</v>
      </c>
      <c r="F251" t="e">
        <f t="shared" si="14"/>
        <v>#N/A</v>
      </c>
      <c r="G251" t="e">
        <f t="shared" si="15"/>
        <v>#N/A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A01E1-FDD7-1248-B2E4-D33DC51B5D9B}">
  <dimension ref="A1:G251"/>
  <sheetViews>
    <sheetView topLeftCell="F1" zoomScale="159" workbookViewId="0">
      <selection sqref="A1:B133"/>
    </sheetView>
  </sheetViews>
  <sheetFormatPr baseColWidth="10" defaultRowHeight="15" x14ac:dyDescent="0.2"/>
  <sheetData>
    <row r="1" spans="1:7" x14ac:dyDescent="0.2">
      <c r="A1" t="s">
        <v>9</v>
      </c>
      <c r="B1" t="s">
        <v>8</v>
      </c>
      <c r="C1" t="s">
        <v>13</v>
      </c>
      <c r="D1" t="s">
        <v>26</v>
      </c>
      <c r="E1" t="s">
        <v>28</v>
      </c>
      <c r="F1" t="s">
        <v>27</v>
      </c>
      <c r="G1" t="s">
        <v>13</v>
      </c>
    </row>
    <row r="2" spans="1:7" x14ac:dyDescent="0.2">
      <c r="A2">
        <v>2</v>
      </c>
      <c r="B2">
        <v>28.27</v>
      </c>
      <c r="C2">
        <v>1</v>
      </c>
      <c r="D2" t="e">
        <f xml:space="preserve"> IF($C2=0, $A2, NA())</f>
        <v>#N/A</v>
      </c>
      <c r="E2" t="e">
        <f xml:space="preserve"> IF($C2=0, B2, NA())</f>
        <v>#N/A</v>
      </c>
      <c r="F2">
        <f xml:space="preserve"> IF($C2=1, A2, NA())</f>
        <v>2</v>
      </c>
      <c r="G2">
        <f xml:space="preserve"> IF($C2=1, $B2, NA())</f>
        <v>28.27</v>
      </c>
    </row>
    <row r="3" spans="1:7" x14ac:dyDescent="0.2">
      <c r="A3">
        <v>1</v>
      </c>
      <c r="B3">
        <v>107.67</v>
      </c>
      <c r="C3">
        <v>1</v>
      </c>
      <c r="D3" t="e">
        <f t="shared" ref="D3:D66" si="0" xml:space="preserve"> IF($C3=0, $A3, NA())</f>
        <v>#N/A</v>
      </c>
      <c r="E3" t="e">
        <f t="shared" ref="E3:E66" si="1" xml:space="preserve"> IF($C3=0, B3, NA())</f>
        <v>#N/A</v>
      </c>
      <c r="F3">
        <f t="shared" ref="F3:F66" si="2" xml:space="preserve"> IF($C3=1, A3, NA())</f>
        <v>1</v>
      </c>
      <c r="G3">
        <f t="shared" ref="G3:G66" si="3" xml:space="preserve"> IF($C3=1, $B3, NA())</f>
        <v>107.67</v>
      </c>
    </row>
    <row r="4" spans="1:7" x14ac:dyDescent="0.2">
      <c r="A4">
        <v>1</v>
      </c>
      <c r="B4">
        <v>75.16</v>
      </c>
      <c r="C4">
        <v>0</v>
      </c>
      <c r="D4">
        <f t="shared" si="0"/>
        <v>1</v>
      </c>
      <c r="E4">
        <f t="shared" si="1"/>
        <v>75.16</v>
      </c>
      <c r="F4" t="e">
        <f t="shared" si="2"/>
        <v>#N/A</v>
      </c>
      <c r="G4" t="e">
        <f t="shared" si="3"/>
        <v>#N/A</v>
      </c>
    </row>
    <row r="5" spans="1:7" x14ac:dyDescent="0.2">
      <c r="A5">
        <v>1</v>
      </c>
      <c r="B5">
        <v>36.479999999999997</v>
      </c>
      <c r="C5">
        <v>1</v>
      </c>
      <c r="D5" t="e">
        <f t="shared" si="0"/>
        <v>#N/A</v>
      </c>
      <c r="E5" t="e">
        <f t="shared" si="1"/>
        <v>#N/A</v>
      </c>
      <c r="F5">
        <f t="shared" si="2"/>
        <v>1</v>
      </c>
      <c r="G5">
        <f t="shared" si="3"/>
        <v>36.479999999999997</v>
      </c>
    </row>
    <row r="6" spans="1:7" x14ac:dyDescent="0.2">
      <c r="A6">
        <v>3</v>
      </c>
      <c r="B6">
        <v>61.13</v>
      </c>
      <c r="C6">
        <v>1</v>
      </c>
      <c r="D6" t="e">
        <f t="shared" si="0"/>
        <v>#N/A</v>
      </c>
      <c r="E6" t="e">
        <f t="shared" si="1"/>
        <v>#N/A</v>
      </c>
      <c r="F6">
        <f t="shared" si="2"/>
        <v>3</v>
      </c>
      <c r="G6">
        <f t="shared" si="3"/>
        <v>61.13</v>
      </c>
    </row>
    <row r="7" spans="1:7" x14ac:dyDescent="0.2">
      <c r="A7">
        <v>2</v>
      </c>
      <c r="B7">
        <v>97.76</v>
      </c>
      <c r="C7">
        <v>1</v>
      </c>
      <c r="D7" t="e">
        <f t="shared" si="0"/>
        <v>#N/A</v>
      </c>
      <c r="E7" t="e">
        <f t="shared" si="1"/>
        <v>#N/A</v>
      </c>
      <c r="F7">
        <f t="shared" si="2"/>
        <v>2</v>
      </c>
      <c r="G7">
        <f t="shared" si="3"/>
        <v>97.76</v>
      </c>
    </row>
    <row r="8" spans="1:7" x14ac:dyDescent="0.2">
      <c r="A8">
        <v>2</v>
      </c>
      <c r="B8">
        <v>68.040000000000006</v>
      </c>
      <c r="C8">
        <v>1</v>
      </c>
      <c r="D8" t="e">
        <f t="shared" si="0"/>
        <v>#N/A</v>
      </c>
      <c r="E8" t="e">
        <f t="shared" si="1"/>
        <v>#N/A</v>
      </c>
      <c r="F8">
        <f t="shared" si="2"/>
        <v>2</v>
      </c>
      <c r="G8">
        <f t="shared" si="3"/>
        <v>68.040000000000006</v>
      </c>
    </row>
    <row r="9" spans="1:7" x14ac:dyDescent="0.2">
      <c r="A9">
        <v>3</v>
      </c>
      <c r="B9">
        <v>118.53</v>
      </c>
      <c r="C9">
        <v>0</v>
      </c>
      <c r="D9">
        <f t="shared" si="0"/>
        <v>3</v>
      </c>
      <c r="E9">
        <f t="shared" si="1"/>
        <v>118.53</v>
      </c>
      <c r="F9" t="e">
        <f t="shared" si="2"/>
        <v>#N/A</v>
      </c>
      <c r="G9" t="e">
        <f t="shared" si="3"/>
        <v>#N/A</v>
      </c>
    </row>
    <row r="10" spans="1:7" x14ac:dyDescent="0.2">
      <c r="A10">
        <v>0</v>
      </c>
      <c r="B10">
        <v>57.67</v>
      </c>
      <c r="C10">
        <v>1</v>
      </c>
      <c r="D10" t="e">
        <f t="shared" si="0"/>
        <v>#N/A</v>
      </c>
      <c r="E10" t="e">
        <f t="shared" si="1"/>
        <v>#N/A</v>
      </c>
      <c r="F10">
        <f t="shared" si="2"/>
        <v>0</v>
      </c>
      <c r="G10">
        <f t="shared" si="3"/>
        <v>57.67</v>
      </c>
    </row>
    <row r="11" spans="1:7" x14ac:dyDescent="0.2">
      <c r="A11">
        <v>5</v>
      </c>
      <c r="B11">
        <v>94.96</v>
      </c>
      <c r="C11">
        <v>0</v>
      </c>
      <c r="D11">
        <f t="shared" si="0"/>
        <v>5</v>
      </c>
      <c r="E11">
        <f t="shared" si="1"/>
        <v>94.96</v>
      </c>
      <c r="F11" t="e">
        <f t="shared" si="2"/>
        <v>#N/A</v>
      </c>
      <c r="G11" t="e">
        <f t="shared" si="3"/>
        <v>#N/A</v>
      </c>
    </row>
    <row r="12" spans="1:7" x14ac:dyDescent="0.2">
      <c r="A12">
        <v>1</v>
      </c>
      <c r="B12">
        <v>59.3</v>
      </c>
      <c r="C12">
        <v>0</v>
      </c>
      <c r="D12">
        <f t="shared" si="0"/>
        <v>1</v>
      </c>
      <c r="E12">
        <f t="shared" si="1"/>
        <v>59.3</v>
      </c>
      <c r="F12" t="e">
        <f t="shared" si="2"/>
        <v>#N/A</v>
      </c>
      <c r="G12" t="e">
        <f t="shared" si="3"/>
        <v>#N/A</v>
      </c>
    </row>
    <row r="13" spans="1:7" x14ac:dyDescent="0.2">
      <c r="A13">
        <v>3</v>
      </c>
      <c r="B13">
        <v>102.92</v>
      </c>
      <c r="C13">
        <v>0</v>
      </c>
      <c r="D13">
        <f t="shared" si="0"/>
        <v>3</v>
      </c>
      <c r="E13">
        <f t="shared" si="1"/>
        <v>102.92</v>
      </c>
      <c r="F13" t="e">
        <f t="shared" si="2"/>
        <v>#N/A</v>
      </c>
      <c r="G13" t="e">
        <f t="shared" si="3"/>
        <v>#N/A</v>
      </c>
    </row>
    <row r="14" spans="1:7" x14ac:dyDescent="0.2">
      <c r="A14">
        <v>0</v>
      </c>
      <c r="B14">
        <v>76.91</v>
      </c>
      <c r="C14">
        <v>0</v>
      </c>
      <c r="D14">
        <f t="shared" si="0"/>
        <v>0</v>
      </c>
      <c r="E14">
        <f t="shared" si="1"/>
        <v>76.91</v>
      </c>
      <c r="F14" t="e">
        <f t="shared" si="2"/>
        <v>#N/A</v>
      </c>
      <c r="G14" t="e">
        <f t="shared" si="3"/>
        <v>#N/A</v>
      </c>
    </row>
    <row r="15" spans="1:7" x14ac:dyDescent="0.2">
      <c r="A15">
        <v>1</v>
      </c>
      <c r="B15">
        <v>26.35</v>
      </c>
      <c r="C15">
        <v>1</v>
      </c>
      <c r="D15" t="e">
        <f t="shared" si="0"/>
        <v>#N/A</v>
      </c>
      <c r="E15" t="e">
        <f t="shared" si="1"/>
        <v>#N/A</v>
      </c>
      <c r="F15">
        <f t="shared" si="2"/>
        <v>1</v>
      </c>
      <c r="G15">
        <f t="shared" si="3"/>
        <v>26.35</v>
      </c>
    </row>
    <row r="16" spans="1:7" x14ac:dyDescent="0.2">
      <c r="A16">
        <v>1</v>
      </c>
      <c r="B16">
        <v>23.68</v>
      </c>
      <c r="C16">
        <v>0</v>
      </c>
      <c r="D16">
        <f t="shared" si="0"/>
        <v>1</v>
      </c>
      <c r="E16">
        <f t="shared" si="1"/>
        <v>23.68</v>
      </c>
      <c r="F16" t="e">
        <f t="shared" si="2"/>
        <v>#N/A</v>
      </c>
      <c r="G16" t="e">
        <f t="shared" si="3"/>
        <v>#N/A</v>
      </c>
    </row>
    <row r="17" spans="1:7" x14ac:dyDescent="0.2">
      <c r="A17">
        <v>3</v>
      </c>
      <c r="B17">
        <v>33.39</v>
      </c>
      <c r="C17">
        <v>1</v>
      </c>
      <c r="D17" t="e">
        <f t="shared" si="0"/>
        <v>#N/A</v>
      </c>
      <c r="E17" t="e">
        <f t="shared" si="1"/>
        <v>#N/A</v>
      </c>
      <c r="F17">
        <f t="shared" si="2"/>
        <v>3</v>
      </c>
      <c r="G17">
        <f t="shared" si="3"/>
        <v>33.39</v>
      </c>
    </row>
    <row r="18" spans="1:7" x14ac:dyDescent="0.2">
      <c r="A18">
        <v>3</v>
      </c>
      <c r="B18">
        <v>21.37</v>
      </c>
      <c r="C18">
        <v>0</v>
      </c>
      <c r="D18">
        <f t="shared" si="0"/>
        <v>3</v>
      </c>
      <c r="E18">
        <f t="shared" si="1"/>
        <v>21.37</v>
      </c>
      <c r="F18" t="e">
        <f t="shared" si="2"/>
        <v>#N/A</v>
      </c>
      <c r="G18" t="e">
        <f t="shared" si="3"/>
        <v>#N/A</v>
      </c>
    </row>
    <row r="19" spans="1:7" x14ac:dyDescent="0.2">
      <c r="A19">
        <v>2</v>
      </c>
      <c r="B19">
        <v>27.54</v>
      </c>
      <c r="C19">
        <v>0</v>
      </c>
      <c r="D19">
        <f t="shared" si="0"/>
        <v>2</v>
      </c>
      <c r="E19">
        <f t="shared" si="1"/>
        <v>27.54</v>
      </c>
      <c r="F19" t="e">
        <f t="shared" si="2"/>
        <v>#N/A</v>
      </c>
      <c r="G19" t="e">
        <f t="shared" si="3"/>
        <v>#N/A</v>
      </c>
    </row>
    <row r="20" spans="1:7" x14ac:dyDescent="0.2">
      <c r="A20">
        <v>6</v>
      </c>
      <c r="B20">
        <v>89.17</v>
      </c>
      <c r="C20">
        <v>1</v>
      </c>
      <c r="D20" t="e">
        <f t="shared" si="0"/>
        <v>#N/A</v>
      </c>
      <c r="E20" t="e">
        <f t="shared" si="1"/>
        <v>#N/A</v>
      </c>
      <c r="F20">
        <f t="shared" si="2"/>
        <v>6</v>
      </c>
      <c r="G20">
        <f t="shared" si="3"/>
        <v>89.17</v>
      </c>
    </row>
    <row r="21" spans="1:7" x14ac:dyDescent="0.2">
      <c r="A21">
        <v>3</v>
      </c>
      <c r="B21">
        <v>73.430000000000007</v>
      </c>
      <c r="C21">
        <v>1</v>
      </c>
      <c r="D21" t="e">
        <f t="shared" si="0"/>
        <v>#N/A</v>
      </c>
      <c r="E21" t="e">
        <f t="shared" si="1"/>
        <v>#N/A</v>
      </c>
      <c r="F21">
        <f t="shared" si="2"/>
        <v>3</v>
      </c>
      <c r="G21">
        <f t="shared" si="3"/>
        <v>73.430000000000007</v>
      </c>
    </row>
    <row r="22" spans="1:7" x14ac:dyDescent="0.2">
      <c r="A22">
        <v>4</v>
      </c>
      <c r="B22">
        <v>94.99</v>
      </c>
      <c r="C22">
        <v>0</v>
      </c>
      <c r="D22">
        <f t="shared" si="0"/>
        <v>4</v>
      </c>
      <c r="E22">
        <f t="shared" si="1"/>
        <v>94.99</v>
      </c>
      <c r="F22" t="e">
        <f t="shared" si="2"/>
        <v>#N/A</v>
      </c>
      <c r="G22" t="e">
        <f t="shared" si="3"/>
        <v>#N/A</v>
      </c>
    </row>
    <row r="23" spans="1:7" x14ac:dyDescent="0.2">
      <c r="A23">
        <v>1</v>
      </c>
      <c r="B23">
        <v>111.32</v>
      </c>
      <c r="C23">
        <v>1</v>
      </c>
      <c r="D23" t="e">
        <f t="shared" si="0"/>
        <v>#N/A</v>
      </c>
      <c r="E23" t="e">
        <f t="shared" si="1"/>
        <v>#N/A</v>
      </c>
      <c r="F23">
        <f t="shared" si="2"/>
        <v>1</v>
      </c>
      <c r="G23">
        <f t="shared" si="3"/>
        <v>111.32</v>
      </c>
    </row>
    <row r="24" spans="1:7" x14ac:dyDescent="0.2">
      <c r="A24">
        <v>0</v>
      </c>
      <c r="B24">
        <v>78.510000000000005</v>
      </c>
      <c r="C24">
        <v>1</v>
      </c>
      <c r="D24" t="e">
        <f t="shared" si="0"/>
        <v>#N/A</v>
      </c>
      <c r="E24" t="e">
        <f t="shared" si="1"/>
        <v>#N/A</v>
      </c>
      <c r="F24">
        <f t="shared" si="2"/>
        <v>0</v>
      </c>
      <c r="G24">
        <f t="shared" si="3"/>
        <v>78.510000000000005</v>
      </c>
    </row>
    <row r="25" spans="1:7" x14ac:dyDescent="0.2">
      <c r="A25">
        <v>1</v>
      </c>
      <c r="B25">
        <v>92.61</v>
      </c>
      <c r="C25">
        <v>0</v>
      </c>
      <c r="D25">
        <f t="shared" si="0"/>
        <v>1</v>
      </c>
      <c r="E25">
        <f t="shared" si="1"/>
        <v>92.61</v>
      </c>
      <c r="F25" t="e">
        <f t="shared" si="2"/>
        <v>#N/A</v>
      </c>
      <c r="G25" t="e">
        <f t="shared" si="3"/>
        <v>#N/A</v>
      </c>
    </row>
    <row r="26" spans="1:7" x14ac:dyDescent="0.2">
      <c r="A26">
        <v>1</v>
      </c>
      <c r="B26">
        <v>95.71</v>
      </c>
      <c r="C26">
        <v>0</v>
      </c>
      <c r="D26">
        <f t="shared" si="0"/>
        <v>1</v>
      </c>
      <c r="E26">
        <f t="shared" si="1"/>
        <v>95.71</v>
      </c>
      <c r="F26" t="e">
        <f t="shared" si="2"/>
        <v>#N/A</v>
      </c>
      <c r="G26" t="e">
        <f t="shared" si="3"/>
        <v>#N/A</v>
      </c>
    </row>
    <row r="27" spans="1:7" x14ac:dyDescent="0.2">
      <c r="A27">
        <v>4</v>
      </c>
      <c r="B27">
        <v>57.79</v>
      </c>
      <c r="C27">
        <v>0</v>
      </c>
      <c r="D27">
        <f t="shared" si="0"/>
        <v>4</v>
      </c>
      <c r="E27">
        <f t="shared" si="1"/>
        <v>57.79</v>
      </c>
      <c r="F27" t="e">
        <f t="shared" si="2"/>
        <v>#N/A</v>
      </c>
      <c r="G27" t="e">
        <f t="shared" si="3"/>
        <v>#N/A</v>
      </c>
    </row>
    <row r="28" spans="1:7" x14ac:dyDescent="0.2">
      <c r="A28">
        <v>1</v>
      </c>
      <c r="B28">
        <v>44.11</v>
      </c>
      <c r="C28">
        <v>0</v>
      </c>
      <c r="D28">
        <f t="shared" si="0"/>
        <v>1</v>
      </c>
      <c r="E28">
        <f t="shared" si="1"/>
        <v>44.11</v>
      </c>
      <c r="F28" t="e">
        <f t="shared" si="2"/>
        <v>#N/A</v>
      </c>
      <c r="G28" t="e">
        <f t="shared" si="3"/>
        <v>#N/A</v>
      </c>
    </row>
    <row r="29" spans="1:7" x14ac:dyDescent="0.2">
      <c r="A29">
        <v>2</v>
      </c>
      <c r="B29">
        <v>40.5</v>
      </c>
      <c r="C29">
        <v>0</v>
      </c>
      <c r="D29">
        <f t="shared" si="0"/>
        <v>2</v>
      </c>
      <c r="E29">
        <f t="shared" si="1"/>
        <v>40.5</v>
      </c>
      <c r="F29" t="e">
        <f t="shared" si="2"/>
        <v>#N/A</v>
      </c>
      <c r="G29" t="e">
        <f t="shared" si="3"/>
        <v>#N/A</v>
      </c>
    </row>
    <row r="30" spans="1:7" x14ac:dyDescent="0.2">
      <c r="A30">
        <v>1</v>
      </c>
      <c r="B30">
        <v>45.14</v>
      </c>
      <c r="C30">
        <v>0</v>
      </c>
      <c r="D30">
        <f t="shared" si="0"/>
        <v>1</v>
      </c>
      <c r="E30">
        <f t="shared" si="1"/>
        <v>45.14</v>
      </c>
      <c r="F30" t="e">
        <f t="shared" si="2"/>
        <v>#N/A</v>
      </c>
      <c r="G30" t="e">
        <f t="shared" si="3"/>
        <v>#N/A</v>
      </c>
    </row>
    <row r="31" spans="1:7" x14ac:dyDescent="0.2">
      <c r="A31">
        <v>1</v>
      </c>
      <c r="B31">
        <v>47.47</v>
      </c>
      <c r="C31">
        <v>1</v>
      </c>
      <c r="D31" t="e">
        <f t="shared" si="0"/>
        <v>#N/A</v>
      </c>
      <c r="E31" t="e">
        <f t="shared" si="1"/>
        <v>#N/A</v>
      </c>
      <c r="F31">
        <f t="shared" si="2"/>
        <v>1</v>
      </c>
      <c r="G31">
        <f t="shared" si="3"/>
        <v>47.47</v>
      </c>
    </row>
    <row r="32" spans="1:7" x14ac:dyDescent="0.2">
      <c r="A32">
        <v>2</v>
      </c>
      <c r="B32">
        <v>40.72</v>
      </c>
      <c r="C32">
        <v>1</v>
      </c>
      <c r="D32" t="e">
        <f t="shared" si="0"/>
        <v>#N/A</v>
      </c>
      <c r="E32" t="e">
        <f t="shared" si="1"/>
        <v>#N/A</v>
      </c>
      <c r="F32">
        <f t="shared" si="2"/>
        <v>2</v>
      </c>
      <c r="G32">
        <f t="shared" si="3"/>
        <v>40.72</v>
      </c>
    </row>
    <row r="33" spans="1:7" x14ac:dyDescent="0.2">
      <c r="A33">
        <v>2</v>
      </c>
      <c r="B33">
        <v>107.82</v>
      </c>
      <c r="C33">
        <v>0</v>
      </c>
      <c r="D33">
        <f t="shared" si="0"/>
        <v>2</v>
      </c>
      <c r="E33">
        <f t="shared" si="1"/>
        <v>107.82</v>
      </c>
      <c r="F33" t="e">
        <f t="shared" si="2"/>
        <v>#N/A</v>
      </c>
      <c r="G33" t="e">
        <f t="shared" si="3"/>
        <v>#N/A</v>
      </c>
    </row>
    <row r="34" spans="1:7" x14ac:dyDescent="0.2">
      <c r="A34">
        <v>4</v>
      </c>
      <c r="B34">
        <v>95.7</v>
      </c>
      <c r="C34">
        <v>0</v>
      </c>
      <c r="D34">
        <f t="shared" si="0"/>
        <v>4</v>
      </c>
      <c r="E34">
        <f t="shared" si="1"/>
        <v>95.7</v>
      </c>
      <c r="F34" t="e">
        <f t="shared" si="2"/>
        <v>#N/A</v>
      </c>
      <c r="G34" t="e">
        <f t="shared" si="3"/>
        <v>#N/A</v>
      </c>
    </row>
    <row r="35" spans="1:7" x14ac:dyDescent="0.2">
      <c r="A35">
        <v>5</v>
      </c>
      <c r="B35">
        <v>24.69</v>
      </c>
      <c r="C35">
        <v>1</v>
      </c>
      <c r="D35" t="e">
        <f t="shared" si="0"/>
        <v>#N/A</v>
      </c>
      <c r="E35" t="e">
        <f t="shared" si="1"/>
        <v>#N/A</v>
      </c>
      <c r="F35">
        <f t="shared" si="2"/>
        <v>5</v>
      </c>
      <c r="G35">
        <f t="shared" si="3"/>
        <v>24.69</v>
      </c>
    </row>
    <row r="36" spans="1:7" x14ac:dyDescent="0.2">
      <c r="A36">
        <v>0</v>
      </c>
      <c r="B36">
        <v>46.87</v>
      </c>
      <c r="C36">
        <v>1</v>
      </c>
      <c r="D36" t="e">
        <f t="shared" si="0"/>
        <v>#N/A</v>
      </c>
      <c r="E36" t="e">
        <f t="shared" si="1"/>
        <v>#N/A</v>
      </c>
      <c r="F36">
        <f t="shared" si="2"/>
        <v>0</v>
      </c>
      <c r="G36">
        <f t="shared" si="3"/>
        <v>46.87</v>
      </c>
    </row>
    <row r="37" spans="1:7" x14ac:dyDescent="0.2">
      <c r="A37">
        <v>1</v>
      </c>
      <c r="B37">
        <v>22.22</v>
      </c>
      <c r="C37">
        <v>0</v>
      </c>
      <c r="D37">
        <f t="shared" si="0"/>
        <v>1</v>
      </c>
      <c r="E37">
        <f t="shared" si="1"/>
        <v>22.22</v>
      </c>
      <c r="F37" t="e">
        <f t="shared" si="2"/>
        <v>#N/A</v>
      </c>
      <c r="G37" t="e">
        <f t="shared" si="3"/>
        <v>#N/A</v>
      </c>
    </row>
    <row r="38" spans="1:7" x14ac:dyDescent="0.2">
      <c r="A38">
        <v>1</v>
      </c>
      <c r="B38">
        <v>69.819999999999993</v>
      </c>
      <c r="C38">
        <v>0</v>
      </c>
      <c r="D38">
        <f t="shared" si="0"/>
        <v>1</v>
      </c>
      <c r="E38">
        <f t="shared" si="1"/>
        <v>69.819999999999993</v>
      </c>
      <c r="F38" t="e">
        <f t="shared" si="2"/>
        <v>#N/A</v>
      </c>
      <c r="G38" t="e">
        <f t="shared" si="3"/>
        <v>#N/A</v>
      </c>
    </row>
    <row r="39" spans="1:7" x14ac:dyDescent="0.2">
      <c r="A39">
        <v>3</v>
      </c>
      <c r="B39">
        <v>67.62</v>
      </c>
      <c r="C39">
        <v>0</v>
      </c>
      <c r="D39">
        <f t="shared" si="0"/>
        <v>3</v>
      </c>
      <c r="E39">
        <f t="shared" si="1"/>
        <v>67.62</v>
      </c>
      <c r="F39" t="e">
        <f t="shared" si="2"/>
        <v>#N/A</v>
      </c>
      <c r="G39" t="e">
        <f t="shared" si="3"/>
        <v>#N/A</v>
      </c>
    </row>
    <row r="40" spans="1:7" x14ac:dyDescent="0.2">
      <c r="A40">
        <v>2</v>
      </c>
      <c r="B40">
        <v>103.14</v>
      </c>
      <c r="C40">
        <v>1</v>
      </c>
      <c r="D40" t="e">
        <f t="shared" si="0"/>
        <v>#N/A</v>
      </c>
      <c r="E40" t="e">
        <f t="shared" si="1"/>
        <v>#N/A</v>
      </c>
      <c r="F40">
        <f t="shared" si="2"/>
        <v>2</v>
      </c>
      <c r="G40">
        <f t="shared" si="3"/>
        <v>103.14</v>
      </c>
    </row>
    <row r="41" spans="1:7" x14ac:dyDescent="0.2">
      <c r="A41">
        <v>2</v>
      </c>
      <c r="B41">
        <v>50.78</v>
      </c>
      <c r="C41">
        <v>0</v>
      </c>
      <c r="D41">
        <f t="shared" si="0"/>
        <v>2</v>
      </c>
      <c r="E41">
        <f t="shared" si="1"/>
        <v>50.78</v>
      </c>
      <c r="F41" t="e">
        <f t="shared" si="2"/>
        <v>#N/A</v>
      </c>
      <c r="G41" t="e">
        <f t="shared" si="3"/>
        <v>#N/A</v>
      </c>
    </row>
    <row r="42" spans="1:7" x14ac:dyDescent="0.2">
      <c r="A42">
        <v>3</v>
      </c>
      <c r="B42">
        <v>101.64</v>
      </c>
      <c r="C42">
        <v>1</v>
      </c>
      <c r="D42" t="e">
        <f t="shared" si="0"/>
        <v>#N/A</v>
      </c>
      <c r="E42" t="e">
        <f t="shared" si="1"/>
        <v>#N/A</v>
      </c>
      <c r="F42">
        <f t="shared" si="2"/>
        <v>3</v>
      </c>
      <c r="G42">
        <f t="shared" si="3"/>
        <v>101.64</v>
      </c>
    </row>
    <row r="43" spans="1:7" x14ac:dyDescent="0.2">
      <c r="A43">
        <v>0</v>
      </c>
      <c r="B43">
        <v>116.8</v>
      </c>
      <c r="C43">
        <v>1</v>
      </c>
      <c r="D43" t="e">
        <f t="shared" si="0"/>
        <v>#N/A</v>
      </c>
      <c r="E43" t="e">
        <f t="shared" si="1"/>
        <v>#N/A</v>
      </c>
      <c r="F43">
        <f t="shared" si="2"/>
        <v>0</v>
      </c>
      <c r="G43">
        <f t="shared" si="3"/>
        <v>116.8</v>
      </c>
    </row>
    <row r="44" spans="1:7" x14ac:dyDescent="0.2">
      <c r="A44">
        <v>2</v>
      </c>
      <c r="B44">
        <v>28.84</v>
      </c>
      <c r="C44">
        <v>1</v>
      </c>
      <c r="D44" t="e">
        <f t="shared" si="0"/>
        <v>#N/A</v>
      </c>
      <c r="E44" t="e">
        <f t="shared" si="1"/>
        <v>#N/A</v>
      </c>
      <c r="F44">
        <f t="shared" si="2"/>
        <v>2</v>
      </c>
      <c r="G44">
        <f t="shared" si="3"/>
        <v>28.84</v>
      </c>
    </row>
    <row r="45" spans="1:7" x14ac:dyDescent="0.2">
      <c r="A45">
        <v>4</v>
      </c>
      <c r="B45">
        <v>99.18</v>
      </c>
      <c r="C45">
        <v>0</v>
      </c>
      <c r="D45">
        <f t="shared" si="0"/>
        <v>4</v>
      </c>
      <c r="E45">
        <f t="shared" si="1"/>
        <v>99.18</v>
      </c>
      <c r="F45" t="e">
        <f t="shared" si="2"/>
        <v>#N/A</v>
      </c>
      <c r="G45" t="e">
        <f t="shared" si="3"/>
        <v>#N/A</v>
      </c>
    </row>
    <row r="46" spans="1:7" x14ac:dyDescent="0.2">
      <c r="A46">
        <v>5</v>
      </c>
      <c r="B46">
        <v>79</v>
      </c>
      <c r="C46">
        <v>1</v>
      </c>
      <c r="D46" t="e">
        <f t="shared" si="0"/>
        <v>#N/A</v>
      </c>
      <c r="E46" t="e">
        <f t="shared" si="1"/>
        <v>#N/A</v>
      </c>
      <c r="F46">
        <f t="shared" si="2"/>
        <v>5</v>
      </c>
      <c r="G46">
        <f t="shared" si="3"/>
        <v>79</v>
      </c>
    </row>
    <row r="47" spans="1:7" x14ac:dyDescent="0.2">
      <c r="A47">
        <v>4</v>
      </c>
      <c r="B47">
        <v>68</v>
      </c>
      <c r="C47">
        <v>0</v>
      </c>
      <c r="D47">
        <f t="shared" si="0"/>
        <v>4</v>
      </c>
      <c r="E47">
        <f t="shared" si="1"/>
        <v>68</v>
      </c>
      <c r="F47" t="e">
        <f t="shared" si="2"/>
        <v>#N/A</v>
      </c>
      <c r="G47" t="e">
        <f t="shared" si="3"/>
        <v>#N/A</v>
      </c>
    </row>
    <row r="48" spans="1:7" x14ac:dyDescent="0.2">
      <c r="A48">
        <v>0</v>
      </c>
      <c r="B48">
        <v>62.05</v>
      </c>
      <c r="C48">
        <v>0</v>
      </c>
      <c r="D48">
        <f t="shared" si="0"/>
        <v>0</v>
      </c>
      <c r="E48">
        <f t="shared" si="1"/>
        <v>62.05</v>
      </c>
      <c r="F48" t="e">
        <f t="shared" si="2"/>
        <v>#N/A</v>
      </c>
      <c r="G48" t="e">
        <f t="shared" si="3"/>
        <v>#N/A</v>
      </c>
    </row>
    <row r="49" spans="1:7" x14ac:dyDescent="0.2">
      <c r="A49">
        <v>1</v>
      </c>
      <c r="B49">
        <v>98.47</v>
      </c>
      <c r="C49">
        <v>1</v>
      </c>
      <c r="D49" t="e">
        <f t="shared" si="0"/>
        <v>#N/A</v>
      </c>
      <c r="E49" t="e">
        <f t="shared" si="1"/>
        <v>#N/A</v>
      </c>
      <c r="F49">
        <f t="shared" si="2"/>
        <v>1</v>
      </c>
      <c r="G49">
        <f t="shared" si="3"/>
        <v>98.47</v>
      </c>
    </row>
    <row r="50" spans="1:7" x14ac:dyDescent="0.2">
      <c r="A50">
        <v>3</v>
      </c>
      <c r="B50">
        <v>83.94</v>
      </c>
      <c r="C50">
        <v>0</v>
      </c>
      <c r="D50">
        <f t="shared" si="0"/>
        <v>3</v>
      </c>
      <c r="E50">
        <f t="shared" si="1"/>
        <v>83.94</v>
      </c>
      <c r="F50" t="e">
        <f t="shared" si="2"/>
        <v>#N/A</v>
      </c>
      <c r="G50" t="e">
        <f t="shared" si="3"/>
        <v>#N/A</v>
      </c>
    </row>
    <row r="51" spans="1:7" x14ac:dyDescent="0.2">
      <c r="A51">
        <v>2</v>
      </c>
      <c r="B51">
        <v>100.5</v>
      </c>
      <c r="C51">
        <v>1</v>
      </c>
      <c r="D51" t="e">
        <f t="shared" si="0"/>
        <v>#N/A</v>
      </c>
      <c r="E51" t="e">
        <f t="shared" si="1"/>
        <v>#N/A</v>
      </c>
      <c r="F51">
        <f t="shared" si="2"/>
        <v>2</v>
      </c>
      <c r="G51">
        <f t="shared" si="3"/>
        <v>100.5</v>
      </c>
    </row>
    <row r="52" spans="1:7" x14ac:dyDescent="0.2">
      <c r="A52">
        <v>3</v>
      </c>
      <c r="B52">
        <v>110.32</v>
      </c>
      <c r="C52">
        <v>0</v>
      </c>
      <c r="D52">
        <f t="shared" si="0"/>
        <v>3</v>
      </c>
      <c r="E52">
        <f t="shared" si="1"/>
        <v>110.32</v>
      </c>
      <c r="F52" t="e">
        <f t="shared" si="2"/>
        <v>#N/A</v>
      </c>
      <c r="G52" t="e">
        <f t="shared" si="3"/>
        <v>#N/A</v>
      </c>
    </row>
    <row r="53" spans="1:7" x14ac:dyDescent="0.2">
      <c r="A53">
        <v>1</v>
      </c>
      <c r="B53">
        <v>81.73</v>
      </c>
      <c r="C53">
        <v>0</v>
      </c>
      <c r="D53">
        <f t="shared" si="0"/>
        <v>1</v>
      </c>
      <c r="E53">
        <f t="shared" si="1"/>
        <v>81.73</v>
      </c>
      <c r="F53" t="e">
        <f t="shared" si="2"/>
        <v>#N/A</v>
      </c>
      <c r="G53" t="e">
        <f t="shared" si="3"/>
        <v>#N/A</v>
      </c>
    </row>
    <row r="54" spans="1:7" x14ac:dyDescent="0.2">
      <c r="A54">
        <v>2</v>
      </c>
      <c r="B54">
        <v>118.05</v>
      </c>
      <c r="C54">
        <v>0</v>
      </c>
      <c r="D54">
        <f t="shared" si="0"/>
        <v>2</v>
      </c>
      <c r="E54">
        <f t="shared" si="1"/>
        <v>118.05</v>
      </c>
      <c r="F54" t="e">
        <f t="shared" si="2"/>
        <v>#N/A</v>
      </c>
      <c r="G54" t="e">
        <f t="shared" si="3"/>
        <v>#N/A</v>
      </c>
    </row>
    <row r="55" spans="1:7" x14ac:dyDescent="0.2">
      <c r="A55">
        <v>1</v>
      </c>
      <c r="B55">
        <v>80.81</v>
      </c>
      <c r="C55">
        <v>0</v>
      </c>
      <c r="D55">
        <f t="shared" si="0"/>
        <v>1</v>
      </c>
      <c r="E55">
        <f t="shared" si="1"/>
        <v>80.81</v>
      </c>
      <c r="F55" t="e">
        <f t="shared" si="2"/>
        <v>#N/A</v>
      </c>
      <c r="G55" t="e">
        <f t="shared" si="3"/>
        <v>#N/A</v>
      </c>
    </row>
    <row r="56" spans="1:7" x14ac:dyDescent="0.2">
      <c r="A56">
        <v>1</v>
      </c>
      <c r="B56">
        <v>83.66</v>
      </c>
      <c r="C56">
        <v>1</v>
      </c>
      <c r="D56" t="e">
        <f t="shared" si="0"/>
        <v>#N/A</v>
      </c>
      <c r="E56" t="e">
        <f t="shared" si="1"/>
        <v>#N/A</v>
      </c>
      <c r="F56">
        <f t="shared" si="2"/>
        <v>1</v>
      </c>
      <c r="G56">
        <f t="shared" si="3"/>
        <v>83.66</v>
      </c>
    </row>
    <row r="57" spans="1:7" x14ac:dyDescent="0.2">
      <c r="A57">
        <v>1</v>
      </c>
      <c r="B57">
        <v>75.48</v>
      </c>
      <c r="C57">
        <v>1</v>
      </c>
      <c r="D57" t="e">
        <f t="shared" si="0"/>
        <v>#N/A</v>
      </c>
      <c r="E57" t="e">
        <f t="shared" si="1"/>
        <v>#N/A</v>
      </c>
      <c r="F57">
        <f t="shared" si="2"/>
        <v>1</v>
      </c>
      <c r="G57">
        <f t="shared" si="3"/>
        <v>75.48</v>
      </c>
    </row>
    <row r="58" spans="1:7" x14ac:dyDescent="0.2">
      <c r="A58">
        <v>3</v>
      </c>
      <c r="B58">
        <v>29.1</v>
      </c>
      <c r="C58">
        <v>0</v>
      </c>
      <c r="D58">
        <f t="shared" si="0"/>
        <v>3</v>
      </c>
      <c r="E58">
        <f t="shared" si="1"/>
        <v>29.1</v>
      </c>
      <c r="F58" t="e">
        <f t="shared" si="2"/>
        <v>#N/A</v>
      </c>
      <c r="G58" t="e">
        <f t="shared" si="3"/>
        <v>#N/A</v>
      </c>
    </row>
    <row r="59" spans="1:7" x14ac:dyDescent="0.2">
      <c r="A59">
        <v>5</v>
      </c>
      <c r="B59">
        <v>92.64</v>
      </c>
      <c r="C59">
        <v>0</v>
      </c>
      <c r="D59">
        <f t="shared" si="0"/>
        <v>5</v>
      </c>
      <c r="E59">
        <f t="shared" si="1"/>
        <v>92.64</v>
      </c>
      <c r="F59" t="e">
        <f t="shared" si="2"/>
        <v>#N/A</v>
      </c>
      <c r="G59" t="e">
        <f t="shared" si="3"/>
        <v>#N/A</v>
      </c>
    </row>
    <row r="60" spans="1:7" x14ac:dyDescent="0.2">
      <c r="A60">
        <v>2</v>
      </c>
      <c r="B60">
        <v>74.739999999999995</v>
      </c>
      <c r="C60">
        <v>1</v>
      </c>
      <c r="D60" t="e">
        <f t="shared" si="0"/>
        <v>#N/A</v>
      </c>
      <c r="E60" t="e">
        <f t="shared" si="1"/>
        <v>#N/A</v>
      </c>
      <c r="F60">
        <f t="shared" si="2"/>
        <v>2</v>
      </c>
      <c r="G60">
        <f t="shared" si="3"/>
        <v>74.739999999999995</v>
      </c>
    </row>
    <row r="61" spans="1:7" x14ac:dyDescent="0.2">
      <c r="A61">
        <v>3</v>
      </c>
      <c r="B61">
        <v>65.09</v>
      </c>
      <c r="C61">
        <v>0</v>
      </c>
      <c r="D61">
        <f t="shared" si="0"/>
        <v>3</v>
      </c>
      <c r="E61">
        <f t="shared" si="1"/>
        <v>65.09</v>
      </c>
      <c r="F61" t="e">
        <f t="shared" si="2"/>
        <v>#N/A</v>
      </c>
      <c r="G61" t="e">
        <f t="shared" si="3"/>
        <v>#N/A</v>
      </c>
    </row>
    <row r="62" spans="1:7" x14ac:dyDescent="0.2">
      <c r="A62">
        <v>3</v>
      </c>
      <c r="B62">
        <v>111.05</v>
      </c>
      <c r="C62">
        <v>1</v>
      </c>
      <c r="D62" t="e">
        <f t="shared" si="0"/>
        <v>#N/A</v>
      </c>
      <c r="E62" t="e">
        <f t="shared" si="1"/>
        <v>#N/A</v>
      </c>
      <c r="F62">
        <f t="shared" si="2"/>
        <v>3</v>
      </c>
      <c r="G62">
        <f t="shared" si="3"/>
        <v>111.05</v>
      </c>
    </row>
    <row r="63" spans="1:7" x14ac:dyDescent="0.2">
      <c r="A63">
        <v>3</v>
      </c>
      <c r="B63">
        <v>49.8</v>
      </c>
      <c r="C63">
        <v>0</v>
      </c>
      <c r="D63">
        <f t="shared" si="0"/>
        <v>3</v>
      </c>
      <c r="E63">
        <f t="shared" si="1"/>
        <v>49.8</v>
      </c>
      <c r="F63" t="e">
        <f t="shared" si="2"/>
        <v>#N/A</v>
      </c>
      <c r="G63" t="e">
        <f t="shared" si="3"/>
        <v>#N/A</v>
      </c>
    </row>
    <row r="64" spans="1:7" x14ac:dyDescent="0.2">
      <c r="A64">
        <v>3</v>
      </c>
      <c r="B64">
        <v>72.36</v>
      </c>
      <c r="C64">
        <v>1</v>
      </c>
      <c r="D64" t="e">
        <f t="shared" si="0"/>
        <v>#N/A</v>
      </c>
      <c r="E64" t="e">
        <f t="shared" si="1"/>
        <v>#N/A</v>
      </c>
      <c r="F64">
        <f t="shared" si="2"/>
        <v>3</v>
      </c>
      <c r="G64">
        <f t="shared" si="3"/>
        <v>72.36</v>
      </c>
    </row>
    <row r="65" spans="1:7" x14ac:dyDescent="0.2">
      <c r="A65">
        <v>2</v>
      </c>
      <c r="B65">
        <v>89.76</v>
      </c>
      <c r="C65">
        <v>0</v>
      </c>
      <c r="D65">
        <f t="shared" si="0"/>
        <v>2</v>
      </c>
      <c r="E65">
        <f t="shared" si="1"/>
        <v>89.76</v>
      </c>
      <c r="F65" t="e">
        <f t="shared" si="2"/>
        <v>#N/A</v>
      </c>
      <c r="G65" t="e">
        <f t="shared" si="3"/>
        <v>#N/A</v>
      </c>
    </row>
    <row r="66" spans="1:7" x14ac:dyDescent="0.2">
      <c r="A66">
        <v>0</v>
      </c>
      <c r="B66">
        <v>99.65</v>
      </c>
      <c r="C66">
        <v>1</v>
      </c>
      <c r="D66" t="e">
        <f t="shared" si="0"/>
        <v>#N/A</v>
      </c>
      <c r="E66" t="e">
        <f t="shared" si="1"/>
        <v>#N/A</v>
      </c>
      <c r="F66">
        <f t="shared" si="2"/>
        <v>0</v>
      </c>
      <c r="G66">
        <f t="shared" si="3"/>
        <v>99.65</v>
      </c>
    </row>
    <row r="67" spans="1:7" x14ac:dyDescent="0.2">
      <c r="A67">
        <v>1</v>
      </c>
      <c r="B67">
        <v>65.930000000000007</v>
      </c>
      <c r="C67">
        <v>1</v>
      </c>
      <c r="D67" t="e">
        <f t="shared" ref="D67:D130" si="4" xml:space="preserve"> IF($C67=0, $A67, NA())</f>
        <v>#N/A</v>
      </c>
      <c r="E67" t="e">
        <f t="shared" ref="E67:E130" si="5" xml:space="preserve"> IF($C67=0, B67, NA())</f>
        <v>#N/A</v>
      </c>
      <c r="F67">
        <f t="shared" ref="F67:F130" si="6" xml:space="preserve"> IF($C67=1, A67, NA())</f>
        <v>1</v>
      </c>
      <c r="G67">
        <f t="shared" ref="G67:G130" si="7" xml:space="preserve"> IF($C67=1, $B67, NA())</f>
        <v>65.930000000000007</v>
      </c>
    </row>
    <row r="68" spans="1:7" x14ac:dyDescent="0.2">
      <c r="A68">
        <v>3</v>
      </c>
      <c r="B68">
        <v>104.21</v>
      </c>
      <c r="C68">
        <v>1</v>
      </c>
      <c r="D68" t="e">
        <f t="shared" si="4"/>
        <v>#N/A</v>
      </c>
      <c r="E68" t="e">
        <f t="shared" si="5"/>
        <v>#N/A</v>
      </c>
      <c r="F68">
        <f t="shared" si="6"/>
        <v>3</v>
      </c>
      <c r="G68">
        <f t="shared" si="7"/>
        <v>104.21</v>
      </c>
    </row>
    <row r="69" spans="1:7" x14ac:dyDescent="0.2">
      <c r="A69">
        <v>0</v>
      </c>
      <c r="B69">
        <v>96.89</v>
      </c>
      <c r="C69">
        <v>1</v>
      </c>
      <c r="D69" t="e">
        <f t="shared" si="4"/>
        <v>#N/A</v>
      </c>
      <c r="E69" t="e">
        <f t="shared" si="5"/>
        <v>#N/A</v>
      </c>
      <c r="F69">
        <f t="shared" si="6"/>
        <v>0</v>
      </c>
      <c r="G69">
        <f t="shared" si="7"/>
        <v>96.89</v>
      </c>
    </row>
    <row r="70" spans="1:7" x14ac:dyDescent="0.2">
      <c r="A70">
        <v>2</v>
      </c>
      <c r="B70">
        <v>26.62</v>
      </c>
      <c r="C70">
        <v>0</v>
      </c>
      <c r="D70">
        <f t="shared" si="4"/>
        <v>2</v>
      </c>
      <c r="E70">
        <f t="shared" si="5"/>
        <v>26.62</v>
      </c>
      <c r="F70" t="e">
        <f t="shared" si="6"/>
        <v>#N/A</v>
      </c>
      <c r="G70" t="e">
        <f t="shared" si="7"/>
        <v>#N/A</v>
      </c>
    </row>
    <row r="71" spans="1:7" x14ac:dyDescent="0.2">
      <c r="A71">
        <v>1</v>
      </c>
      <c r="B71">
        <v>24.59</v>
      </c>
      <c r="C71">
        <v>1</v>
      </c>
      <c r="D71" t="e">
        <f t="shared" si="4"/>
        <v>#N/A</v>
      </c>
      <c r="E71" t="e">
        <f t="shared" si="5"/>
        <v>#N/A</v>
      </c>
      <c r="F71">
        <f t="shared" si="6"/>
        <v>1</v>
      </c>
      <c r="G71">
        <f t="shared" si="7"/>
        <v>24.59</v>
      </c>
    </row>
    <row r="72" spans="1:7" x14ac:dyDescent="0.2">
      <c r="A72">
        <v>3</v>
      </c>
      <c r="B72">
        <v>82.08</v>
      </c>
      <c r="C72">
        <v>0</v>
      </c>
      <c r="D72">
        <f t="shared" si="4"/>
        <v>3</v>
      </c>
      <c r="E72">
        <f t="shared" si="5"/>
        <v>82.08</v>
      </c>
      <c r="F72" t="e">
        <f t="shared" si="6"/>
        <v>#N/A</v>
      </c>
      <c r="G72" t="e">
        <f t="shared" si="7"/>
        <v>#N/A</v>
      </c>
    </row>
    <row r="73" spans="1:7" x14ac:dyDescent="0.2">
      <c r="A73">
        <v>2</v>
      </c>
      <c r="B73">
        <v>54.74</v>
      </c>
      <c r="C73">
        <v>1</v>
      </c>
      <c r="D73" t="e">
        <f t="shared" si="4"/>
        <v>#N/A</v>
      </c>
      <c r="E73" t="e">
        <f t="shared" si="5"/>
        <v>#N/A</v>
      </c>
      <c r="F73">
        <f t="shared" si="6"/>
        <v>2</v>
      </c>
      <c r="G73">
        <f t="shared" si="7"/>
        <v>54.74</v>
      </c>
    </row>
    <row r="74" spans="1:7" x14ac:dyDescent="0.2">
      <c r="A74">
        <v>2</v>
      </c>
      <c r="B74">
        <v>40.909999999999997</v>
      </c>
      <c r="C74">
        <v>1</v>
      </c>
      <c r="D74" t="e">
        <f t="shared" si="4"/>
        <v>#N/A</v>
      </c>
      <c r="E74" t="e">
        <f t="shared" si="5"/>
        <v>#N/A</v>
      </c>
      <c r="F74">
        <f t="shared" si="6"/>
        <v>2</v>
      </c>
      <c r="G74">
        <f t="shared" si="7"/>
        <v>40.909999999999997</v>
      </c>
    </row>
    <row r="75" spans="1:7" x14ac:dyDescent="0.2">
      <c r="A75">
        <v>1</v>
      </c>
      <c r="B75">
        <v>77.959999999999994</v>
      </c>
      <c r="C75">
        <v>1</v>
      </c>
      <c r="D75" t="e">
        <f t="shared" si="4"/>
        <v>#N/A</v>
      </c>
      <c r="E75" t="e">
        <f t="shared" si="5"/>
        <v>#N/A</v>
      </c>
      <c r="F75">
        <f t="shared" si="6"/>
        <v>1</v>
      </c>
      <c r="G75">
        <f t="shared" si="7"/>
        <v>77.959999999999994</v>
      </c>
    </row>
    <row r="76" spans="1:7" x14ac:dyDescent="0.2">
      <c r="A76">
        <v>3</v>
      </c>
      <c r="B76">
        <v>54.16</v>
      </c>
      <c r="C76">
        <v>1</v>
      </c>
      <c r="D76" t="e">
        <f t="shared" si="4"/>
        <v>#N/A</v>
      </c>
      <c r="E76" t="e">
        <f t="shared" si="5"/>
        <v>#N/A</v>
      </c>
      <c r="F76">
        <f t="shared" si="6"/>
        <v>3</v>
      </c>
      <c r="G76">
        <f t="shared" si="7"/>
        <v>54.16</v>
      </c>
    </row>
    <row r="77" spans="1:7" x14ac:dyDescent="0.2">
      <c r="A77">
        <v>2</v>
      </c>
      <c r="B77">
        <v>73.73</v>
      </c>
      <c r="C77">
        <v>1</v>
      </c>
      <c r="D77" t="e">
        <f t="shared" si="4"/>
        <v>#N/A</v>
      </c>
      <c r="E77" t="e">
        <f t="shared" si="5"/>
        <v>#N/A</v>
      </c>
      <c r="F77">
        <f t="shared" si="6"/>
        <v>2</v>
      </c>
      <c r="G77">
        <f t="shared" si="7"/>
        <v>73.73</v>
      </c>
    </row>
    <row r="78" spans="1:7" x14ac:dyDescent="0.2">
      <c r="A78">
        <v>3</v>
      </c>
      <c r="B78">
        <v>66.010000000000005</v>
      </c>
      <c r="C78">
        <v>0</v>
      </c>
      <c r="D78">
        <f t="shared" si="4"/>
        <v>3</v>
      </c>
      <c r="E78">
        <f t="shared" si="5"/>
        <v>66.010000000000005</v>
      </c>
      <c r="F78" t="e">
        <f t="shared" si="6"/>
        <v>#N/A</v>
      </c>
      <c r="G78" t="e">
        <f t="shared" si="7"/>
        <v>#N/A</v>
      </c>
    </row>
    <row r="79" spans="1:7" x14ac:dyDescent="0.2">
      <c r="A79">
        <v>3</v>
      </c>
      <c r="B79">
        <v>78.48</v>
      </c>
      <c r="C79">
        <v>0</v>
      </c>
      <c r="D79">
        <f t="shared" si="4"/>
        <v>3</v>
      </c>
      <c r="E79">
        <f t="shared" si="5"/>
        <v>78.48</v>
      </c>
      <c r="F79" t="e">
        <f t="shared" si="6"/>
        <v>#N/A</v>
      </c>
      <c r="G79" t="e">
        <f t="shared" si="7"/>
        <v>#N/A</v>
      </c>
    </row>
    <row r="80" spans="1:7" x14ac:dyDescent="0.2">
      <c r="A80">
        <v>1</v>
      </c>
      <c r="B80">
        <v>60.03</v>
      </c>
      <c r="C80">
        <v>1</v>
      </c>
      <c r="D80" t="e">
        <f t="shared" si="4"/>
        <v>#N/A</v>
      </c>
      <c r="E80" t="e">
        <f t="shared" si="5"/>
        <v>#N/A</v>
      </c>
      <c r="F80">
        <f t="shared" si="6"/>
        <v>1</v>
      </c>
      <c r="G80">
        <f t="shared" si="7"/>
        <v>60.03</v>
      </c>
    </row>
    <row r="81" spans="1:7" x14ac:dyDescent="0.2">
      <c r="A81">
        <v>1</v>
      </c>
      <c r="B81">
        <v>89.77</v>
      </c>
      <c r="C81">
        <v>0</v>
      </c>
      <c r="D81">
        <f t="shared" si="4"/>
        <v>1</v>
      </c>
      <c r="E81">
        <f t="shared" si="5"/>
        <v>89.77</v>
      </c>
      <c r="F81" t="e">
        <f t="shared" si="6"/>
        <v>#N/A</v>
      </c>
      <c r="G81" t="e">
        <f t="shared" si="7"/>
        <v>#N/A</v>
      </c>
    </row>
    <row r="82" spans="1:7" x14ac:dyDescent="0.2">
      <c r="A82">
        <v>2</v>
      </c>
      <c r="B82">
        <v>38.01</v>
      </c>
      <c r="C82">
        <v>1</v>
      </c>
      <c r="D82" t="e">
        <f t="shared" si="4"/>
        <v>#N/A</v>
      </c>
      <c r="E82" t="e">
        <f t="shared" si="5"/>
        <v>#N/A</v>
      </c>
      <c r="F82">
        <f t="shared" si="6"/>
        <v>2</v>
      </c>
      <c r="G82">
        <f t="shared" si="7"/>
        <v>38.01</v>
      </c>
    </row>
    <row r="83" spans="1:7" x14ac:dyDescent="0.2">
      <c r="A83">
        <v>0</v>
      </c>
      <c r="B83">
        <v>89.65</v>
      </c>
      <c r="C83">
        <v>1</v>
      </c>
      <c r="D83" t="e">
        <f t="shared" si="4"/>
        <v>#N/A</v>
      </c>
      <c r="E83" t="e">
        <f t="shared" si="5"/>
        <v>#N/A</v>
      </c>
      <c r="F83">
        <f t="shared" si="6"/>
        <v>0</v>
      </c>
      <c r="G83">
        <f t="shared" si="7"/>
        <v>89.65</v>
      </c>
    </row>
    <row r="84" spans="1:7" x14ac:dyDescent="0.2">
      <c r="A84">
        <v>0</v>
      </c>
      <c r="B84">
        <v>61.17</v>
      </c>
      <c r="C84">
        <v>0</v>
      </c>
      <c r="D84">
        <f t="shared" si="4"/>
        <v>0</v>
      </c>
      <c r="E84">
        <f t="shared" si="5"/>
        <v>61.17</v>
      </c>
      <c r="F84" t="e">
        <f t="shared" si="6"/>
        <v>#N/A</v>
      </c>
      <c r="G84" t="e">
        <f t="shared" si="7"/>
        <v>#N/A</v>
      </c>
    </row>
    <row r="85" spans="1:7" x14ac:dyDescent="0.2">
      <c r="A85">
        <v>3</v>
      </c>
      <c r="B85">
        <v>107.43</v>
      </c>
      <c r="C85">
        <v>0</v>
      </c>
      <c r="D85">
        <f t="shared" si="4"/>
        <v>3</v>
      </c>
      <c r="E85">
        <f t="shared" si="5"/>
        <v>107.43</v>
      </c>
      <c r="F85" t="e">
        <f t="shared" si="6"/>
        <v>#N/A</v>
      </c>
      <c r="G85" t="e">
        <f t="shared" si="7"/>
        <v>#N/A</v>
      </c>
    </row>
    <row r="86" spans="1:7" x14ac:dyDescent="0.2">
      <c r="A86">
        <v>1</v>
      </c>
      <c r="B86">
        <v>71.52</v>
      </c>
      <c r="C86">
        <v>0</v>
      </c>
      <c r="D86">
        <f t="shared" si="4"/>
        <v>1</v>
      </c>
      <c r="E86">
        <f t="shared" si="5"/>
        <v>71.52</v>
      </c>
      <c r="F86" t="e">
        <f t="shared" si="6"/>
        <v>#N/A</v>
      </c>
      <c r="G86" t="e">
        <f t="shared" si="7"/>
        <v>#N/A</v>
      </c>
    </row>
    <row r="87" spans="1:7" x14ac:dyDescent="0.2">
      <c r="A87">
        <v>3</v>
      </c>
      <c r="B87">
        <v>117.31</v>
      </c>
      <c r="C87">
        <v>0</v>
      </c>
      <c r="D87">
        <f t="shared" si="4"/>
        <v>3</v>
      </c>
      <c r="E87">
        <f t="shared" si="5"/>
        <v>117.31</v>
      </c>
      <c r="F87" t="e">
        <f t="shared" si="6"/>
        <v>#N/A</v>
      </c>
      <c r="G87" t="e">
        <f t="shared" si="7"/>
        <v>#N/A</v>
      </c>
    </row>
    <row r="88" spans="1:7" x14ac:dyDescent="0.2">
      <c r="A88">
        <v>2</v>
      </c>
      <c r="B88">
        <v>80.19</v>
      </c>
      <c r="C88">
        <v>1</v>
      </c>
      <c r="D88" t="e">
        <f t="shared" si="4"/>
        <v>#N/A</v>
      </c>
      <c r="E88" t="e">
        <f t="shared" si="5"/>
        <v>#N/A</v>
      </c>
      <c r="F88">
        <f t="shared" si="6"/>
        <v>2</v>
      </c>
      <c r="G88">
        <f t="shared" si="7"/>
        <v>80.19</v>
      </c>
    </row>
    <row r="89" spans="1:7" x14ac:dyDescent="0.2">
      <c r="A89">
        <v>0</v>
      </c>
      <c r="B89">
        <v>42.38</v>
      </c>
      <c r="C89">
        <v>0</v>
      </c>
      <c r="D89">
        <f t="shared" si="4"/>
        <v>0</v>
      </c>
      <c r="E89">
        <f t="shared" si="5"/>
        <v>42.38</v>
      </c>
      <c r="F89" t="e">
        <f t="shared" si="6"/>
        <v>#N/A</v>
      </c>
      <c r="G89" t="e">
        <f t="shared" si="7"/>
        <v>#N/A</v>
      </c>
    </row>
    <row r="90" spans="1:7" x14ac:dyDescent="0.2">
      <c r="A90">
        <v>0</v>
      </c>
      <c r="B90">
        <v>102.18</v>
      </c>
      <c r="C90">
        <v>0</v>
      </c>
      <c r="D90">
        <f t="shared" si="4"/>
        <v>0</v>
      </c>
      <c r="E90">
        <f t="shared" si="5"/>
        <v>102.18</v>
      </c>
      <c r="F90" t="e">
        <f t="shared" si="6"/>
        <v>#N/A</v>
      </c>
      <c r="G90" t="e">
        <f t="shared" si="7"/>
        <v>#N/A</v>
      </c>
    </row>
    <row r="91" spans="1:7" x14ac:dyDescent="0.2">
      <c r="A91">
        <v>1</v>
      </c>
      <c r="B91">
        <v>54.51</v>
      </c>
      <c r="C91">
        <v>1</v>
      </c>
      <c r="D91" t="e">
        <f t="shared" si="4"/>
        <v>#N/A</v>
      </c>
      <c r="E91" t="e">
        <f t="shared" si="5"/>
        <v>#N/A</v>
      </c>
      <c r="F91">
        <f t="shared" si="6"/>
        <v>1</v>
      </c>
      <c r="G91">
        <f t="shared" si="7"/>
        <v>54.51</v>
      </c>
    </row>
    <row r="92" spans="1:7" x14ac:dyDescent="0.2">
      <c r="A92">
        <v>1</v>
      </c>
      <c r="B92">
        <v>54.76</v>
      </c>
      <c r="C92">
        <v>0</v>
      </c>
      <c r="D92">
        <f t="shared" si="4"/>
        <v>1</v>
      </c>
      <c r="E92">
        <f t="shared" si="5"/>
        <v>54.76</v>
      </c>
      <c r="F92" t="e">
        <f t="shared" si="6"/>
        <v>#N/A</v>
      </c>
      <c r="G92" t="e">
        <f t="shared" si="7"/>
        <v>#N/A</v>
      </c>
    </row>
    <row r="93" spans="1:7" x14ac:dyDescent="0.2">
      <c r="A93">
        <v>2</v>
      </c>
      <c r="B93">
        <v>23.18</v>
      </c>
      <c r="C93">
        <v>1</v>
      </c>
      <c r="D93" t="e">
        <f t="shared" si="4"/>
        <v>#N/A</v>
      </c>
      <c r="E93" t="e">
        <f t="shared" si="5"/>
        <v>#N/A</v>
      </c>
      <c r="F93">
        <f t="shared" si="6"/>
        <v>2</v>
      </c>
      <c r="G93">
        <f t="shared" si="7"/>
        <v>23.18</v>
      </c>
    </row>
    <row r="94" spans="1:7" x14ac:dyDescent="0.2">
      <c r="A94">
        <v>2</v>
      </c>
      <c r="B94">
        <v>74.87</v>
      </c>
      <c r="C94">
        <v>1</v>
      </c>
      <c r="D94" t="e">
        <f t="shared" si="4"/>
        <v>#N/A</v>
      </c>
      <c r="E94" t="e">
        <f t="shared" si="5"/>
        <v>#N/A</v>
      </c>
      <c r="F94">
        <f t="shared" si="6"/>
        <v>2</v>
      </c>
      <c r="G94">
        <f t="shared" si="7"/>
        <v>74.87</v>
      </c>
    </row>
    <row r="95" spans="1:7" x14ac:dyDescent="0.2">
      <c r="A95">
        <v>3</v>
      </c>
      <c r="B95">
        <v>73.44</v>
      </c>
      <c r="C95">
        <v>0</v>
      </c>
      <c r="D95">
        <f t="shared" si="4"/>
        <v>3</v>
      </c>
      <c r="E95">
        <f t="shared" si="5"/>
        <v>73.44</v>
      </c>
      <c r="F95" t="e">
        <f t="shared" si="6"/>
        <v>#N/A</v>
      </c>
      <c r="G95" t="e">
        <f t="shared" si="7"/>
        <v>#N/A</v>
      </c>
    </row>
    <row r="96" spans="1:7" x14ac:dyDescent="0.2">
      <c r="A96">
        <v>3</v>
      </c>
      <c r="B96">
        <v>55.6</v>
      </c>
      <c r="C96">
        <v>0</v>
      </c>
      <c r="D96">
        <f t="shared" si="4"/>
        <v>3</v>
      </c>
      <c r="E96">
        <f t="shared" si="5"/>
        <v>55.6</v>
      </c>
      <c r="F96" t="e">
        <f t="shared" si="6"/>
        <v>#N/A</v>
      </c>
      <c r="G96" t="e">
        <f t="shared" si="7"/>
        <v>#N/A</v>
      </c>
    </row>
    <row r="97" spans="1:7" x14ac:dyDescent="0.2">
      <c r="A97">
        <v>0</v>
      </c>
      <c r="B97">
        <v>109.42</v>
      </c>
      <c r="C97">
        <v>1</v>
      </c>
      <c r="D97" t="e">
        <f t="shared" si="4"/>
        <v>#N/A</v>
      </c>
      <c r="E97" t="e">
        <f t="shared" si="5"/>
        <v>#N/A</v>
      </c>
      <c r="F97">
        <f t="shared" si="6"/>
        <v>0</v>
      </c>
      <c r="G97">
        <f t="shared" si="7"/>
        <v>109.42</v>
      </c>
    </row>
    <row r="98" spans="1:7" x14ac:dyDescent="0.2">
      <c r="A98">
        <v>6</v>
      </c>
      <c r="B98">
        <v>32.869999999999997</v>
      </c>
      <c r="C98">
        <v>1</v>
      </c>
      <c r="D98" t="e">
        <f t="shared" si="4"/>
        <v>#N/A</v>
      </c>
      <c r="E98" t="e">
        <f t="shared" si="5"/>
        <v>#N/A</v>
      </c>
      <c r="F98">
        <f t="shared" si="6"/>
        <v>6</v>
      </c>
      <c r="G98">
        <f t="shared" si="7"/>
        <v>32.869999999999997</v>
      </c>
    </row>
    <row r="99" spans="1:7" x14ac:dyDescent="0.2">
      <c r="A99">
        <v>1</v>
      </c>
      <c r="B99">
        <v>53.01</v>
      </c>
      <c r="C99">
        <v>1</v>
      </c>
      <c r="D99" t="e">
        <f t="shared" si="4"/>
        <v>#N/A</v>
      </c>
      <c r="E99" t="e">
        <f t="shared" si="5"/>
        <v>#N/A</v>
      </c>
      <c r="F99">
        <f t="shared" si="6"/>
        <v>1</v>
      </c>
      <c r="G99">
        <f t="shared" si="7"/>
        <v>53.01</v>
      </c>
    </row>
    <row r="100" spans="1:7" x14ac:dyDescent="0.2">
      <c r="A100">
        <v>4</v>
      </c>
      <c r="B100">
        <v>52.16</v>
      </c>
      <c r="C100">
        <v>1</v>
      </c>
      <c r="D100" t="e">
        <f t="shared" si="4"/>
        <v>#N/A</v>
      </c>
      <c r="E100" t="e">
        <f t="shared" si="5"/>
        <v>#N/A</v>
      </c>
      <c r="F100">
        <f t="shared" si="6"/>
        <v>4</v>
      </c>
      <c r="G100">
        <f t="shared" si="7"/>
        <v>52.16</v>
      </c>
    </row>
    <row r="101" spans="1:7" x14ac:dyDescent="0.2">
      <c r="A101">
        <v>0</v>
      </c>
      <c r="B101">
        <v>29.23</v>
      </c>
      <c r="C101">
        <v>0</v>
      </c>
      <c r="D101">
        <f t="shared" si="4"/>
        <v>0</v>
      </c>
      <c r="E101">
        <f t="shared" si="5"/>
        <v>29.23</v>
      </c>
      <c r="F101" t="e">
        <f t="shared" si="6"/>
        <v>#N/A</v>
      </c>
      <c r="G101" t="e">
        <f t="shared" si="7"/>
        <v>#N/A</v>
      </c>
    </row>
    <row r="102" spans="1:7" x14ac:dyDescent="0.2">
      <c r="A102">
        <v>1</v>
      </c>
      <c r="B102">
        <v>68.11</v>
      </c>
      <c r="C102">
        <v>0</v>
      </c>
      <c r="D102">
        <f t="shared" si="4"/>
        <v>1</v>
      </c>
      <c r="E102">
        <f t="shared" si="5"/>
        <v>68.11</v>
      </c>
      <c r="F102" t="e">
        <f t="shared" si="6"/>
        <v>#N/A</v>
      </c>
      <c r="G102" t="e">
        <f t="shared" si="7"/>
        <v>#N/A</v>
      </c>
    </row>
    <row r="103" spans="1:7" x14ac:dyDescent="0.2">
      <c r="A103">
        <v>6</v>
      </c>
      <c r="B103">
        <v>88.78</v>
      </c>
      <c r="C103">
        <v>1</v>
      </c>
      <c r="D103" t="e">
        <f t="shared" si="4"/>
        <v>#N/A</v>
      </c>
      <c r="E103" t="e">
        <f t="shared" si="5"/>
        <v>#N/A</v>
      </c>
      <c r="F103">
        <f t="shared" si="6"/>
        <v>6</v>
      </c>
      <c r="G103">
        <f t="shared" si="7"/>
        <v>88.78</v>
      </c>
    </row>
    <row r="104" spans="1:7" x14ac:dyDescent="0.2">
      <c r="A104">
        <v>2</v>
      </c>
      <c r="B104">
        <v>71.17</v>
      </c>
      <c r="C104">
        <v>1</v>
      </c>
      <c r="D104" t="e">
        <f t="shared" si="4"/>
        <v>#N/A</v>
      </c>
      <c r="E104" t="e">
        <f t="shared" si="5"/>
        <v>#N/A</v>
      </c>
      <c r="F104">
        <f t="shared" si="6"/>
        <v>2</v>
      </c>
      <c r="G104">
        <f t="shared" si="7"/>
        <v>71.17</v>
      </c>
    </row>
    <row r="105" spans="1:7" x14ac:dyDescent="0.2">
      <c r="A105">
        <v>2</v>
      </c>
      <c r="B105">
        <v>35.700000000000003</v>
      </c>
      <c r="C105">
        <v>1</v>
      </c>
      <c r="D105" t="e">
        <f t="shared" si="4"/>
        <v>#N/A</v>
      </c>
      <c r="E105" t="e">
        <f t="shared" si="5"/>
        <v>#N/A</v>
      </c>
      <c r="F105">
        <f t="shared" si="6"/>
        <v>2</v>
      </c>
      <c r="G105">
        <f t="shared" si="7"/>
        <v>35.700000000000003</v>
      </c>
    </row>
    <row r="106" spans="1:7" x14ac:dyDescent="0.2">
      <c r="A106">
        <v>2</v>
      </c>
      <c r="B106">
        <v>57.73</v>
      </c>
      <c r="C106">
        <v>1</v>
      </c>
      <c r="D106" t="e">
        <f t="shared" si="4"/>
        <v>#N/A</v>
      </c>
      <c r="E106" t="e">
        <f t="shared" si="5"/>
        <v>#N/A</v>
      </c>
      <c r="F106">
        <f t="shared" si="6"/>
        <v>2</v>
      </c>
      <c r="G106">
        <f t="shared" si="7"/>
        <v>57.73</v>
      </c>
    </row>
    <row r="107" spans="1:7" x14ac:dyDescent="0.2">
      <c r="A107">
        <v>3</v>
      </c>
      <c r="B107">
        <v>20.260000000000002</v>
      </c>
      <c r="C107">
        <v>0</v>
      </c>
      <c r="D107">
        <f t="shared" si="4"/>
        <v>3</v>
      </c>
      <c r="E107">
        <f t="shared" si="5"/>
        <v>20.260000000000002</v>
      </c>
      <c r="F107" t="e">
        <f t="shared" si="6"/>
        <v>#N/A</v>
      </c>
      <c r="G107" t="e">
        <f t="shared" si="7"/>
        <v>#N/A</v>
      </c>
    </row>
    <row r="108" spans="1:7" x14ac:dyDescent="0.2">
      <c r="A108">
        <v>0</v>
      </c>
      <c r="B108">
        <v>106.83</v>
      </c>
      <c r="C108">
        <v>0</v>
      </c>
      <c r="D108">
        <f t="shared" si="4"/>
        <v>0</v>
      </c>
      <c r="E108">
        <f t="shared" si="5"/>
        <v>106.83</v>
      </c>
      <c r="F108" t="e">
        <f t="shared" si="6"/>
        <v>#N/A</v>
      </c>
      <c r="G108" t="e">
        <f t="shared" si="7"/>
        <v>#N/A</v>
      </c>
    </row>
    <row r="109" spans="1:7" x14ac:dyDescent="0.2">
      <c r="A109">
        <v>1</v>
      </c>
      <c r="B109">
        <v>28.45</v>
      </c>
      <c r="C109">
        <v>0</v>
      </c>
      <c r="D109">
        <f t="shared" si="4"/>
        <v>1</v>
      </c>
      <c r="E109">
        <f t="shared" si="5"/>
        <v>28.45</v>
      </c>
      <c r="F109" t="e">
        <f t="shared" si="6"/>
        <v>#N/A</v>
      </c>
      <c r="G109" t="e">
        <f t="shared" si="7"/>
        <v>#N/A</v>
      </c>
    </row>
    <row r="110" spans="1:7" x14ac:dyDescent="0.2">
      <c r="A110">
        <v>3</v>
      </c>
      <c r="B110">
        <v>79.73</v>
      </c>
      <c r="C110">
        <v>1</v>
      </c>
      <c r="D110" t="e">
        <f t="shared" si="4"/>
        <v>#N/A</v>
      </c>
      <c r="E110" t="e">
        <f t="shared" si="5"/>
        <v>#N/A</v>
      </c>
      <c r="F110">
        <f t="shared" si="6"/>
        <v>3</v>
      </c>
      <c r="G110">
        <f t="shared" si="7"/>
        <v>79.73</v>
      </c>
    </row>
    <row r="111" spans="1:7" x14ac:dyDescent="0.2">
      <c r="A111">
        <v>4</v>
      </c>
      <c r="B111">
        <v>118.63</v>
      </c>
      <c r="C111">
        <v>0</v>
      </c>
      <c r="D111">
        <f t="shared" si="4"/>
        <v>4</v>
      </c>
      <c r="E111">
        <f t="shared" si="5"/>
        <v>118.63</v>
      </c>
      <c r="F111" t="e">
        <f t="shared" si="6"/>
        <v>#N/A</v>
      </c>
      <c r="G111" t="e">
        <f t="shared" si="7"/>
        <v>#N/A</v>
      </c>
    </row>
    <row r="112" spans="1:7" x14ac:dyDescent="0.2">
      <c r="A112">
        <v>1</v>
      </c>
      <c r="B112">
        <v>73.66</v>
      </c>
      <c r="C112">
        <v>0</v>
      </c>
      <c r="D112">
        <f t="shared" si="4"/>
        <v>1</v>
      </c>
      <c r="E112">
        <f t="shared" si="5"/>
        <v>73.66</v>
      </c>
      <c r="F112" t="e">
        <f t="shared" si="6"/>
        <v>#N/A</v>
      </c>
      <c r="G112" t="e">
        <f t="shared" si="7"/>
        <v>#N/A</v>
      </c>
    </row>
    <row r="113" spans="1:7" x14ac:dyDescent="0.2">
      <c r="A113">
        <v>1</v>
      </c>
      <c r="B113">
        <v>112.4</v>
      </c>
      <c r="C113">
        <v>0</v>
      </c>
      <c r="D113">
        <f t="shared" si="4"/>
        <v>1</v>
      </c>
      <c r="E113">
        <f t="shared" si="5"/>
        <v>112.4</v>
      </c>
      <c r="F113" t="e">
        <f t="shared" si="6"/>
        <v>#N/A</v>
      </c>
      <c r="G113" t="e">
        <f t="shared" si="7"/>
        <v>#N/A</v>
      </c>
    </row>
    <row r="114" spans="1:7" x14ac:dyDescent="0.2">
      <c r="A114">
        <v>3</v>
      </c>
      <c r="B114">
        <v>43.61</v>
      </c>
      <c r="C114">
        <v>0</v>
      </c>
      <c r="D114">
        <f t="shared" si="4"/>
        <v>3</v>
      </c>
      <c r="E114">
        <f t="shared" si="5"/>
        <v>43.61</v>
      </c>
      <c r="F114" t="e">
        <f t="shared" si="6"/>
        <v>#N/A</v>
      </c>
      <c r="G114" t="e">
        <f t="shared" si="7"/>
        <v>#N/A</v>
      </c>
    </row>
    <row r="115" spans="1:7" x14ac:dyDescent="0.2">
      <c r="A115">
        <v>4</v>
      </c>
      <c r="B115">
        <v>96</v>
      </c>
      <c r="C115">
        <v>1</v>
      </c>
      <c r="D115" t="e">
        <f t="shared" si="4"/>
        <v>#N/A</v>
      </c>
      <c r="E115" t="e">
        <f t="shared" si="5"/>
        <v>#N/A</v>
      </c>
      <c r="F115">
        <f t="shared" si="6"/>
        <v>4</v>
      </c>
      <c r="G115">
        <f t="shared" si="7"/>
        <v>96</v>
      </c>
    </row>
    <row r="116" spans="1:7" x14ac:dyDescent="0.2">
      <c r="A116">
        <v>3</v>
      </c>
      <c r="B116">
        <v>73.13</v>
      </c>
      <c r="C116">
        <v>0</v>
      </c>
      <c r="D116">
        <f t="shared" si="4"/>
        <v>3</v>
      </c>
      <c r="E116">
        <f t="shared" si="5"/>
        <v>73.13</v>
      </c>
      <c r="F116" t="e">
        <f t="shared" si="6"/>
        <v>#N/A</v>
      </c>
      <c r="G116" t="e">
        <f t="shared" si="7"/>
        <v>#N/A</v>
      </c>
    </row>
    <row r="117" spans="1:7" x14ac:dyDescent="0.2">
      <c r="A117">
        <v>1</v>
      </c>
      <c r="B117">
        <v>92.05</v>
      </c>
      <c r="C117">
        <v>1</v>
      </c>
      <c r="D117" t="e">
        <f t="shared" si="4"/>
        <v>#N/A</v>
      </c>
      <c r="E117" t="e">
        <f t="shared" si="5"/>
        <v>#N/A</v>
      </c>
      <c r="F117">
        <f t="shared" si="6"/>
        <v>1</v>
      </c>
      <c r="G117">
        <f t="shared" si="7"/>
        <v>92.05</v>
      </c>
    </row>
    <row r="118" spans="1:7" x14ac:dyDescent="0.2">
      <c r="A118">
        <v>1</v>
      </c>
      <c r="B118">
        <v>26.23</v>
      </c>
      <c r="C118">
        <v>1</v>
      </c>
      <c r="D118" t="e">
        <f t="shared" si="4"/>
        <v>#N/A</v>
      </c>
      <c r="E118" t="e">
        <f t="shared" si="5"/>
        <v>#N/A</v>
      </c>
      <c r="F118">
        <f t="shared" si="6"/>
        <v>1</v>
      </c>
      <c r="G118">
        <f t="shared" si="7"/>
        <v>26.23</v>
      </c>
    </row>
    <row r="119" spans="1:7" x14ac:dyDescent="0.2">
      <c r="A119">
        <v>4</v>
      </c>
      <c r="B119">
        <v>34.770000000000003</v>
      </c>
      <c r="C119">
        <v>1</v>
      </c>
      <c r="D119" t="e">
        <f t="shared" si="4"/>
        <v>#N/A</v>
      </c>
      <c r="E119" t="e">
        <f t="shared" si="5"/>
        <v>#N/A</v>
      </c>
      <c r="F119">
        <f t="shared" si="6"/>
        <v>4</v>
      </c>
      <c r="G119">
        <f t="shared" si="7"/>
        <v>34.770000000000003</v>
      </c>
    </row>
    <row r="120" spans="1:7" x14ac:dyDescent="0.2">
      <c r="A120">
        <v>0</v>
      </c>
      <c r="B120">
        <v>33.31</v>
      </c>
      <c r="C120">
        <v>0</v>
      </c>
      <c r="D120">
        <f t="shared" si="4"/>
        <v>0</v>
      </c>
      <c r="E120">
        <f t="shared" si="5"/>
        <v>33.31</v>
      </c>
      <c r="F120" t="e">
        <f t="shared" si="6"/>
        <v>#N/A</v>
      </c>
      <c r="G120" t="e">
        <f t="shared" si="7"/>
        <v>#N/A</v>
      </c>
    </row>
    <row r="121" spans="1:7" x14ac:dyDescent="0.2">
      <c r="A121">
        <v>4</v>
      </c>
      <c r="B121">
        <v>88.72</v>
      </c>
      <c r="C121">
        <v>0</v>
      </c>
      <c r="D121">
        <f t="shared" si="4"/>
        <v>4</v>
      </c>
      <c r="E121">
        <f t="shared" si="5"/>
        <v>88.72</v>
      </c>
      <c r="F121" t="e">
        <f t="shared" si="6"/>
        <v>#N/A</v>
      </c>
      <c r="G121" t="e">
        <f t="shared" si="7"/>
        <v>#N/A</v>
      </c>
    </row>
    <row r="122" spans="1:7" x14ac:dyDescent="0.2">
      <c r="A122">
        <v>0</v>
      </c>
      <c r="B122">
        <v>104.44</v>
      </c>
      <c r="C122">
        <v>0</v>
      </c>
      <c r="D122">
        <f t="shared" si="4"/>
        <v>0</v>
      </c>
      <c r="E122">
        <f t="shared" si="5"/>
        <v>104.44</v>
      </c>
      <c r="F122" t="e">
        <f t="shared" si="6"/>
        <v>#N/A</v>
      </c>
      <c r="G122" t="e">
        <f t="shared" si="7"/>
        <v>#N/A</v>
      </c>
    </row>
    <row r="123" spans="1:7" x14ac:dyDescent="0.2">
      <c r="A123">
        <v>2</v>
      </c>
      <c r="B123">
        <v>94.96</v>
      </c>
      <c r="C123">
        <v>1</v>
      </c>
      <c r="D123" t="e">
        <f t="shared" si="4"/>
        <v>#N/A</v>
      </c>
      <c r="E123" t="e">
        <f t="shared" si="5"/>
        <v>#N/A</v>
      </c>
      <c r="F123">
        <f t="shared" si="6"/>
        <v>2</v>
      </c>
      <c r="G123">
        <f t="shared" si="7"/>
        <v>94.96</v>
      </c>
    </row>
    <row r="124" spans="1:7" x14ac:dyDescent="0.2">
      <c r="A124">
        <v>2</v>
      </c>
      <c r="B124">
        <v>23.05</v>
      </c>
      <c r="C124">
        <v>0</v>
      </c>
      <c r="D124">
        <f t="shared" si="4"/>
        <v>2</v>
      </c>
      <c r="E124">
        <f t="shared" si="5"/>
        <v>23.05</v>
      </c>
      <c r="F124" t="e">
        <f t="shared" si="6"/>
        <v>#N/A</v>
      </c>
      <c r="G124" t="e">
        <f t="shared" si="7"/>
        <v>#N/A</v>
      </c>
    </row>
    <row r="125" spans="1:7" x14ac:dyDescent="0.2">
      <c r="A125">
        <v>2</v>
      </c>
      <c r="B125">
        <v>106.72</v>
      </c>
      <c r="C125">
        <v>0</v>
      </c>
      <c r="D125">
        <f t="shared" si="4"/>
        <v>2</v>
      </c>
      <c r="E125">
        <f t="shared" si="5"/>
        <v>106.72</v>
      </c>
      <c r="F125" t="e">
        <f t="shared" si="6"/>
        <v>#N/A</v>
      </c>
      <c r="G125" t="e">
        <f t="shared" si="7"/>
        <v>#N/A</v>
      </c>
    </row>
    <row r="126" spans="1:7" x14ac:dyDescent="0.2">
      <c r="A126">
        <v>3</v>
      </c>
      <c r="B126">
        <v>55.41</v>
      </c>
      <c r="C126">
        <v>0</v>
      </c>
      <c r="D126">
        <f t="shared" si="4"/>
        <v>3</v>
      </c>
      <c r="E126">
        <f t="shared" si="5"/>
        <v>55.41</v>
      </c>
      <c r="F126" t="e">
        <f t="shared" si="6"/>
        <v>#N/A</v>
      </c>
      <c r="G126" t="e">
        <f t="shared" si="7"/>
        <v>#N/A</v>
      </c>
    </row>
    <row r="127" spans="1:7" x14ac:dyDescent="0.2">
      <c r="A127">
        <v>0</v>
      </c>
      <c r="B127">
        <v>59.72</v>
      </c>
      <c r="C127">
        <v>0</v>
      </c>
      <c r="D127">
        <f t="shared" si="4"/>
        <v>0</v>
      </c>
      <c r="E127">
        <f t="shared" si="5"/>
        <v>59.72</v>
      </c>
      <c r="F127" t="e">
        <f t="shared" si="6"/>
        <v>#N/A</v>
      </c>
      <c r="G127" t="e">
        <f t="shared" si="7"/>
        <v>#N/A</v>
      </c>
    </row>
    <row r="128" spans="1:7" x14ac:dyDescent="0.2">
      <c r="A128">
        <v>4</v>
      </c>
      <c r="B128">
        <v>30.49</v>
      </c>
      <c r="C128">
        <v>0</v>
      </c>
      <c r="D128">
        <f t="shared" si="4"/>
        <v>4</v>
      </c>
      <c r="E128">
        <f t="shared" si="5"/>
        <v>30.49</v>
      </c>
      <c r="F128" t="e">
        <f t="shared" si="6"/>
        <v>#N/A</v>
      </c>
      <c r="G128" t="e">
        <f t="shared" si="7"/>
        <v>#N/A</v>
      </c>
    </row>
    <row r="129" spans="1:7" x14ac:dyDescent="0.2">
      <c r="A129">
        <v>1</v>
      </c>
      <c r="B129">
        <v>93.74</v>
      </c>
      <c r="C129">
        <v>0</v>
      </c>
      <c r="D129">
        <f t="shared" si="4"/>
        <v>1</v>
      </c>
      <c r="E129">
        <f t="shared" si="5"/>
        <v>93.74</v>
      </c>
      <c r="F129" t="e">
        <f t="shared" si="6"/>
        <v>#N/A</v>
      </c>
      <c r="G129" t="e">
        <f t="shared" si="7"/>
        <v>#N/A</v>
      </c>
    </row>
    <row r="130" spans="1:7" x14ac:dyDescent="0.2">
      <c r="A130">
        <v>3</v>
      </c>
      <c r="B130">
        <v>38.229999999999997</v>
      </c>
      <c r="C130">
        <v>1</v>
      </c>
      <c r="D130" t="e">
        <f t="shared" si="4"/>
        <v>#N/A</v>
      </c>
      <c r="E130" t="e">
        <f t="shared" si="5"/>
        <v>#N/A</v>
      </c>
      <c r="F130">
        <f t="shared" si="6"/>
        <v>3</v>
      </c>
      <c r="G130">
        <f t="shared" si="7"/>
        <v>38.229999999999997</v>
      </c>
    </row>
    <row r="131" spans="1:7" x14ac:dyDescent="0.2">
      <c r="A131">
        <v>3</v>
      </c>
      <c r="B131">
        <v>76.400000000000006</v>
      </c>
      <c r="C131">
        <v>1</v>
      </c>
      <c r="D131" t="e">
        <f t="shared" ref="D131:D194" si="8" xml:space="preserve"> IF($C131=0, $A131, NA())</f>
        <v>#N/A</v>
      </c>
      <c r="E131" t="e">
        <f t="shared" ref="E131:E194" si="9" xml:space="preserve"> IF($C131=0, B131, NA())</f>
        <v>#N/A</v>
      </c>
      <c r="F131">
        <f t="shared" ref="F131:F194" si="10" xml:space="preserve"> IF($C131=1, A131, NA())</f>
        <v>3</v>
      </c>
      <c r="G131">
        <f t="shared" ref="G131:G194" si="11" xml:space="preserve"> IF($C131=1, $B131, NA())</f>
        <v>76.400000000000006</v>
      </c>
    </row>
    <row r="132" spans="1:7" x14ac:dyDescent="0.2">
      <c r="A132">
        <v>2</v>
      </c>
      <c r="B132">
        <v>104.07</v>
      </c>
      <c r="C132">
        <v>1</v>
      </c>
      <c r="D132" t="e">
        <f t="shared" si="8"/>
        <v>#N/A</v>
      </c>
      <c r="E132" t="e">
        <f t="shared" si="9"/>
        <v>#N/A</v>
      </c>
      <c r="F132">
        <f t="shared" si="10"/>
        <v>2</v>
      </c>
      <c r="G132">
        <f t="shared" si="11"/>
        <v>104.07</v>
      </c>
    </row>
    <row r="133" spans="1:7" x14ac:dyDescent="0.2">
      <c r="A133">
        <v>1</v>
      </c>
      <c r="B133">
        <v>28.92</v>
      </c>
      <c r="C133">
        <v>1</v>
      </c>
      <c r="D133" t="e">
        <f t="shared" si="8"/>
        <v>#N/A</v>
      </c>
      <c r="E133" t="e">
        <f t="shared" si="9"/>
        <v>#N/A</v>
      </c>
      <c r="F133">
        <f t="shared" si="10"/>
        <v>1</v>
      </c>
      <c r="G133">
        <f t="shared" si="11"/>
        <v>28.92</v>
      </c>
    </row>
    <row r="134" spans="1:7" x14ac:dyDescent="0.2">
      <c r="A134">
        <v>2</v>
      </c>
      <c r="B134">
        <v>73.53</v>
      </c>
      <c r="C134">
        <v>1</v>
      </c>
      <c r="D134" t="e">
        <f t="shared" si="8"/>
        <v>#N/A</v>
      </c>
      <c r="E134" t="e">
        <f t="shared" si="9"/>
        <v>#N/A</v>
      </c>
      <c r="F134">
        <f t="shared" si="10"/>
        <v>2</v>
      </c>
      <c r="G134">
        <f t="shared" si="11"/>
        <v>73.53</v>
      </c>
    </row>
    <row r="135" spans="1:7" x14ac:dyDescent="0.2">
      <c r="A135">
        <v>1</v>
      </c>
      <c r="B135">
        <v>43.32</v>
      </c>
      <c r="C135">
        <v>1</v>
      </c>
      <c r="D135" t="e">
        <f t="shared" si="8"/>
        <v>#N/A</v>
      </c>
      <c r="E135" t="e">
        <f t="shared" si="9"/>
        <v>#N/A</v>
      </c>
      <c r="F135">
        <f t="shared" si="10"/>
        <v>1</v>
      </c>
      <c r="G135">
        <f t="shared" si="11"/>
        <v>43.32</v>
      </c>
    </row>
    <row r="136" spans="1:7" x14ac:dyDescent="0.2">
      <c r="A136">
        <v>1</v>
      </c>
      <c r="B136">
        <v>54.29</v>
      </c>
      <c r="C136">
        <v>0</v>
      </c>
      <c r="D136">
        <f t="shared" si="8"/>
        <v>1</v>
      </c>
      <c r="E136">
        <f t="shared" si="9"/>
        <v>54.29</v>
      </c>
      <c r="F136" t="e">
        <f t="shared" si="10"/>
        <v>#N/A</v>
      </c>
      <c r="G136" t="e">
        <f t="shared" si="11"/>
        <v>#N/A</v>
      </c>
    </row>
    <row r="137" spans="1:7" x14ac:dyDescent="0.2">
      <c r="A137">
        <v>1</v>
      </c>
      <c r="B137">
        <v>67.400000000000006</v>
      </c>
      <c r="C137">
        <v>1</v>
      </c>
      <c r="D137" t="e">
        <f t="shared" si="8"/>
        <v>#N/A</v>
      </c>
      <c r="E137" t="e">
        <f t="shared" si="9"/>
        <v>#N/A</v>
      </c>
      <c r="F137">
        <f t="shared" si="10"/>
        <v>1</v>
      </c>
      <c r="G137">
        <f t="shared" si="11"/>
        <v>67.400000000000006</v>
      </c>
    </row>
    <row r="138" spans="1:7" x14ac:dyDescent="0.2">
      <c r="A138">
        <v>2</v>
      </c>
      <c r="B138">
        <v>55.51</v>
      </c>
      <c r="C138">
        <v>1</v>
      </c>
      <c r="D138" t="e">
        <f t="shared" si="8"/>
        <v>#N/A</v>
      </c>
      <c r="E138" t="e">
        <f t="shared" si="9"/>
        <v>#N/A</v>
      </c>
      <c r="F138">
        <f t="shared" si="10"/>
        <v>2</v>
      </c>
      <c r="G138">
        <f t="shared" si="11"/>
        <v>55.51</v>
      </c>
    </row>
    <row r="139" spans="1:7" x14ac:dyDescent="0.2">
      <c r="A139">
        <v>1</v>
      </c>
      <c r="B139">
        <v>84.88</v>
      </c>
      <c r="C139">
        <v>0</v>
      </c>
      <c r="D139">
        <f t="shared" si="8"/>
        <v>1</v>
      </c>
      <c r="E139">
        <f t="shared" si="9"/>
        <v>84.88</v>
      </c>
      <c r="F139" t="e">
        <f t="shared" si="10"/>
        <v>#N/A</v>
      </c>
      <c r="G139" t="e">
        <f t="shared" si="11"/>
        <v>#N/A</v>
      </c>
    </row>
    <row r="140" spans="1:7" x14ac:dyDescent="0.2">
      <c r="A140">
        <v>3</v>
      </c>
      <c r="B140">
        <v>67.959999999999994</v>
      </c>
      <c r="C140">
        <v>0</v>
      </c>
      <c r="D140">
        <f t="shared" si="8"/>
        <v>3</v>
      </c>
      <c r="E140">
        <f t="shared" si="9"/>
        <v>67.959999999999994</v>
      </c>
      <c r="F140" t="e">
        <f t="shared" si="10"/>
        <v>#N/A</v>
      </c>
      <c r="G140" t="e">
        <f t="shared" si="11"/>
        <v>#N/A</v>
      </c>
    </row>
    <row r="141" spans="1:7" x14ac:dyDescent="0.2">
      <c r="A141">
        <v>1</v>
      </c>
      <c r="B141">
        <v>78.42</v>
      </c>
      <c r="C141">
        <v>1</v>
      </c>
      <c r="D141" t="e">
        <f t="shared" si="8"/>
        <v>#N/A</v>
      </c>
      <c r="E141" t="e">
        <f t="shared" si="9"/>
        <v>#N/A</v>
      </c>
      <c r="F141">
        <f t="shared" si="10"/>
        <v>1</v>
      </c>
      <c r="G141">
        <f t="shared" si="11"/>
        <v>78.42</v>
      </c>
    </row>
    <row r="142" spans="1:7" x14ac:dyDescent="0.2">
      <c r="A142">
        <v>3</v>
      </c>
      <c r="B142">
        <v>93.68</v>
      </c>
      <c r="C142">
        <v>0</v>
      </c>
      <c r="D142">
        <f t="shared" si="8"/>
        <v>3</v>
      </c>
      <c r="E142">
        <f t="shared" si="9"/>
        <v>93.68</v>
      </c>
      <c r="F142" t="e">
        <f t="shared" si="10"/>
        <v>#N/A</v>
      </c>
      <c r="G142" t="e">
        <f t="shared" si="11"/>
        <v>#N/A</v>
      </c>
    </row>
    <row r="143" spans="1:7" x14ac:dyDescent="0.2">
      <c r="A143">
        <v>3</v>
      </c>
      <c r="B143">
        <v>75.77</v>
      </c>
      <c r="C143">
        <v>0</v>
      </c>
      <c r="D143">
        <f t="shared" si="8"/>
        <v>3</v>
      </c>
      <c r="E143">
        <f t="shared" si="9"/>
        <v>75.77</v>
      </c>
      <c r="F143" t="e">
        <f t="shared" si="10"/>
        <v>#N/A</v>
      </c>
      <c r="G143" t="e">
        <f t="shared" si="11"/>
        <v>#N/A</v>
      </c>
    </row>
    <row r="144" spans="1:7" x14ac:dyDescent="0.2">
      <c r="A144">
        <v>2</v>
      </c>
      <c r="B144">
        <v>78.650000000000006</v>
      </c>
      <c r="C144">
        <v>1</v>
      </c>
      <c r="D144" t="e">
        <f t="shared" si="8"/>
        <v>#N/A</v>
      </c>
      <c r="E144" t="e">
        <f t="shared" si="9"/>
        <v>#N/A</v>
      </c>
      <c r="F144">
        <f t="shared" si="10"/>
        <v>2</v>
      </c>
      <c r="G144">
        <f t="shared" si="11"/>
        <v>78.650000000000006</v>
      </c>
    </row>
    <row r="145" spans="1:7" x14ac:dyDescent="0.2">
      <c r="A145">
        <v>2</v>
      </c>
      <c r="B145">
        <v>76.45</v>
      </c>
      <c r="C145">
        <v>0</v>
      </c>
      <c r="D145">
        <f t="shared" si="8"/>
        <v>2</v>
      </c>
      <c r="E145">
        <f t="shared" si="9"/>
        <v>76.45</v>
      </c>
      <c r="F145" t="e">
        <f t="shared" si="10"/>
        <v>#N/A</v>
      </c>
      <c r="G145" t="e">
        <f t="shared" si="11"/>
        <v>#N/A</v>
      </c>
    </row>
    <row r="146" spans="1:7" x14ac:dyDescent="0.2">
      <c r="A146">
        <v>2</v>
      </c>
      <c r="B146">
        <v>57.88</v>
      </c>
      <c r="C146">
        <v>0</v>
      </c>
      <c r="D146">
        <f t="shared" si="8"/>
        <v>2</v>
      </c>
      <c r="E146">
        <f t="shared" si="9"/>
        <v>57.88</v>
      </c>
      <c r="F146" t="e">
        <f t="shared" si="10"/>
        <v>#N/A</v>
      </c>
      <c r="G146" t="e">
        <f t="shared" si="11"/>
        <v>#N/A</v>
      </c>
    </row>
    <row r="147" spans="1:7" x14ac:dyDescent="0.2">
      <c r="A147">
        <v>2</v>
      </c>
      <c r="B147">
        <v>53.74</v>
      </c>
      <c r="C147">
        <v>0</v>
      </c>
      <c r="D147">
        <f t="shared" si="8"/>
        <v>2</v>
      </c>
      <c r="E147">
        <f t="shared" si="9"/>
        <v>53.74</v>
      </c>
      <c r="F147" t="e">
        <f t="shared" si="10"/>
        <v>#N/A</v>
      </c>
      <c r="G147" t="e">
        <f t="shared" si="11"/>
        <v>#N/A</v>
      </c>
    </row>
    <row r="148" spans="1:7" x14ac:dyDescent="0.2">
      <c r="A148">
        <v>2</v>
      </c>
      <c r="B148">
        <v>109.96</v>
      </c>
      <c r="C148">
        <v>0</v>
      </c>
      <c r="D148">
        <f t="shared" si="8"/>
        <v>2</v>
      </c>
      <c r="E148">
        <f t="shared" si="9"/>
        <v>109.96</v>
      </c>
      <c r="F148" t="e">
        <f t="shared" si="10"/>
        <v>#N/A</v>
      </c>
      <c r="G148" t="e">
        <f t="shared" si="11"/>
        <v>#N/A</v>
      </c>
    </row>
    <row r="149" spans="1:7" x14ac:dyDescent="0.2">
      <c r="A149">
        <v>1</v>
      </c>
      <c r="B149">
        <v>80.760000000000005</v>
      </c>
      <c r="C149">
        <v>0</v>
      </c>
      <c r="D149">
        <f t="shared" si="8"/>
        <v>1</v>
      </c>
      <c r="E149">
        <f t="shared" si="9"/>
        <v>80.760000000000005</v>
      </c>
      <c r="F149" t="e">
        <f t="shared" si="10"/>
        <v>#N/A</v>
      </c>
      <c r="G149" t="e">
        <f t="shared" si="11"/>
        <v>#N/A</v>
      </c>
    </row>
    <row r="150" spans="1:7" x14ac:dyDescent="0.2">
      <c r="A150">
        <v>3</v>
      </c>
      <c r="B150">
        <v>44.44</v>
      </c>
      <c r="C150">
        <v>1</v>
      </c>
      <c r="D150" t="e">
        <f t="shared" si="8"/>
        <v>#N/A</v>
      </c>
      <c r="E150" t="e">
        <f t="shared" si="9"/>
        <v>#N/A</v>
      </c>
      <c r="F150">
        <f t="shared" si="10"/>
        <v>3</v>
      </c>
      <c r="G150">
        <f t="shared" si="11"/>
        <v>44.44</v>
      </c>
    </row>
    <row r="151" spans="1:7" x14ac:dyDescent="0.2">
      <c r="A151">
        <v>2</v>
      </c>
      <c r="B151">
        <v>69.819999999999993</v>
      </c>
      <c r="C151">
        <v>1</v>
      </c>
      <c r="D151" t="e">
        <f t="shared" si="8"/>
        <v>#N/A</v>
      </c>
      <c r="E151" t="e">
        <f t="shared" si="9"/>
        <v>#N/A</v>
      </c>
      <c r="F151">
        <f t="shared" si="10"/>
        <v>2</v>
      </c>
      <c r="G151">
        <f t="shared" si="11"/>
        <v>69.819999999999993</v>
      </c>
    </row>
    <row r="152" spans="1:7" x14ac:dyDescent="0.2">
      <c r="A152">
        <v>3</v>
      </c>
      <c r="B152">
        <v>53.03</v>
      </c>
      <c r="C152">
        <v>1</v>
      </c>
      <c r="D152" t="e">
        <f t="shared" si="8"/>
        <v>#N/A</v>
      </c>
      <c r="E152" t="e">
        <f t="shared" si="9"/>
        <v>#N/A</v>
      </c>
      <c r="F152">
        <f t="shared" si="10"/>
        <v>3</v>
      </c>
      <c r="G152">
        <f t="shared" si="11"/>
        <v>53.03</v>
      </c>
    </row>
    <row r="153" spans="1:7" x14ac:dyDescent="0.2">
      <c r="A153">
        <v>3</v>
      </c>
      <c r="B153">
        <v>113.37</v>
      </c>
      <c r="C153">
        <v>0</v>
      </c>
      <c r="D153">
        <f t="shared" si="8"/>
        <v>3</v>
      </c>
      <c r="E153">
        <f t="shared" si="9"/>
        <v>113.37</v>
      </c>
      <c r="F153" t="e">
        <f t="shared" si="10"/>
        <v>#N/A</v>
      </c>
      <c r="G153" t="e">
        <f t="shared" si="11"/>
        <v>#N/A</v>
      </c>
    </row>
    <row r="154" spans="1:7" x14ac:dyDescent="0.2">
      <c r="A154">
        <v>3</v>
      </c>
      <c r="B154">
        <v>20.75</v>
      </c>
      <c r="C154">
        <v>0</v>
      </c>
      <c r="D154">
        <f t="shared" si="8"/>
        <v>3</v>
      </c>
      <c r="E154">
        <f t="shared" si="9"/>
        <v>20.75</v>
      </c>
      <c r="F154" t="e">
        <f t="shared" si="10"/>
        <v>#N/A</v>
      </c>
      <c r="G154" t="e">
        <f t="shared" si="11"/>
        <v>#N/A</v>
      </c>
    </row>
    <row r="155" spans="1:7" x14ac:dyDescent="0.2">
      <c r="A155">
        <v>0</v>
      </c>
      <c r="B155">
        <v>42.53</v>
      </c>
      <c r="C155">
        <v>1</v>
      </c>
      <c r="D155" t="e">
        <f t="shared" si="8"/>
        <v>#N/A</v>
      </c>
      <c r="E155" t="e">
        <f t="shared" si="9"/>
        <v>#N/A</v>
      </c>
      <c r="F155">
        <f t="shared" si="10"/>
        <v>0</v>
      </c>
      <c r="G155">
        <f t="shared" si="11"/>
        <v>42.53</v>
      </c>
    </row>
    <row r="156" spans="1:7" x14ac:dyDescent="0.2">
      <c r="A156">
        <v>1</v>
      </c>
      <c r="B156">
        <v>56.54</v>
      </c>
      <c r="C156">
        <v>0</v>
      </c>
      <c r="D156">
        <f t="shared" si="8"/>
        <v>1</v>
      </c>
      <c r="E156">
        <f t="shared" si="9"/>
        <v>56.54</v>
      </c>
      <c r="F156" t="e">
        <f t="shared" si="10"/>
        <v>#N/A</v>
      </c>
      <c r="G156" t="e">
        <f t="shared" si="11"/>
        <v>#N/A</v>
      </c>
    </row>
    <row r="157" spans="1:7" x14ac:dyDescent="0.2">
      <c r="A157">
        <v>3</v>
      </c>
      <c r="B157">
        <v>68.78</v>
      </c>
      <c r="C157">
        <v>0</v>
      </c>
      <c r="D157">
        <f t="shared" si="8"/>
        <v>3</v>
      </c>
      <c r="E157">
        <f t="shared" si="9"/>
        <v>68.78</v>
      </c>
      <c r="F157" t="e">
        <f t="shared" si="10"/>
        <v>#N/A</v>
      </c>
      <c r="G157" t="e">
        <f t="shared" si="11"/>
        <v>#N/A</v>
      </c>
    </row>
    <row r="158" spans="1:7" x14ac:dyDescent="0.2">
      <c r="A158">
        <v>0</v>
      </c>
      <c r="B158">
        <v>105.08</v>
      </c>
      <c r="C158">
        <v>1</v>
      </c>
      <c r="D158" t="e">
        <f t="shared" si="8"/>
        <v>#N/A</v>
      </c>
      <c r="E158" t="e">
        <f t="shared" si="9"/>
        <v>#N/A</v>
      </c>
      <c r="F158">
        <f t="shared" si="10"/>
        <v>0</v>
      </c>
      <c r="G158">
        <f t="shared" si="11"/>
        <v>105.08</v>
      </c>
    </row>
    <row r="159" spans="1:7" x14ac:dyDescent="0.2">
      <c r="A159">
        <v>3</v>
      </c>
      <c r="B159">
        <v>28.79</v>
      </c>
      <c r="C159">
        <v>0</v>
      </c>
      <c r="D159">
        <f t="shared" si="8"/>
        <v>3</v>
      </c>
      <c r="E159">
        <f t="shared" si="9"/>
        <v>28.79</v>
      </c>
      <c r="F159" t="e">
        <f t="shared" si="10"/>
        <v>#N/A</v>
      </c>
      <c r="G159" t="e">
        <f t="shared" si="11"/>
        <v>#N/A</v>
      </c>
    </row>
    <row r="160" spans="1:7" x14ac:dyDescent="0.2">
      <c r="A160">
        <v>1</v>
      </c>
      <c r="B160">
        <v>100.59</v>
      </c>
      <c r="C160">
        <v>0</v>
      </c>
      <c r="D160">
        <f t="shared" si="8"/>
        <v>1</v>
      </c>
      <c r="E160">
        <f t="shared" si="9"/>
        <v>100.59</v>
      </c>
      <c r="F160" t="e">
        <f t="shared" si="10"/>
        <v>#N/A</v>
      </c>
      <c r="G160" t="e">
        <f t="shared" si="11"/>
        <v>#N/A</v>
      </c>
    </row>
    <row r="161" spans="1:7" x14ac:dyDescent="0.2">
      <c r="A161">
        <v>0</v>
      </c>
      <c r="B161">
        <v>25.57</v>
      </c>
      <c r="C161">
        <v>1</v>
      </c>
      <c r="D161" t="e">
        <f t="shared" si="8"/>
        <v>#N/A</v>
      </c>
      <c r="E161" t="e">
        <f t="shared" si="9"/>
        <v>#N/A</v>
      </c>
      <c r="F161">
        <f t="shared" si="10"/>
        <v>0</v>
      </c>
      <c r="G161">
        <f t="shared" si="11"/>
        <v>25.57</v>
      </c>
    </row>
    <row r="162" spans="1:7" x14ac:dyDescent="0.2">
      <c r="A162">
        <v>0</v>
      </c>
      <c r="B162">
        <v>104.23</v>
      </c>
      <c r="C162">
        <v>0</v>
      </c>
      <c r="D162">
        <f t="shared" si="8"/>
        <v>0</v>
      </c>
      <c r="E162">
        <f t="shared" si="9"/>
        <v>104.23</v>
      </c>
      <c r="F162" t="e">
        <f t="shared" si="10"/>
        <v>#N/A</v>
      </c>
      <c r="G162" t="e">
        <f t="shared" si="11"/>
        <v>#N/A</v>
      </c>
    </row>
    <row r="163" spans="1:7" x14ac:dyDescent="0.2">
      <c r="A163">
        <v>1</v>
      </c>
      <c r="B163">
        <v>25.16</v>
      </c>
      <c r="C163">
        <v>0</v>
      </c>
      <c r="D163">
        <f t="shared" si="8"/>
        <v>1</v>
      </c>
      <c r="E163">
        <f t="shared" si="9"/>
        <v>25.16</v>
      </c>
      <c r="F163" t="e">
        <f t="shared" si="10"/>
        <v>#N/A</v>
      </c>
      <c r="G163" t="e">
        <f t="shared" si="11"/>
        <v>#N/A</v>
      </c>
    </row>
    <row r="164" spans="1:7" x14ac:dyDescent="0.2">
      <c r="A164">
        <v>1</v>
      </c>
      <c r="B164">
        <v>21.82</v>
      </c>
      <c r="C164">
        <v>1</v>
      </c>
      <c r="D164" t="e">
        <f t="shared" si="8"/>
        <v>#N/A</v>
      </c>
      <c r="E164" t="e">
        <f t="shared" si="9"/>
        <v>#N/A</v>
      </c>
      <c r="F164">
        <f t="shared" si="10"/>
        <v>1</v>
      </c>
      <c r="G164">
        <f t="shared" si="11"/>
        <v>21.82</v>
      </c>
    </row>
    <row r="165" spans="1:7" x14ac:dyDescent="0.2">
      <c r="A165">
        <v>1</v>
      </c>
      <c r="B165">
        <v>89.7</v>
      </c>
      <c r="C165">
        <v>0</v>
      </c>
      <c r="D165">
        <f t="shared" si="8"/>
        <v>1</v>
      </c>
      <c r="E165">
        <f t="shared" si="9"/>
        <v>89.7</v>
      </c>
      <c r="F165" t="e">
        <f t="shared" si="10"/>
        <v>#N/A</v>
      </c>
      <c r="G165" t="e">
        <f t="shared" si="11"/>
        <v>#N/A</v>
      </c>
    </row>
    <row r="166" spans="1:7" x14ac:dyDescent="0.2">
      <c r="A166">
        <v>4</v>
      </c>
      <c r="B166">
        <v>119.73</v>
      </c>
      <c r="C166">
        <v>1</v>
      </c>
      <c r="D166" t="e">
        <f t="shared" si="8"/>
        <v>#N/A</v>
      </c>
      <c r="E166" t="e">
        <f t="shared" si="9"/>
        <v>#N/A</v>
      </c>
      <c r="F166">
        <f t="shared" si="10"/>
        <v>4</v>
      </c>
      <c r="G166">
        <f t="shared" si="11"/>
        <v>119.73</v>
      </c>
    </row>
    <row r="167" spans="1:7" x14ac:dyDescent="0.2">
      <c r="A167">
        <v>3</v>
      </c>
      <c r="B167">
        <v>109.66</v>
      </c>
      <c r="C167">
        <v>1</v>
      </c>
      <c r="D167" t="e">
        <f t="shared" si="8"/>
        <v>#N/A</v>
      </c>
      <c r="E167" t="e">
        <f t="shared" si="9"/>
        <v>#N/A</v>
      </c>
      <c r="F167">
        <f t="shared" si="10"/>
        <v>3</v>
      </c>
      <c r="G167">
        <f t="shared" si="11"/>
        <v>109.66</v>
      </c>
    </row>
    <row r="168" spans="1:7" x14ac:dyDescent="0.2">
      <c r="A168">
        <v>2</v>
      </c>
      <c r="B168">
        <v>77.599999999999994</v>
      </c>
      <c r="C168">
        <v>1</v>
      </c>
      <c r="D168" t="e">
        <f t="shared" si="8"/>
        <v>#N/A</v>
      </c>
      <c r="E168" t="e">
        <f t="shared" si="9"/>
        <v>#N/A</v>
      </c>
      <c r="F168">
        <f t="shared" si="10"/>
        <v>2</v>
      </c>
      <c r="G168">
        <f t="shared" si="11"/>
        <v>77.599999999999994</v>
      </c>
    </row>
    <row r="169" spans="1:7" x14ac:dyDescent="0.2">
      <c r="A169">
        <v>4</v>
      </c>
      <c r="B169">
        <v>111.74</v>
      </c>
      <c r="C169">
        <v>1</v>
      </c>
      <c r="D169" t="e">
        <f t="shared" si="8"/>
        <v>#N/A</v>
      </c>
      <c r="E169" t="e">
        <f t="shared" si="9"/>
        <v>#N/A</v>
      </c>
      <c r="F169">
        <f t="shared" si="10"/>
        <v>4</v>
      </c>
      <c r="G169">
        <f t="shared" si="11"/>
        <v>111.74</v>
      </c>
    </row>
    <row r="170" spans="1:7" x14ac:dyDescent="0.2">
      <c r="A170">
        <v>2</v>
      </c>
      <c r="B170">
        <v>20.53</v>
      </c>
      <c r="C170">
        <v>1</v>
      </c>
      <c r="D170" t="e">
        <f t="shared" si="8"/>
        <v>#N/A</v>
      </c>
      <c r="E170" t="e">
        <f t="shared" si="9"/>
        <v>#N/A</v>
      </c>
      <c r="F170">
        <f t="shared" si="10"/>
        <v>2</v>
      </c>
      <c r="G170">
        <f t="shared" si="11"/>
        <v>20.53</v>
      </c>
    </row>
    <row r="171" spans="1:7" x14ac:dyDescent="0.2">
      <c r="A171">
        <v>0</v>
      </c>
      <c r="B171">
        <v>117.51</v>
      </c>
      <c r="C171">
        <v>1</v>
      </c>
      <c r="D171" t="e">
        <f t="shared" si="8"/>
        <v>#N/A</v>
      </c>
      <c r="E171" t="e">
        <f t="shared" si="9"/>
        <v>#N/A</v>
      </c>
      <c r="F171">
        <f t="shared" si="10"/>
        <v>0</v>
      </c>
      <c r="G171">
        <f t="shared" si="11"/>
        <v>117.51</v>
      </c>
    </row>
    <row r="172" spans="1:7" x14ac:dyDescent="0.2">
      <c r="A172">
        <v>1</v>
      </c>
      <c r="B172">
        <v>69.069999999999993</v>
      </c>
      <c r="C172">
        <v>0</v>
      </c>
      <c r="D172">
        <f t="shared" si="8"/>
        <v>1</v>
      </c>
      <c r="E172">
        <f t="shared" si="9"/>
        <v>69.069999999999993</v>
      </c>
      <c r="F172" t="e">
        <f t="shared" si="10"/>
        <v>#N/A</v>
      </c>
      <c r="G172" t="e">
        <f t="shared" si="11"/>
        <v>#N/A</v>
      </c>
    </row>
    <row r="173" spans="1:7" x14ac:dyDescent="0.2">
      <c r="A173">
        <v>5</v>
      </c>
      <c r="B173">
        <v>92.29</v>
      </c>
      <c r="C173">
        <v>0</v>
      </c>
      <c r="D173">
        <f t="shared" si="8"/>
        <v>5</v>
      </c>
      <c r="E173">
        <f t="shared" si="9"/>
        <v>92.29</v>
      </c>
      <c r="F173" t="e">
        <f t="shared" si="10"/>
        <v>#N/A</v>
      </c>
      <c r="G173" t="e">
        <f t="shared" si="11"/>
        <v>#N/A</v>
      </c>
    </row>
    <row r="174" spans="1:7" x14ac:dyDescent="0.2">
      <c r="A174">
        <v>1</v>
      </c>
      <c r="B174">
        <v>102.09</v>
      </c>
      <c r="C174">
        <v>0</v>
      </c>
      <c r="D174">
        <f t="shared" si="8"/>
        <v>1</v>
      </c>
      <c r="E174">
        <f t="shared" si="9"/>
        <v>102.09</v>
      </c>
      <c r="F174" t="e">
        <f t="shared" si="10"/>
        <v>#N/A</v>
      </c>
      <c r="G174" t="e">
        <f t="shared" si="11"/>
        <v>#N/A</v>
      </c>
    </row>
    <row r="175" spans="1:7" x14ac:dyDescent="0.2">
      <c r="A175">
        <v>5</v>
      </c>
      <c r="B175">
        <v>91.85</v>
      </c>
      <c r="C175">
        <v>0</v>
      </c>
      <c r="D175">
        <f t="shared" si="8"/>
        <v>5</v>
      </c>
      <c r="E175">
        <f t="shared" si="9"/>
        <v>91.85</v>
      </c>
      <c r="F175" t="e">
        <f t="shared" si="10"/>
        <v>#N/A</v>
      </c>
      <c r="G175" t="e">
        <f t="shared" si="11"/>
        <v>#N/A</v>
      </c>
    </row>
    <row r="176" spans="1:7" x14ac:dyDescent="0.2">
      <c r="A176">
        <v>0</v>
      </c>
      <c r="B176">
        <v>73.5</v>
      </c>
      <c r="C176">
        <v>0</v>
      </c>
      <c r="D176">
        <f t="shared" si="8"/>
        <v>0</v>
      </c>
      <c r="E176">
        <f t="shared" si="9"/>
        <v>73.5</v>
      </c>
      <c r="F176" t="e">
        <f t="shared" si="10"/>
        <v>#N/A</v>
      </c>
      <c r="G176" t="e">
        <f t="shared" si="11"/>
        <v>#N/A</v>
      </c>
    </row>
    <row r="177" spans="1:7" x14ac:dyDescent="0.2">
      <c r="A177">
        <v>2</v>
      </c>
      <c r="B177">
        <v>67.66</v>
      </c>
      <c r="C177">
        <v>0</v>
      </c>
      <c r="D177">
        <f t="shared" si="8"/>
        <v>2</v>
      </c>
      <c r="E177">
        <f t="shared" si="9"/>
        <v>67.66</v>
      </c>
      <c r="F177" t="e">
        <f t="shared" si="10"/>
        <v>#N/A</v>
      </c>
      <c r="G177" t="e">
        <f t="shared" si="11"/>
        <v>#N/A</v>
      </c>
    </row>
    <row r="178" spans="1:7" x14ac:dyDescent="0.2">
      <c r="A178">
        <v>0</v>
      </c>
      <c r="B178">
        <v>103.86</v>
      </c>
      <c r="C178">
        <v>1</v>
      </c>
      <c r="D178" t="e">
        <f t="shared" si="8"/>
        <v>#N/A</v>
      </c>
      <c r="E178" t="e">
        <f t="shared" si="9"/>
        <v>#N/A</v>
      </c>
      <c r="F178">
        <f t="shared" si="10"/>
        <v>0</v>
      </c>
      <c r="G178">
        <f t="shared" si="11"/>
        <v>103.86</v>
      </c>
    </row>
    <row r="179" spans="1:7" x14ac:dyDescent="0.2">
      <c r="A179">
        <v>1</v>
      </c>
      <c r="B179">
        <v>40.51</v>
      </c>
      <c r="C179">
        <v>0</v>
      </c>
      <c r="D179">
        <f t="shared" si="8"/>
        <v>1</v>
      </c>
      <c r="E179">
        <f t="shared" si="9"/>
        <v>40.51</v>
      </c>
      <c r="F179" t="e">
        <f t="shared" si="10"/>
        <v>#N/A</v>
      </c>
      <c r="G179" t="e">
        <f t="shared" si="11"/>
        <v>#N/A</v>
      </c>
    </row>
    <row r="180" spans="1:7" x14ac:dyDescent="0.2">
      <c r="A180">
        <v>4</v>
      </c>
      <c r="B180">
        <v>116.8</v>
      </c>
      <c r="C180">
        <v>0</v>
      </c>
      <c r="D180">
        <f t="shared" si="8"/>
        <v>4</v>
      </c>
      <c r="E180">
        <f t="shared" si="9"/>
        <v>116.8</v>
      </c>
      <c r="F180" t="e">
        <f t="shared" si="10"/>
        <v>#N/A</v>
      </c>
      <c r="G180" t="e">
        <f t="shared" si="11"/>
        <v>#N/A</v>
      </c>
    </row>
    <row r="181" spans="1:7" x14ac:dyDescent="0.2">
      <c r="A181">
        <v>0</v>
      </c>
      <c r="B181">
        <v>91.1</v>
      </c>
      <c r="C181">
        <v>0</v>
      </c>
      <c r="D181">
        <f t="shared" si="8"/>
        <v>0</v>
      </c>
      <c r="E181">
        <f t="shared" si="9"/>
        <v>91.1</v>
      </c>
      <c r="F181" t="e">
        <f t="shared" si="10"/>
        <v>#N/A</v>
      </c>
      <c r="G181" t="e">
        <f t="shared" si="11"/>
        <v>#N/A</v>
      </c>
    </row>
    <row r="182" spans="1:7" x14ac:dyDescent="0.2">
      <c r="A182">
        <v>0</v>
      </c>
      <c r="B182">
        <v>39.950000000000003</v>
      </c>
      <c r="C182">
        <v>0</v>
      </c>
      <c r="D182">
        <f t="shared" si="8"/>
        <v>0</v>
      </c>
      <c r="E182">
        <f t="shared" si="9"/>
        <v>39.950000000000003</v>
      </c>
      <c r="F182" t="e">
        <f t="shared" si="10"/>
        <v>#N/A</v>
      </c>
      <c r="G182" t="e">
        <f t="shared" si="11"/>
        <v>#N/A</v>
      </c>
    </row>
    <row r="183" spans="1:7" x14ac:dyDescent="0.2">
      <c r="A183">
        <v>2</v>
      </c>
      <c r="B183">
        <v>93.62</v>
      </c>
      <c r="C183">
        <v>0</v>
      </c>
      <c r="D183">
        <f t="shared" si="8"/>
        <v>2</v>
      </c>
      <c r="E183">
        <f t="shared" si="9"/>
        <v>93.62</v>
      </c>
      <c r="F183" t="e">
        <f t="shared" si="10"/>
        <v>#N/A</v>
      </c>
      <c r="G183" t="e">
        <f t="shared" si="11"/>
        <v>#N/A</v>
      </c>
    </row>
    <row r="184" spans="1:7" x14ac:dyDescent="0.2">
      <c r="A184">
        <v>1</v>
      </c>
      <c r="B184">
        <v>72.98</v>
      </c>
      <c r="C184">
        <v>1</v>
      </c>
      <c r="D184" t="e">
        <f t="shared" si="8"/>
        <v>#N/A</v>
      </c>
      <c r="E184" t="e">
        <f t="shared" si="9"/>
        <v>#N/A</v>
      </c>
      <c r="F184">
        <f t="shared" si="10"/>
        <v>1</v>
      </c>
      <c r="G184">
        <f t="shared" si="11"/>
        <v>72.98</v>
      </c>
    </row>
    <row r="185" spans="1:7" x14ac:dyDescent="0.2">
      <c r="A185">
        <v>1</v>
      </c>
      <c r="B185">
        <v>90.72</v>
      </c>
      <c r="C185">
        <v>1</v>
      </c>
      <c r="D185" t="e">
        <f t="shared" si="8"/>
        <v>#N/A</v>
      </c>
      <c r="E185" t="e">
        <f t="shared" si="9"/>
        <v>#N/A</v>
      </c>
      <c r="F185">
        <f t="shared" si="10"/>
        <v>1</v>
      </c>
      <c r="G185">
        <f t="shared" si="11"/>
        <v>90.72</v>
      </c>
    </row>
    <row r="186" spans="1:7" x14ac:dyDescent="0.2">
      <c r="A186">
        <v>3</v>
      </c>
      <c r="B186">
        <v>96.78</v>
      </c>
      <c r="C186">
        <v>1</v>
      </c>
      <c r="D186" t="e">
        <f t="shared" si="8"/>
        <v>#N/A</v>
      </c>
      <c r="E186" t="e">
        <f t="shared" si="9"/>
        <v>#N/A</v>
      </c>
      <c r="F186">
        <f t="shared" si="10"/>
        <v>3</v>
      </c>
      <c r="G186">
        <f t="shared" si="11"/>
        <v>96.78</v>
      </c>
    </row>
    <row r="187" spans="1:7" x14ac:dyDescent="0.2">
      <c r="A187">
        <v>1</v>
      </c>
      <c r="B187">
        <v>28.73</v>
      </c>
      <c r="C187">
        <v>1</v>
      </c>
      <c r="D187" t="e">
        <f t="shared" si="8"/>
        <v>#N/A</v>
      </c>
      <c r="E187" t="e">
        <f t="shared" si="9"/>
        <v>#N/A</v>
      </c>
      <c r="F187">
        <f t="shared" si="10"/>
        <v>1</v>
      </c>
      <c r="G187">
        <f t="shared" si="11"/>
        <v>28.73</v>
      </c>
    </row>
    <row r="188" spans="1:7" x14ac:dyDescent="0.2">
      <c r="A188">
        <v>2</v>
      </c>
      <c r="B188">
        <v>70.61</v>
      </c>
      <c r="C188">
        <v>0</v>
      </c>
      <c r="D188">
        <f t="shared" si="8"/>
        <v>2</v>
      </c>
      <c r="E188">
        <f t="shared" si="9"/>
        <v>70.61</v>
      </c>
      <c r="F188" t="e">
        <f t="shared" si="10"/>
        <v>#N/A</v>
      </c>
      <c r="G188" t="e">
        <f t="shared" si="11"/>
        <v>#N/A</v>
      </c>
    </row>
    <row r="189" spans="1:7" x14ac:dyDescent="0.2">
      <c r="A189">
        <v>3</v>
      </c>
      <c r="B189">
        <v>113.2</v>
      </c>
      <c r="C189">
        <v>0</v>
      </c>
      <c r="D189">
        <f t="shared" si="8"/>
        <v>3</v>
      </c>
      <c r="E189">
        <f t="shared" si="9"/>
        <v>113.2</v>
      </c>
      <c r="F189" t="e">
        <f t="shared" si="10"/>
        <v>#N/A</v>
      </c>
      <c r="G189" t="e">
        <f t="shared" si="11"/>
        <v>#N/A</v>
      </c>
    </row>
    <row r="190" spans="1:7" x14ac:dyDescent="0.2">
      <c r="A190">
        <v>1</v>
      </c>
      <c r="B190">
        <v>52.06</v>
      </c>
      <c r="C190">
        <v>1</v>
      </c>
      <c r="D190" t="e">
        <f t="shared" si="8"/>
        <v>#N/A</v>
      </c>
      <c r="E190" t="e">
        <f t="shared" si="9"/>
        <v>#N/A</v>
      </c>
      <c r="F190">
        <f t="shared" si="10"/>
        <v>1</v>
      </c>
      <c r="G190">
        <f t="shared" si="11"/>
        <v>52.06</v>
      </c>
    </row>
    <row r="191" spans="1:7" x14ac:dyDescent="0.2">
      <c r="A191">
        <v>1</v>
      </c>
      <c r="B191">
        <v>79.39</v>
      </c>
      <c r="C191">
        <v>0</v>
      </c>
      <c r="D191">
        <f t="shared" si="8"/>
        <v>1</v>
      </c>
      <c r="E191">
        <f t="shared" si="9"/>
        <v>79.39</v>
      </c>
      <c r="F191" t="e">
        <f t="shared" si="10"/>
        <v>#N/A</v>
      </c>
      <c r="G191" t="e">
        <f t="shared" si="11"/>
        <v>#N/A</v>
      </c>
    </row>
    <row r="192" spans="1:7" x14ac:dyDescent="0.2">
      <c r="A192">
        <v>4</v>
      </c>
      <c r="B192">
        <v>56.92</v>
      </c>
      <c r="C192">
        <v>0</v>
      </c>
      <c r="D192">
        <f t="shared" si="8"/>
        <v>4</v>
      </c>
      <c r="E192">
        <f t="shared" si="9"/>
        <v>56.92</v>
      </c>
      <c r="F192" t="e">
        <f t="shared" si="10"/>
        <v>#N/A</v>
      </c>
      <c r="G192" t="e">
        <f t="shared" si="11"/>
        <v>#N/A</v>
      </c>
    </row>
    <row r="193" spans="1:7" x14ac:dyDescent="0.2">
      <c r="A193">
        <v>2</v>
      </c>
      <c r="B193">
        <v>65.430000000000007</v>
      </c>
      <c r="C193">
        <v>0</v>
      </c>
      <c r="D193">
        <f t="shared" si="8"/>
        <v>2</v>
      </c>
      <c r="E193">
        <f t="shared" si="9"/>
        <v>65.430000000000007</v>
      </c>
      <c r="F193" t="e">
        <f t="shared" si="10"/>
        <v>#N/A</v>
      </c>
      <c r="G193" t="e">
        <f t="shared" si="11"/>
        <v>#N/A</v>
      </c>
    </row>
    <row r="194" spans="1:7" x14ac:dyDescent="0.2">
      <c r="A194">
        <v>1</v>
      </c>
      <c r="B194">
        <v>74.86</v>
      </c>
      <c r="C194">
        <v>0</v>
      </c>
      <c r="D194">
        <f t="shared" si="8"/>
        <v>1</v>
      </c>
      <c r="E194">
        <f t="shared" si="9"/>
        <v>74.86</v>
      </c>
      <c r="F194" t="e">
        <f t="shared" si="10"/>
        <v>#N/A</v>
      </c>
      <c r="G194" t="e">
        <f t="shared" si="11"/>
        <v>#N/A</v>
      </c>
    </row>
    <row r="195" spans="1:7" x14ac:dyDescent="0.2">
      <c r="A195">
        <v>2</v>
      </c>
      <c r="B195">
        <v>74.89</v>
      </c>
      <c r="C195">
        <v>1</v>
      </c>
      <c r="D195" t="e">
        <f t="shared" ref="D195:D251" si="12" xml:space="preserve"> IF($C195=0, $A195, NA())</f>
        <v>#N/A</v>
      </c>
      <c r="E195" t="e">
        <f t="shared" ref="E195:E251" si="13" xml:space="preserve"> IF($C195=0, B195, NA())</f>
        <v>#N/A</v>
      </c>
      <c r="F195">
        <f t="shared" ref="F195:F251" si="14" xml:space="preserve"> IF($C195=1, A195, NA())</f>
        <v>2</v>
      </c>
      <c r="G195">
        <f t="shared" ref="G195:G251" si="15" xml:space="preserve"> IF($C195=1, $B195, NA())</f>
        <v>74.89</v>
      </c>
    </row>
    <row r="196" spans="1:7" x14ac:dyDescent="0.2">
      <c r="A196">
        <v>3</v>
      </c>
      <c r="B196">
        <v>40.17</v>
      </c>
      <c r="C196">
        <v>0</v>
      </c>
      <c r="D196">
        <f t="shared" si="12"/>
        <v>3</v>
      </c>
      <c r="E196">
        <f t="shared" si="13"/>
        <v>40.17</v>
      </c>
      <c r="F196" t="e">
        <f t="shared" si="14"/>
        <v>#N/A</v>
      </c>
      <c r="G196" t="e">
        <f t="shared" si="15"/>
        <v>#N/A</v>
      </c>
    </row>
    <row r="197" spans="1:7" x14ac:dyDescent="0.2">
      <c r="A197">
        <v>1</v>
      </c>
      <c r="B197">
        <v>88.46</v>
      </c>
      <c r="C197">
        <v>0</v>
      </c>
      <c r="D197">
        <f t="shared" si="12"/>
        <v>1</v>
      </c>
      <c r="E197">
        <f t="shared" si="13"/>
        <v>88.46</v>
      </c>
      <c r="F197" t="e">
        <f t="shared" si="14"/>
        <v>#N/A</v>
      </c>
      <c r="G197" t="e">
        <f t="shared" si="15"/>
        <v>#N/A</v>
      </c>
    </row>
    <row r="198" spans="1:7" x14ac:dyDescent="0.2">
      <c r="A198">
        <v>3</v>
      </c>
      <c r="B198">
        <v>28.79</v>
      </c>
      <c r="C198">
        <v>1</v>
      </c>
      <c r="D198" t="e">
        <f t="shared" si="12"/>
        <v>#N/A</v>
      </c>
      <c r="E198" t="e">
        <f t="shared" si="13"/>
        <v>#N/A</v>
      </c>
      <c r="F198">
        <f t="shared" si="14"/>
        <v>3</v>
      </c>
      <c r="G198">
        <f t="shared" si="15"/>
        <v>28.79</v>
      </c>
    </row>
    <row r="199" spans="1:7" x14ac:dyDescent="0.2">
      <c r="A199">
        <v>0</v>
      </c>
      <c r="B199">
        <v>33.880000000000003</v>
      </c>
      <c r="C199">
        <v>0</v>
      </c>
      <c r="D199">
        <f t="shared" si="12"/>
        <v>0</v>
      </c>
      <c r="E199">
        <f t="shared" si="13"/>
        <v>33.880000000000003</v>
      </c>
      <c r="F199" t="e">
        <f t="shared" si="14"/>
        <v>#N/A</v>
      </c>
      <c r="G199" t="e">
        <f t="shared" si="15"/>
        <v>#N/A</v>
      </c>
    </row>
    <row r="200" spans="1:7" x14ac:dyDescent="0.2">
      <c r="A200">
        <v>0</v>
      </c>
      <c r="B200">
        <v>20.27</v>
      </c>
      <c r="C200">
        <v>0</v>
      </c>
      <c r="D200">
        <f t="shared" si="12"/>
        <v>0</v>
      </c>
      <c r="E200">
        <f t="shared" si="13"/>
        <v>20.27</v>
      </c>
      <c r="F200" t="e">
        <f t="shared" si="14"/>
        <v>#N/A</v>
      </c>
      <c r="G200" t="e">
        <f t="shared" si="15"/>
        <v>#N/A</v>
      </c>
    </row>
    <row r="201" spans="1:7" x14ac:dyDescent="0.2">
      <c r="A201">
        <v>1</v>
      </c>
      <c r="B201">
        <v>31.67</v>
      </c>
      <c r="C201">
        <v>1</v>
      </c>
      <c r="D201" t="e">
        <f t="shared" si="12"/>
        <v>#N/A</v>
      </c>
      <c r="E201" t="e">
        <f t="shared" si="13"/>
        <v>#N/A</v>
      </c>
      <c r="F201">
        <f t="shared" si="14"/>
        <v>1</v>
      </c>
      <c r="G201">
        <f t="shared" si="15"/>
        <v>31.67</v>
      </c>
    </row>
    <row r="202" spans="1:7" x14ac:dyDescent="0.2">
      <c r="A202">
        <v>2</v>
      </c>
      <c r="B202">
        <v>67.319999999999993</v>
      </c>
      <c r="C202">
        <v>0</v>
      </c>
      <c r="D202">
        <f t="shared" si="12"/>
        <v>2</v>
      </c>
      <c r="E202">
        <f t="shared" si="13"/>
        <v>67.319999999999993</v>
      </c>
      <c r="F202" t="e">
        <f t="shared" si="14"/>
        <v>#N/A</v>
      </c>
      <c r="G202" t="e">
        <f t="shared" si="15"/>
        <v>#N/A</v>
      </c>
    </row>
    <row r="203" spans="1:7" x14ac:dyDescent="0.2">
      <c r="A203">
        <v>1</v>
      </c>
      <c r="B203">
        <v>80.61</v>
      </c>
      <c r="C203">
        <v>0</v>
      </c>
      <c r="D203">
        <f t="shared" si="12"/>
        <v>1</v>
      </c>
      <c r="E203">
        <f t="shared" si="13"/>
        <v>80.61</v>
      </c>
      <c r="F203" t="e">
        <f t="shared" si="14"/>
        <v>#N/A</v>
      </c>
      <c r="G203" t="e">
        <f t="shared" si="15"/>
        <v>#N/A</v>
      </c>
    </row>
    <row r="204" spans="1:7" x14ac:dyDescent="0.2">
      <c r="A204">
        <v>3</v>
      </c>
      <c r="B204">
        <v>99.43</v>
      </c>
      <c r="C204">
        <v>1</v>
      </c>
      <c r="D204" t="e">
        <f t="shared" si="12"/>
        <v>#N/A</v>
      </c>
      <c r="E204" t="e">
        <f t="shared" si="13"/>
        <v>#N/A</v>
      </c>
      <c r="F204">
        <f t="shared" si="14"/>
        <v>3</v>
      </c>
      <c r="G204">
        <f t="shared" si="15"/>
        <v>99.43</v>
      </c>
    </row>
    <row r="205" spans="1:7" x14ac:dyDescent="0.2">
      <c r="A205">
        <v>4</v>
      </c>
      <c r="B205">
        <v>30.67</v>
      </c>
      <c r="C205">
        <v>0</v>
      </c>
      <c r="D205">
        <f t="shared" si="12"/>
        <v>4</v>
      </c>
      <c r="E205">
        <f t="shared" si="13"/>
        <v>30.67</v>
      </c>
      <c r="F205" t="e">
        <f t="shared" si="14"/>
        <v>#N/A</v>
      </c>
      <c r="G205" t="e">
        <f t="shared" si="15"/>
        <v>#N/A</v>
      </c>
    </row>
    <row r="206" spans="1:7" x14ac:dyDescent="0.2">
      <c r="A206">
        <v>0</v>
      </c>
      <c r="B206">
        <v>105.07</v>
      </c>
      <c r="C206">
        <v>0</v>
      </c>
      <c r="D206">
        <f t="shared" si="12"/>
        <v>0</v>
      </c>
      <c r="E206">
        <f t="shared" si="13"/>
        <v>105.07</v>
      </c>
      <c r="F206" t="e">
        <f t="shared" si="14"/>
        <v>#N/A</v>
      </c>
      <c r="G206" t="e">
        <f t="shared" si="15"/>
        <v>#N/A</v>
      </c>
    </row>
    <row r="207" spans="1:7" x14ac:dyDescent="0.2">
      <c r="A207">
        <v>3</v>
      </c>
      <c r="B207">
        <v>94.6</v>
      </c>
      <c r="C207">
        <v>0</v>
      </c>
      <c r="D207">
        <f t="shared" si="12"/>
        <v>3</v>
      </c>
      <c r="E207">
        <f t="shared" si="13"/>
        <v>94.6</v>
      </c>
      <c r="F207" t="e">
        <f t="shared" si="14"/>
        <v>#N/A</v>
      </c>
      <c r="G207" t="e">
        <f t="shared" si="15"/>
        <v>#N/A</v>
      </c>
    </row>
    <row r="208" spans="1:7" x14ac:dyDescent="0.2">
      <c r="A208">
        <v>2</v>
      </c>
      <c r="B208">
        <v>60.85</v>
      </c>
      <c r="C208">
        <v>1</v>
      </c>
      <c r="D208" t="e">
        <f t="shared" si="12"/>
        <v>#N/A</v>
      </c>
      <c r="E208" t="e">
        <f t="shared" si="13"/>
        <v>#N/A</v>
      </c>
      <c r="F208">
        <f t="shared" si="14"/>
        <v>2</v>
      </c>
      <c r="G208">
        <f t="shared" si="15"/>
        <v>60.85</v>
      </c>
    </row>
    <row r="209" spans="1:7" x14ac:dyDescent="0.2">
      <c r="A209">
        <v>3</v>
      </c>
      <c r="B209">
        <v>113.29</v>
      </c>
      <c r="C209">
        <v>1</v>
      </c>
      <c r="D209" t="e">
        <f t="shared" si="12"/>
        <v>#N/A</v>
      </c>
      <c r="E209" t="e">
        <f t="shared" si="13"/>
        <v>#N/A</v>
      </c>
      <c r="F209">
        <f t="shared" si="14"/>
        <v>3</v>
      </c>
      <c r="G209">
        <f t="shared" si="15"/>
        <v>113.29</v>
      </c>
    </row>
    <row r="210" spans="1:7" x14ac:dyDescent="0.2">
      <c r="A210">
        <v>1</v>
      </c>
      <c r="B210">
        <v>119.09</v>
      </c>
      <c r="C210">
        <v>1</v>
      </c>
      <c r="D210" t="e">
        <f t="shared" si="12"/>
        <v>#N/A</v>
      </c>
      <c r="E210" t="e">
        <f t="shared" si="13"/>
        <v>#N/A</v>
      </c>
      <c r="F210">
        <f t="shared" si="14"/>
        <v>1</v>
      </c>
      <c r="G210">
        <f t="shared" si="15"/>
        <v>119.09</v>
      </c>
    </row>
    <row r="211" spans="1:7" x14ac:dyDescent="0.2">
      <c r="A211">
        <v>3</v>
      </c>
      <c r="B211">
        <v>40.5</v>
      </c>
      <c r="C211">
        <v>0</v>
      </c>
      <c r="D211">
        <f t="shared" si="12"/>
        <v>3</v>
      </c>
      <c r="E211">
        <f t="shared" si="13"/>
        <v>40.5</v>
      </c>
      <c r="F211" t="e">
        <f t="shared" si="14"/>
        <v>#N/A</v>
      </c>
      <c r="G211" t="e">
        <f t="shared" si="15"/>
        <v>#N/A</v>
      </c>
    </row>
    <row r="212" spans="1:7" x14ac:dyDescent="0.2">
      <c r="A212">
        <v>2</v>
      </c>
      <c r="B212">
        <v>57.92</v>
      </c>
      <c r="C212">
        <v>1</v>
      </c>
      <c r="D212" t="e">
        <f t="shared" si="12"/>
        <v>#N/A</v>
      </c>
      <c r="E212" t="e">
        <f t="shared" si="13"/>
        <v>#N/A</v>
      </c>
      <c r="F212">
        <f t="shared" si="14"/>
        <v>2</v>
      </c>
      <c r="G212">
        <f t="shared" si="15"/>
        <v>57.92</v>
      </c>
    </row>
    <row r="213" spans="1:7" x14ac:dyDescent="0.2">
      <c r="A213">
        <v>0</v>
      </c>
      <c r="B213">
        <v>112.64</v>
      </c>
      <c r="C213">
        <v>1</v>
      </c>
      <c r="D213" t="e">
        <f t="shared" si="12"/>
        <v>#N/A</v>
      </c>
      <c r="E213" t="e">
        <f t="shared" si="13"/>
        <v>#N/A</v>
      </c>
      <c r="F213">
        <f t="shared" si="14"/>
        <v>0</v>
      </c>
      <c r="G213">
        <f t="shared" si="15"/>
        <v>112.64</v>
      </c>
    </row>
    <row r="214" spans="1:7" x14ac:dyDescent="0.2">
      <c r="A214">
        <v>3</v>
      </c>
      <c r="B214">
        <v>92.16</v>
      </c>
      <c r="C214">
        <v>1</v>
      </c>
      <c r="D214" t="e">
        <f t="shared" si="12"/>
        <v>#N/A</v>
      </c>
      <c r="E214" t="e">
        <f t="shared" si="13"/>
        <v>#N/A</v>
      </c>
      <c r="F214">
        <f t="shared" si="14"/>
        <v>3</v>
      </c>
      <c r="G214">
        <f t="shared" si="15"/>
        <v>92.16</v>
      </c>
    </row>
    <row r="215" spans="1:7" x14ac:dyDescent="0.2">
      <c r="A215">
        <v>0</v>
      </c>
      <c r="B215">
        <v>24.81</v>
      </c>
      <c r="C215">
        <v>1</v>
      </c>
      <c r="D215" t="e">
        <f t="shared" si="12"/>
        <v>#N/A</v>
      </c>
      <c r="E215" t="e">
        <f t="shared" si="13"/>
        <v>#N/A</v>
      </c>
      <c r="F215">
        <f t="shared" si="14"/>
        <v>0</v>
      </c>
      <c r="G215">
        <f t="shared" si="15"/>
        <v>24.81</v>
      </c>
    </row>
    <row r="216" spans="1:7" x14ac:dyDescent="0.2">
      <c r="A216">
        <v>2</v>
      </c>
      <c r="B216">
        <v>98.15</v>
      </c>
      <c r="C216">
        <v>0</v>
      </c>
      <c r="D216">
        <f t="shared" si="12"/>
        <v>2</v>
      </c>
      <c r="E216">
        <f t="shared" si="13"/>
        <v>98.15</v>
      </c>
      <c r="F216" t="e">
        <f t="shared" si="14"/>
        <v>#N/A</v>
      </c>
      <c r="G216" t="e">
        <f t="shared" si="15"/>
        <v>#N/A</v>
      </c>
    </row>
    <row r="217" spans="1:7" x14ac:dyDescent="0.2">
      <c r="A217">
        <v>5</v>
      </c>
      <c r="B217">
        <v>102.79</v>
      </c>
      <c r="C217">
        <v>0</v>
      </c>
      <c r="D217">
        <f t="shared" si="12"/>
        <v>5</v>
      </c>
      <c r="E217">
        <f t="shared" si="13"/>
        <v>102.79</v>
      </c>
      <c r="F217" t="e">
        <f t="shared" si="14"/>
        <v>#N/A</v>
      </c>
      <c r="G217" t="e">
        <f t="shared" si="15"/>
        <v>#N/A</v>
      </c>
    </row>
    <row r="218" spans="1:7" x14ac:dyDescent="0.2">
      <c r="A218">
        <v>2</v>
      </c>
      <c r="B218">
        <v>95.05</v>
      </c>
      <c r="C218">
        <v>1</v>
      </c>
      <c r="D218" t="e">
        <f t="shared" si="12"/>
        <v>#N/A</v>
      </c>
      <c r="E218" t="e">
        <f t="shared" si="13"/>
        <v>#N/A</v>
      </c>
      <c r="F218">
        <f t="shared" si="14"/>
        <v>2</v>
      </c>
      <c r="G218">
        <f t="shared" si="15"/>
        <v>95.05</v>
      </c>
    </row>
    <row r="219" spans="1:7" x14ac:dyDescent="0.2">
      <c r="A219">
        <v>1</v>
      </c>
      <c r="B219">
        <v>99.95</v>
      </c>
      <c r="C219">
        <v>0</v>
      </c>
      <c r="D219">
        <f t="shared" si="12"/>
        <v>1</v>
      </c>
      <c r="E219">
        <f t="shared" si="13"/>
        <v>99.95</v>
      </c>
      <c r="F219" t="e">
        <f t="shared" si="14"/>
        <v>#N/A</v>
      </c>
      <c r="G219" t="e">
        <f t="shared" si="15"/>
        <v>#N/A</v>
      </c>
    </row>
    <row r="220" spans="1:7" x14ac:dyDescent="0.2">
      <c r="A220">
        <v>3</v>
      </c>
      <c r="B220">
        <v>102.51</v>
      </c>
      <c r="C220">
        <v>1</v>
      </c>
      <c r="D220" t="e">
        <f t="shared" si="12"/>
        <v>#N/A</v>
      </c>
      <c r="E220" t="e">
        <f t="shared" si="13"/>
        <v>#N/A</v>
      </c>
      <c r="F220">
        <f t="shared" si="14"/>
        <v>3</v>
      </c>
      <c r="G220">
        <f t="shared" si="15"/>
        <v>102.51</v>
      </c>
    </row>
    <row r="221" spans="1:7" x14ac:dyDescent="0.2">
      <c r="A221">
        <v>2</v>
      </c>
      <c r="B221">
        <v>38.64</v>
      </c>
      <c r="C221">
        <v>0</v>
      </c>
      <c r="D221">
        <f t="shared" si="12"/>
        <v>2</v>
      </c>
      <c r="E221">
        <f t="shared" si="13"/>
        <v>38.64</v>
      </c>
      <c r="F221" t="e">
        <f t="shared" si="14"/>
        <v>#N/A</v>
      </c>
      <c r="G221" t="e">
        <f t="shared" si="15"/>
        <v>#N/A</v>
      </c>
    </row>
    <row r="222" spans="1:7" x14ac:dyDescent="0.2">
      <c r="A222">
        <v>1</v>
      </c>
      <c r="B222">
        <v>43.57</v>
      </c>
      <c r="C222">
        <v>0</v>
      </c>
      <c r="D222">
        <f t="shared" si="12"/>
        <v>1</v>
      </c>
      <c r="E222">
        <f t="shared" si="13"/>
        <v>43.57</v>
      </c>
      <c r="F222" t="e">
        <f t="shared" si="14"/>
        <v>#N/A</v>
      </c>
      <c r="G222" t="e">
        <f t="shared" si="15"/>
        <v>#N/A</v>
      </c>
    </row>
    <row r="223" spans="1:7" x14ac:dyDescent="0.2">
      <c r="A223">
        <v>0</v>
      </c>
      <c r="B223">
        <v>83.38</v>
      </c>
      <c r="C223">
        <v>1</v>
      </c>
      <c r="D223" t="e">
        <f t="shared" si="12"/>
        <v>#N/A</v>
      </c>
      <c r="E223" t="e">
        <f t="shared" si="13"/>
        <v>#N/A</v>
      </c>
      <c r="F223">
        <f t="shared" si="14"/>
        <v>0</v>
      </c>
      <c r="G223">
        <f t="shared" si="15"/>
        <v>83.38</v>
      </c>
    </row>
    <row r="224" spans="1:7" x14ac:dyDescent="0.2">
      <c r="A224">
        <v>3</v>
      </c>
      <c r="B224">
        <v>110.79</v>
      </c>
      <c r="C224">
        <v>1</v>
      </c>
      <c r="D224" t="e">
        <f t="shared" si="12"/>
        <v>#N/A</v>
      </c>
      <c r="E224" t="e">
        <f t="shared" si="13"/>
        <v>#N/A</v>
      </c>
      <c r="F224">
        <f t="shared" si="14"/>
        <v>3</v>
      </c>
      <c r="G224">
        <f t="shared" si="15"/>
        <v>110.79</v>
      </c>
    </row>
    <row r="225" spans="1:7" x14ac:dyDescent="0.2">
      <c r="A225">
        <v>0</v>
      </c>
      <c r="B225">
        <v>51.62</v>
      </c>
      <c r="C225">
        <v>1</v>
      </c>
      <c r="D225" t="e">
        <f t="shared" si="12"/>
        <v>#N/A</v>
      </c>
      <c r="E225" t="e">
        <f t="shared" si="13"/>
        <v>#N/A</v>
      </c>
      <c r="F225">
        <f t="shared" si="14"/>
        <v>0</v>
      </c>
      <c r="G225">
        <f t="shared" si="15"/>
        <v>51.62</v>
      </c>
    </row>
    <row r="226" spans="1:7" x14ac:dyDescent="0.2">
      <c r="A226">
        <v>1</v>
      </c>
      <c r="B226">
        <v>78.83</v>
      </c>
      <c r="C226">
        <v>0</v>
      </c>
      <c r="D226">
        <f t="shared" si="12"/>
        <v>1</v>
      </c>
      <c r="E226">
        <f t="shared" si="13"/>
        <v>78.83</v>
      </c>
      <c r="F226" t="e">
        <f t="shared" si="14"/>
        <v>#N/A</v>
      </c>
      <c r="G226" t="e">
        <f t="shared" si="15"/>
        <v>#N/A</v>
      </c>
    </row>
    <row r="227" spans="1:7" x14ac:dyDescent="0.2">
      <c r="A227">
        <v>4</v>
      </c>
      <c r="B227">
        <v>88.3</v>
      </c>
      <c r="C227">
        <v>0</v>
      </c>
      <c r="D227">
        <f t="shared" si="12"/>
        <v>4</v>
      </c>
      <c r="E227">
        <f t="shared" si="13"/>
        <v>88.3</v>
      </c>
      <c r="F227" t="e">
        <f t="shared" si="14"/>
        <v>#N/A</v>
      </c>
      <c r="G227" t="e">
        <f t="shared" si="15"/>
        <v>#N/A</v>
      </c>
    </row>
    <row r="228" spans="1:7" x14ac:dyDescent="0.2">
      <c r="A228">
        <v>0</v>
      </c>
      <c r="B228">
        <v>65.19</v>
      </c>
      <c r="C228">
        <v>1</v>
      </c>
      <c r="D228" t="e">
        <f t="shared" si="12"/>
        <v>#N/A</v>
      </c>
      <c r="E228" t="e">
        <f t="shared" si="13"/>
        <v>#N/A</v>
      </c>
      <c r="F228">
        <f t="shared" si="14"/>
        <v>0</v>
      </c>
      <c r="G228">
        <f t="shared" si="15"/>
        <v>65.19</v>
      </c>
    </row>
    <row r="229" spans="1:7" x14ac:dyDescent="0.2">
      <c r="A229">
        <v>0</v>
      </c>
      <c r="B229">
        <v>91.38</v>
      </c>
      <c r="C229">
        <v>0</v>
      </c>
      <c r="D229">
        <f t="shared" si="12"/>
        <v>0</v>
      </c>
      <c r="E229">
        <f t="shared" si="13"/>
        <v>91.38</v>
      </c>
      <c r="F229" t="e">
        <f t="shared" si="14"/>
        <v>#N/A</v>
      </c>
      <c r="G229" t="e">
        <f t="shared" si="15"/>
        <v>#N/A</v>
      </c>
    </row>
    <row r="230" spans="1:7" x14ac:dyDescent="0.2">
      <c r="A230">
        <v>1</v>
      </c>
      <c r="B230">
        <v>109.97</v>
      </c>
      <c r="C230">
        <v>1</v>
      </c>
      <c r="D230" t="e">
        <f t="shared" si="12"/>
        <v>#N/A</v>
      </c>
      <c r="E230" t="e">
        <f t="shared" si="13"/>
        <v>#N/A</v>
      </c>
      <c r="F230">
        <f t="shared" si="14"/>
        <v>1</v>
      </c>
      <c r="G230">
        <f t="shared" si="15"/>
        <v>109.97</v>
      </c>
    </row>
    <row r="231" spans="1:7" x14ac:dyDescent="0.2">
      <c r="A231">
        <v>2</v>
      </c>
      <c r="B231">
        <v>82.41</v>
      </c>
      <c r="C231">
        <v>1</v>
      </c>
      <c r="D231" t="e">
        <f t="shared" si="12"/>
        <v>#N/A</v>
      </c>
      <c r="E231" t="e">
        <f t="shared" si="13"/>
        <v>#N/A</v>
      </c>
      <c r="F231">
        <f t="shared" si="14"/>
        <v>2</v>
      </c>
      <c r="G231">
        <f t="shared" si="15"/>
        <v>82.41</v>
      </c>
    </row>
    <row r="232" spans="1:7" x14ac:dyDescent="0.2">
      <c r="A232">
        <v>1</v>
      </c>
      <c r="B232">
        <v>73.98</v>
      </c>
      <c r="C232">
        <v>0</v>
      </c>
      <c r="D232">
        <f t="shared" si="12"/>
        <v>1</v>
      </c>
      <c r="E232">
        <f t="shared" si="13"/>
        <v>73.98</v>
      </c>
      <c r="F232" t="e">
        <f t="shared" si="14"/>
        <v>#N/A</v>
      </c>
      <c r="G232" t="e">
        <f t="shared" si="15"/>
        <v>#N/A</v>
      </c>
    </row>
    <row r="233" spans="1:7" x14ac:dyDescent="0.2">
      <c r="A233">
        <v>3</v>
      </c>
      <c r="B233">
        <v>63.87</v>
      </c>
      <c r="C233">
        <v>0</v>
      </c>
      <c r="D233">
        <f t="shared" si="12"/>
        <v>3</v>
      </c>
      <c r="E233">
        <f t="shared" si="13"/>
        <v>63.87</v>
      </c>
      <c r="F233" t="e">
        <f t="shared" si="14"/>
        <v>#N/A</v>
      </c>
      <c r="G233" t="e">
        <f t="shared" si="15"/>
        <v>#N/A</v>
      </c>
    </row>
    <row r="234" spans="1:7" x14ac:dyDescent="0.2">
      <c r="A234">
        <v>4</v>
      </c>
      <c r="B234">
        <v>77.75</v>
      </c>
      <c r="C234">
        <v>0</v>
      </c>
      <c r="D234">
        <f t="shared" si="12"/>
        <v>4</v>
      </c>
      <c r="E234">
        <f t="shared" si="13"/>
        <v>77.75</v>
      </c>
      <c r="F234" t="e">
        <f t="shared" si="14"/>
        <v>#N/A</v>
      </c>
      <c r="G234" t="e">
        <f t="shared" si="15"/>
        <v>#N/A</v>
      </c>
    </row>
    <row r="235" spans="1:7" x14ac:dyDescent="0.2">
      <c r="A235">
        <v>2</v>
      </c>
      <c r="B235">
        <v>55.54</v>
      </c>
      <c r="C235">
        <v>1</v>
      </c>
      <c r="D235" t="e">
        <f t="shared" si="12"/>
        <v>#N/A</v>
      </c>
      <c r="E235" t="e">
        <f t="shared" si="13"/>
        <v>#N/A</v>
      </c>
      <c r="F235">
        <f t="shared" si="14"/>
        <v>2</v>
      </c>
      <c r="G235">
        <f t="shared" si="15"/>
        <v>55.54</v>
      </c>
    </row>
    <row r="236" spans="1:7" x14ac:dyDescent="0.2">
      <c r="A236">
        <v>3</v>
      </c>
      <c r="B236">
        <v>59.15</v>
      </c>
      <c r="C236">
        <v>1</v>
      </c>
      <c r="D236" t="e">
        <f t="shared" si="12"/>
        <v>#N/A</v>
      </c>
      <c r="E236" t="e">
        <f t="shared" si="13"/>
        <v>#N/A</v>
      </c>
      <c r="F236">
        <f t="shared" si="14"/>
        <v>3</v>
      </c>
      <c r="G236">
        <f t="shared" si="15"/>
        <v>59.15</v>
      </c>
    </row>
    <row r="237" spans="1:7" x14ac:dyDescent="0.2">
      <c r="A237">
        <v>0</v>
      </c>
      <c r="B237">
        <v>73.19</v>
      </c>
      <c r="C237">
        <v>0</v>
      </c>
      <c r="D237">
        <f t="shared" si="12"/>
        <v>0</v>
      </c>
      <c r="E237">
        <f t="shared" si="13"/>
        <v>73.19</v>
      </c>
      <c r="F237" t="e">
        <f t="shared" si="14"/>
        <v>#N/A</v>
      </c>
      <c r="G237" t="e">
        <f t="shared" si="15"/>
        <v>#N/A</v>
      </c>
    </row>
    <row r="238" spans="1:7" x14ac:dyDescent="0.2">
      <c r="A238">
        <v>2</v>
      </c>
      <c r="B238">
        <v>26.66</v>
      </c>
      <c r="C238">
        <v>0</v>
      </c>
      <c r="D238">
        <f t="shared" si="12"/>
        <v>2</v>
      </c>
      <c r="E238">
        <f t="shared" si="13"/>
        <v>26.66</v>
      </c>
      <c r="F238" t="e">
        <f t="shared" si="14"/>
        <v>#N/A</v>
      </c>
      <c r="G238" t="e">
        <f t="shared" si="15"/>
        <v>#N/A</v>
      </c>
    </row>
    <row r="239" spans="1:7" x14ac:dyDescent="0.2">
      <c r="A239">
        <v>2</v>
      </c>
      <c r="B239">
        <v>42.9</v>
      </c>
      <c r="C239">
        <v>0</v>
      </c>
      <c r="D239">
        <f t="shared" si="12"/>
        <v>2</v>
      </c>
      <c r="E239">
        <f t="shared" si="13"/>
        <v>42.9</v>
      </c>
      <c r="F239" t="e">
        <f t="shared" si="14"/>
        <v>#N/A</v>
      </c>
      <c r="G239" t="e">
        <f t="shared" si="15"/>
        <v>#N/A</v>
      </c>
    </row>
    <row r="240" spans="1:7" x14ac:dyDescent="0.2">
      <c r="A240">
        <v>1</v>
      </c>
      <c r="B240">
        <v>74.28</v>
      </c>
      <c r="C240">
        <v>1</v>
      </c>
      <c r="D240" t="e">
        <f t="shared" si="12"/>
        <v>#N/A</v>
      </c>
      <c r="E240" t="e">
        <f t="shared" si="13"/>
        <v>#N/A</v>
      </c>
      <c r="F240">
        <f t="shared" si="14"/>
        <v>1</v>
      </c>
      <c r="G240">
        <f t="shared" si="15"/>
        <v>74.28</v>
      </c>
    </row>
    <row r="241" spans="1:7" x14ac:dyDescent="0.2">
      <c r="A241">
        <v>2</v>
      </c>
      <c r="B241">
        <v>63.15</v>
      </c>
      <c r="C241">
        <v>0</v>
      </c>
      <c r="D241">
        <f t="shared" si="12"/>
        <v>2</v>
      </c>
      <c r="E241">
        <f t="shared" si="13"/>
        <v>63.15</v>
      </c>
      <c r="F241" t="e">
        <f t="shared" si="14"/>
        <v>#N/A</v>
      </c>
      <c r="G241" t="e">
        <f t="shared" si="15"/>
        <v>#N/A</v>
      </c>
    </row>
    <row r="242" spans="1:7" x14ac:dyDescent="0.2">
      <c r="A242">
        <v>2</v>
      </c>
      <c r="B242">
        <v>53.28</v>
      </c>
      <c r="C242">
        <v>1</v>
      </c>
      <c r="D242" t="e">
        <f t="shared" si="12"/>
        <v>#N/A</v>
      </c>
      <c r="E242" t="e">
        <f t="shared" si="13"/>
        <v>#N/A</v>
      </c>
      <c r="F242">
        <f t="shared" si="14"/>
        <v>2</v>
      </c>
      <c r="G242">
        <f t="shared" si="15"/>
        <v>53.28</v>
      </c>
    </row>
    <row r="243" spans="1:7" x14ac:dyDescent="0.2">
      <c r="A243">
        <v>2</v>
      </c>
      <c r="B243">
        <v>93.05</v>
      </c>
      <c r="C243">
        <v>1</v>
      </c>
      <c r="D243" t="e">
        <f t="shared" si="12"/>
        <v>#N/A</v>
      </c>
      <c r="E243" t="e">
        <f t="shared" si="13"/>
        <v>#N/A</v>
      </c>
      <c r="F243">
        <f t="shared" si="14"/>
        <v>2</v>
      </c>
      <c r="G243">
        <f t="shared" si="15"/>
        <v>93.05</v>
      </c>
    </row>
    <row r="244" spans="1:7" x14ac:dyDescent="0.2">
      <c r="A244">
        <v>1</v>
      </c>
      <c r="B244">
        <v>89.37</v>
      </c>
      <c r="C244">
        <v>0</v>
      </c>
      <c r="D244">
        <f t="shared" si="12"/>
        <v>1</v>
      </c>
      <c r="E244">
        <f t="shared" si="13"/>
        <v>89.37</v>
      </c>
      <c r="F244" t="e">
        <f t="shared" si="14"/>
        <v>#N/A</v>
      </c>
      <c r="G244" t="e">
        <f t="shared" si="15"/>
        <v>#N/A</v>
      </c>
    </row>
    <row r="245" spans="1:7" x14ac:dyDescent="0.2">
      <c r="A245">
        <v>3</v>
      </c>
      <c r="B245">
        <v>36.67</v>
      </c>
      <c r="C245">
        <v>1</v>
      </c>
      <c r="D245" t="e">
        <f t="shared" si="12"/>
        <v>#N/A</v>
      </c>
      <c r="E245" t="e">
        <f t="shared" si="13"/>
        <v>#N/A</v>
      </c>
      <c r="F245">
        <f t="shared" si="14"/>
        <v>3</v>
      </c>
      <c r="G245">
        <f t="shared" si="15"/>
        <v>36.67</v>
      </c>
    </row>
    <row r="246" spans="1:7" x14ac:dyDescent="0.2">
      <c r="A246">
        <v>4</v>
      </c>
      <c r="B246">
        <v>107.86</v>
      </c>
      <c r="C246">
        <v>0</v>
      </c>
      <c r="D246">
        <f t="shared" si="12"/>
        <v>4</v>
      </c>
      <c r="E246">
        <f t="shared" si="13"/>
        <v>107.86</v>
      </c>
      <c r="F246" t="e">
        <f t="shared" si="14"/>
        <v>#N/A</v>
      </c>
      <c r="G246" t="e">
        <f t="shared" si="15"/>
        <v>#N/A</v>
      </c>
    </row>
    <row r="247" spans="1:7" x14ac:dyDescent="0.2">
      <c r="A247">
        <v>2</v>
      </c>
      <c r="B247">
        <v>69.540000000000006</v>
      </c>
      <c r="C247">
        <v>1</v>
      </c>
      <c r="D247" t="e">
        <f t="shared" si="12"/>
        <v>#N/A</v>
      </c>
      <c r="E247" t="e">
        <f t="shared" si="13"/>
        <v>#N/A</v>
      </c>
      <c r="F247">
        <f t="shared" si="14"/>
        <v>2</v>
      </c>
      <c r="G247">
        <f t="shared" si="15"/>
        <v>69.540000000000006</v>
      </c>
    </row>
    <row r="248" spans="1:7" x14ac:dyDescent="0.2">
      <c r="A248">
        <v>3</v>
      </c>
      <c r="B248">
        <v>94.15</v>
      </c>
      <c r="C248">
        <v>1</v>
      </c>
      <c r="D248" t="e">
        <f t="shared" si="12"/>
        <v>#N/A</v>
      </c>
      <c r="E248" t="e">
        <f t="shared" si="13"/>
        <v>#N/A</v>
      </c>
      <c r="F248">
        <f t="shared" si="14"/>
        <v>3</v>
      </c>
      <c r="G248">
        <f t="shared" si="15"/>
        <v>94.15</v>
      </c>
    </row>
    <row r="249" spans="1:7" x14ac:dyDescent="0.2">
      <c r="A249">
        <v>3</v>
      </c>
      <c r="B249">
        <v>77.319999999999993</v>
      </c>
      <c r="C249">
        <v>1</v>
      </c>
      <c r="D249" t="e">
        <f t="shared" si="12"/>
        <v>#N/A</v>
      </c>
      <c r="E249" t="e">
        <f t="shared" si="13"/>
        <v>#N/A</v>
      </c>
      <c r="F249">
        <f t="shared" si="14"/>
        <v>3</v>
      </c>
      <c r="G249">
        <f t="shared" si="15"/>
        <v>77.319999999999993</v>
      </c>
    </row>
    <row r="250" spans="1:7" x14ac:dyDescent="0.2">
      <c r="A250">
        <v>3</v>
      </c>
      <c r="B250">
        <v>119.77</v>
      </c>
      <c r="C250">
        <v>1</v>
      </c>
      <c r="D250" t="e">
        <f t="shared" si="12"/>
        <v>#N/A</v>
      </c>
      <c r="E250" t="e">
        <f t="shared" si="13"/>
        <v>#N/A</v>
      </c>
      <c r="F250">
        <f t="shared" si="14"/>
        <v>3</v>
      </c>
      <c r="G250">
        <f t="shared" si="15"/>
        <v>119.77</v>
      </c>
    </row>
    <row r="251" spans="1:7" x14ac:dyDescent="0.2">
      <c r="A251">
        <v>5</v>
      </c>
      <c r="B251">
        <v>95.24</v>
      </c>
      <c r="C251">
        <v>0</v>
      </c>
      <c r="D251">
        <f t="shared" si="12"/>
        <v>5</v>
      </c>
      <c r="E251">
        <f t="shared" si="13"/>
        <v>95.24</v>
      </c>
      <c r="F251" t="e">
        <f t="shared" si="14"/>
        <v>#N/A</v>
      </c>
      <c r="G251" t="e">
        <f t="shared" si="15"/>
        <v>#N/A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4DFC-3EC7-A24E-958C-194BC74419F1}">
  <dimension ref="A1:B133"/>
  <sheetViews>
    <sheetView workbookViewId="0">
      <selection sqref="A1:B133"/>
    </sheetView>
  </sheetViews>
  <sheetFormatPr baseColWidth="10" defaultRowHeight="15" x14ac:dyDescent="0.2"/>
  <cols>
    <col min="1" max="1" width="11.33203125" customWidth="1"/>
  </cols>
  <sheetData>
    <row r="1" spans="1:2" x14ac:dyDescent="0.2">
      <c r="A1" s="3" t="s">
        <v>71</v>
      </c>
      <c r="B1" s="3" t="s">
        <v>13</v>
      </c>
    </row>
    <row r="2" spans="1:2" x14ac:dyDescent="0.2">
      <c r="A2" s="3">
        <v>46</v>
      </c>
      <c r="B2" s="3">
        <v>56</v>
      </c>
    </row>
    <row r="3" spans="1:2" x14ac:dyDescent="0.2">
      <c r="A3" s="3">
        <v>56</v>
      </c>
      <c r="B3" s="3">
        <v>69</v>
      </c>
    </row>
    <row r="4" spans="1:2" x14ac:dyDescent="0.2">
      <c r="A4" s="3">
        <v>40</v>
      </c>
      <c r="B4" s="3">
        <v>32</v>
      </c>
    </row>
    <row r="5" spans="1:2" x14ac:dyDescent="0.2">
      <c r="A5" s="3">
        <v>28</v>
      </c>
      <c r="B5" s="3">
        <v>60</v>
      </c>
    </row>
    <row r="6" spans="1:2" x14ac:dyDescent="0.2">
      <c r="A6" s="3">
        <v>28</v>
      </c>
      <c r="B6" s="3">
        <v>25</v>
      </c>
    </row>
    <row r="7" spans="1:2" x14ac:dyDescent="0.2">
      <c r="A7" s="3">
        <v>41</v>
      </c>
      <c r="B7" s="3">
        <v>38</v>
      </c>
    </row>
    <row r="8" spans="1:2" x14ac:dyDescent="0.2">
      <c r="A8" s="3">
        <v>57</v>
      </c>
      <c r="B8" s="3">
        <v>36</v>
      </c>
    </row>
    <row r="9" spans="1:2" x14ac:dyDescent="0.2">
      <c r="A9" s="3">
        <v>20</v>
      </c>
      <c r="B9" s="3">
        <v>53</v>
      </c>
    </row>
    <row r="10" spans="1:2" x14ac:dyDescent="0.2">
      <c r="A10" s="3">
        <v>39</v>
      </c>
      <c r="B10" s="3">
        <v>41</v>
      </c>
    </row>
    <row r="11" spans="1:2" x14ac:dyDescent="0.2">
      <c r="A11" s="3">
        <v>61</v>
      </c>
      <c r="B11" s="3">
        <v>19</v>
      </c>
    </row>
    <row r="12" spans="1:2" x14ac:dyDescent="0.2">
      <c r="A12" s="3">
        <v>19</v>
      </c>
      <c r="B12" s="3">
        <v>41</v>
      </c>
    </row>
    <row r="13" spans="1:2" x14ac:dyDescent="0.2">
      <c r="A13" s="3">
        <v>38</v>
      </c>
      <c r="B13" s="3">
        <v>47</v>
      </c>
    </row>
    <row r="14" spans="1:2" x14ac:dyDescent="0.2">
      <c r="A14" s="3">
        <v>50</v>
      </c>
      <c r="B14" s="3">
        <v>55</v>
      </c>
    </row>
    <row r="15" spans="1:2" x14ac:dyDescent="0.2">
      <c r="A15" s="3">
        <v>29</v>
      </c>
      <c r="B15" s="3">
        <v>42</v>
      </c>
    </row>
    <row r="16" spans="1:2" x14ac:dyDescent="0.2">
      <c r="A16" s="3">
        <v>39</v>
      </c>
      <c r="B16" s="3">
        <v>66</v>
      </c>
    </row>
    <row r="17" spans="1:2" x14ac:dyDescent="0.2">
      <c r="A17" s="3">
        <v>61</v>
      </c>
      <c r="B17" s="3">
        <v>45</v>
      </c>
    </row>
    <row r="18" spans="1:2" x14ac:dyDescent="0.2">
      <c r="A18" s="3">
        <v>44</v>
      </c>
      <c r="B18" s="3">
        <v>33</v>
      </c>
    </row>
    <row r="19" spans="1:2" x14ac:dyDescent="0.2">
      <c r="A19" s="3">
        <v>59</v>
      </c>
      <c r="B19" s="3">
        <v>61</v>
      </c>
    </row>
    <row r="20" spans="1:2" x14ac:dyDescent="0.2">
      <c r="A20" s="3">
        <v>32</v>
      </c>
      <c r="B20" s="3">
        <v>20</v>
      </c>
    </row>
    <row r="21" spans="1:2" x14ac:dyDescent="0.2">
      <c r="A21" s="3">
        <v>64</v>
      </c>
      <c r="B21" s="3">
        <v>54</v>
      </c>
    </row>
    <row r="22" spans="1:2" x14ac:dyDescent="0.2">
      <c r="A22" s="3">
        <v>68</v>
      </c>
      <c r="B22" s="3">
        <v>68</v>
      </c>
    </row>
    <row r="23" spans="1:2" x14ac:dyDescent="0.2">
      <c r="A23" s="3">
        <v>69</v>
      </c>
      <c r="B23" s="3">
        <v>38</v>
      </c>
    </row>
    <row r="24" spans="1:2" x14ac:dyDescent="0.2">
      <c r="A24" s="3">
        <v>24</v>
      </c>
      <c r="B24" s="3">
        <v>35</v>
      </c>
    </row>
    <row r="25" spans="1:2" x14ac:dyDescent="0.2">
      <c r="A25" s="3">
        <v>26</v>
      </c>
      <c r="B25" s="3">
        <v>42</v>
      </c>
    </row>
    <row r="26" spans="1:2" x14ac:dyDescent="0.2">
      <c r="A26" s="3">
        <v>56</v>
      </c>
      <c r="B26" s="3">
        <v>19</v>
      </c>
    </row>
    <row r="27" spans="1:2" x14ac:dyDescent="0.2">
      <c r="A27" s="3">
        <v>21</v>
      </c>
      <c r="B27" s="3">
        <v>37</v>
      </c>
    </row>
    <row r="28" spans="1:2" x14ac:dyDescent="0.2">
      <c r="A28" s="3">
        <v>31</v>
      </c>
      <c r="B28" s="3">
        <v>24</v>
      </c>
    </row>
    <row r="29" spans="1:2" x14ac:dyDescent="0.2">
      <c r="A29" s="3">
        <v>67</v>
      </c>
      <c r="B29" s="3">
        <v>25</v>
      </c>
    </row>
    <row r="30" spans="1:2" x14ac:dyDescent="0.2">
      <c r="A30" s="3">
        <v>26</v>
      </c>
      <c r="B30" s="3">
        <v>52</v>
      </c>
    </row>
    <row r="31" spans="1:2" x14ac:dyDescent="0.2">
      <c r="A31" s="3">
        <v>43</v>
      </c>
      <c r="B31" s="3">
        <v>34</v>
      </c>
    </row>
    <row r="32" spans="1:2" x14ac:dyDescent="0.2">
      <c r="A32" s="3">
        <v>45</v>
      </c>
      <c r="B32" s="3">
        <v>53</v>
      </c>
    </row>
    <row r="33" spans="1:2" x14ac:dyDescent="0.2">
      <c r="A33" s="3">
        <v>64</v>
      </c>
      <c r="B33" s="3">
        <v>67</v>
      </c>
    </row>
    <row r="34" spans="1:2" x14ac:dyDescent="0.2">
      <c r="A34" s="3">
        <v>61</v>
      </c>
      <c r="B34" s="3">
        <v>57</v>
      </c>
    </row>
    <row r="35" spans="1:2" x14ac:dyDescent="0.2">
      <c r="A35" s="3">
        <v>64</v>
      </c>
      <c r="B35" s="3">
        <v>19</v>
      </c>
    </row>
    <row r="36" spans="1:2" x14ac:dyDescent="0.2">
      <c r="A36" s="3">
        <v>31</v>
      </c>
      <c r="B36" s="3">
        <v>59</v>
      </c>
    </row>
    <row r="37" spans="1:2" x14ac:dyDescent="0.2">
      <c r="A37" s="3">
        <v>21</v>
      </c>
      <c r="B37" s="3">
        <v>21</v>
      </c>
    </row>
    <row r="38" spans="1:2" x14ac:dyDescent="0.2">
      <c r="A38" s="3">
        <v>23</v>
      </c>
      <c r="B38" s="3">
        <v>46</v>
      </c>
    </row>
    <row r="39" spans="1:2" x14ac:dyDescent="0.2">
      <c r="A39" s="3">
        <v>61</v>
      </c>
      <c r="B39" s="3">
        <v>35</v>
      </c>
    </row>
    <row r="40" spans="1:2" x14ac:dyDescent="0.2">
      <c r="A40" s="3">
        <v>51</v>
      </c>
      <c r="B40" s="3">
        <v>43</v>
      </c>
    </row>
    <row r="41" spans="1:2" x14ac:dyDescent="0.2">
      <c r="A41" s="3">
        <v>53</v>
      </c>
      <c r="B41" s="3">
        <v>27</v>
      </c>
    </row>
    <row r="42" spans="1:2" x14ac:dyDescent="0.2">
      <c r="A42" s="3">
        <v>65</v>
      </c>
      <c r="B42" s="3">
        <v>31</v>
      </c>
    </row>
    <row r="43" spans="1:2" x14ac:dyDescent="0.2">
      <c r="A43" s="3">
        <v>32</v>
      </c>
      <c r="B43" s="3">
        <v>48</v>
      </c>
    </row>
    <row r="44" spans="1:2" x14ac:dyDescent="0.2">
      <c r="A44" s="3">
        <v>25</v>
      </c>
      <c r="B44" s="3">
        <v>40</v>
      </c>
    </row>
    <row r="45" spans="1:2" x14ac:dyDescent="0.2">
      <c r="A45" s="3">
        <v>31</v>
      </c>
      <c r="B45" s="3">
        <v>33</v>
      </c>
    </row>
    <row r="46" spans="1:2" x14ac:dyDescent="0.2">
      <c r="A46" s="3">
        <v>57</v>
      </c>
      <c r="B46" s="3">
        <v>35</v>
      </c>
    </row>
    <row r="47" spans="1:2" x14ac:dyDescent="0.2">
      <c r="A47" s="3">
        <v>38</v>
      </c>
      <c r="B47" s="3">
        <v>64</v>
      </c>
    </row>
    <row r="48" spans="1:2" x14ac:dyDescent="0.2">
      <c r="A48" s="3">
        <v>62</v>
      </c>
      <c r="B48" s="3">
        <v>42</v>
      </c>
    </row>
    <row r="49" spans="1:2" x14ac:dyDescent="0.2">
      <c r="A49" s="3">
        <v>41</v>
      </c>
      <c r="B49" s="3">
        <v>62</v>
      </c>
    </row>
    <row r="50" spans="1:2" x14ac:dyDescent="0.2">
      <c r="A50" s="3">
        <v>43</v>
      </c>
      <c r="B50" s="3">
        <v>58</v>
      </c>
    </row>
    <row r="51" spans="1:2" x14ac:dyDescent="0.2">
      <c r="A51" s="3">
        <v>32</v>
      </c>
      <c r="B51" s="3">
        <v>46</v>
      </c>
    </row>
    <row r="52" spans="1:2" x14ac:dyDescent="0.2">
      <c r="A52" s="3">
        <v>62</v>
      </c>
      <c r="B52" s="3">
        <v>18</v>
      </c>
    </row>
    <row r="53" spans="1:2" x14ac:dyDescent="0.2">
      <c r="A53" s="3">
        <v>41</v>
      </c>
      <c r="B53" s="3">
        <v>42</v>
      </c>
    </row>
    <row r="54" spans="1:2" x14ac:dyDescent="0.2">
      <c r="A54" s="3">
        <v>18</v>
      </c>
      <c r="B54" s="3">
        <v>24</v>
      </c>
    </row>
    <row r="55" spans="1:2" x14ac:dyDescent="0.2">
      <c r="A55" s="3">
        <v>61</v>
      </c>
      <c r="B55" s="3">
        <v>26</v>
      </c>
    </row>
    <row r="56" spans="1:2" x14ac:dyDescent="0.2">
      <c r="A56" s="3">
        <v>41</v>
      </c>
      <c r="B56" s="3">
        <v>25</v>
      </c>
    </row>
    <row r="57" spans="1:2" x14ac:dyDescent="0.2">
      <c r="A57" s="3">
        <v>28</v>
      </c>
      <c r="B57" s="3">
        <v>25</v>
      </c>
    </row>
    <row r="58" spans="1:2" x14ac:dyDescent="0.2">
      <c r="A58" s="3">
        <v>68</v>
      </c>
      <c r="B58" s="3">
        <v>52</v>
      </c>
    </row>
    <row r="59" spans="1:2" x14ac:dyDescent="0.2">
      <c r="A59" s="3">
        <v>34</v>
      </c>
      <c r="B59" s="3">
        <v>50</v>
      </c>
    </row>
    <row r="60" spans="1:2" x14ac:dyDescent="0.2">
      <c r="A60" s="3">
        <v>52</v>
      </c>
      <c r="B60" s="3">
        <v>22</v>
      </c>
    </row>
    <row r="61" spans="1:2" x14ac:dyDescent="0.2">
      <c r="A61" s="3">
        <v>59</v>
      </c>
      <c r="B61" s="3">
        <v>45</v>
      </c>
    </row>
    <row r="62" spans="1:2" x14ac:dyDescent="0.2">
      <c r="A62" s="3">
        <v>56</v>
      </c>
      <c r="B62" s="3">
        <v>65</v>
      </c>
    </row>
    <row r="63" spans="1:2" x14ac:dyDescent="0.2">
      <c r="A63" s="3">
        <v>58</v>
      </c>
      <c r="B63" s="3">
        <v>40</v>
      </c>
    </row>
    <row r="64" spans="1:2" x14ac:dyDescent="0.2">
      <c r="A64" s="3">
        <v>24</v>
      </c>
      <c r="B64" s="3">
        <v>41</v>
      </c>
    </row>
    <row r="65" spans="1:2" x14ac:dyDescent="0.2">
      <c r="A65" s="3">
        <v>26</v>
      </c>
      <c r="B65" s="3">
        <v>54</v>
      </c>
    </row>
    <row r="66" spans="1:2" x14ac:dyDescent="0.2">
      <c r="A66" s="3">
        <v>25</v>
      </c>
      <c r="B66" s="3">
        <v>52</v>
      </c>
    </row>
    <row r="67" spans="1:2" x14ac:dyDescent="0.2">
      <c r="A67" s="3">
        <v>29</v>
      </c>
      <c r="B67" s="3">
        <v>61</v>
      </c>
    </row>
    <row r="68" spans="1:2" x14ac:dyDescent="0.2">
      <c r="A68" s="3">
        <v>51</v>
      </c>
      <c r="B68" s="3">
        <v>39</v>
      </c>
    </row>
    <row r="69" spans="1:2" x14ac:dyDescent="0.2">
      <c r="A69" s="3">
        <v>50</v>
      </c>
      <c r="B69" s="3">
        <v>44</v>
      </c>
    </row>
    <row r="70" spans="1:2" x14ac:dyDescent="0.2">
      <c r="A70" s="3">
        <v>57</v>
      </c>
      <c r="B70" s="3">
        <v>52</v>
      </c>
    </row>
    <row r="71" spans="1:2" x14ac:dyDescent="0.2">
      <c r="A71" s="3">
        <v>52</v>
      </c>
      <c r="B71" s="3">
        <v>31</v>
      </c>
    </row>
    <row r="72" spans="1:2" x14ac:dyDescent="0.2">
      <c r="A72" s="3">
        <v>18</v>
      </c>
      <c r="B72" s="3">
        <v>56</v>
      </c>
    </row>
    <row r="73" spans="1:2" x14ac:dyDescent="0.2">
      <c r="A73" s="3">
        <v>54</v>
      </c>
      <c r="B73" s="3">
        <v>44</v>
      </c>
    </row>
    <row r="74" spans="1:2" x14ac:dyDescent="0.2">
      <c r="A74" s="3">
        <v>64</v>
      </c>
      <c r="B74" s="3">
        <v>26</v>
      </c>
    </row>
    <row r="75" spans="1:2" x14ac:dyDescent="0.2">
      <c r="A75" s="3">
        <v>20</v>
      </c>
      <c r="B75" s="3">
        <v>43</v>
      </c>
    </row>
    <row r="76" spans="1:2" x14ac:dyDescent="0.2">
      <c r="A76" s="3">
        <v>18</v>
      </c>
      <c r="B76" s="3">
        <v>68</v>
      </c>
    </row>
    <row r="77" spans="1:2" x14ac:dyDescent="0.2">
      <c r="A77" s="3">
        <v>22</v>
      </c>
      <c r="B77" s="3">
        <v>66</v>
      </c>
    </row>
    <row r="78" spans="1:2" x14ac:dyDescent="0.2">
      <c r="A78" s="3">
        <v>43</v>
      </c>
      <c r="B78" s="3">
        <v>21</v>
      </c>
    </row>
    <row r="79" spans="1:2" x14ac:dyDescent="0.2">
      <c r="A79" s="3">
        <v>31</v>
      </c>
      <c r="B79" s="3">
        <v>54</v>
      </c>
    </row>
    <row r="80" spans="1:2" x14ac:dyDescent="0.2">
      <c r="A80" s="3">
        <v>32</v>
      </c>
      <c r="B80" s="3">
        <v>40</v>
      </c>
    </row>
    <row r="81" spans="1:2" x14ac:dyDescent="0.2">
      <c r="A81" s="3">
        <v>32</v>
      </c>
      <c r="B81" s="3">
        <v>56</v>
      </c>
    </row>
    <row r="82" spans="1:2" x14ac:dyDescent="0.2">
      <c r="A82" s="3">
        <v>59</v>
      </c>
      <c r="B82" s="3">
        <v>62</v>
      </c>
    </row>
    <row r="83" spans="1:2" x14ac:dyDescent="0.2">
      <c r="A83" s="3">
        <v>30</v>
      </c>
      <c r="B83" s="3">
        <v>32</v>
      </c>
    </row>
    <row r="84" spans="1:2" x14ac:dyDescent="0.2">
      <c r="A84" s="3">
        <v>49</v>
      </c>
      <c r="B84" s="3">
        <v>60</v>
      </c>
    </row>
    <row r="85" spans="1:2" x14ac:dyDescent="0.2">
      <c r="A85" s="3">
        <v>56</v>
      </c>
      <c r="B85" s="3">
        <v>39</v>
      </c>
    </row>
    <row r="86" spans="1:2" x14ac:dyDescent="0.2">
      <c r="A86" s="3">
        <v>69</v>
      </c>
      <c r="B86" s="3">
        <v>45</v>
      </c>
    </row>
    <row r="87" spans="1:2" x14ac:dyDescent="0.2">
      <c r="A87" s="3">
        <v>49</v>
      </c>
      <c r="B87" s="3">
        <v>45</v>
      </c>
    </row>
    <row r="88" spans="1:2" x14ac:dyDescent="0.2">
      <c r="A88" s="3">
        <v>47</v>
      </c>
      <c r="B88" s="3">
        <v>61</v>
      </c>
    </row>
    <row r="89" spans="1:2" x14ac:dyDescent="0.2">
      <c r="A89" s="3">
        <v>46</v>
      </c>
      <c r="B89" s="3">
        <v>61</v>
      </c>
    </row>
    <row r="90" spans="1:2" x14ac:dyDescent="0.2">
      <c r="A90" s="3">
        <v>53</v>
      </c>
      <c r="B90" s="3">
        <v>28</v>
      </c>
    </row>
    <row r="91" spans="1:2" x14ac:dyDescent="0.2">
      <c r="A91" s="3">
        <v>30</v>
      </c>
      <c r="B91" s="3">
        <v>18</v>
      </c>
    </row>
    <row r="92" spans="1:2" x14ac:dyDescent="0.2">
      <c r="A92" s="3">
        <v>49</v>
      </c>
      <c r="B92" s="3">
        <v>30</v>
      </c>
    </row>
    <row r="93" spans="1:2" x14ac:dyDescent="0.2">
      <c r="A93" s="3">
        <v>24</v>
      </c>
      <c r="B93" s="3">
        <v>56</v>
      </c>
    </row>
    <row r="94" spans="1:2" x14ac:dyDescent="0.2">
      <c r="A94" s="3">
        <v>68</v>
      </c>
      <c r="B94" s="3">
        <v>44</v>
      </c>
    </row>
    <row r="95" spans="1:2" x14ac:dyDescent="0.2">
      <c r="A95" s="3">
        <v>45</v>
      </c>
      <c r="B95" s="3">
        <v>68</v>
      </c>
    </row>
    <row r="96" spans="1:2" x14ac:dyDescent="0.2">
      <c r="A96" s="3">
        <v>19</v>
      </c>
      <c r="B96" s="3">
        <v>59</v>
      </c>
    </row>
    <row r="97" spans="1:2" x14ac:dyDescent="0.2">
      <c r="A97" s="3">
        <v>59</v>
      </c>
      <c r="B97" s="3">
        <v>61</v>
      </c>
    </row>
    <row r="98" spans="1:2" x14ac:dyDescent="0.2">
      <c r="A98" s="3">
        <v>62</v>
      </c>
      <c r="B98" s="3">
        <v>32</v>
      </c>
    </row>
    <row r="99" spans="1:2" x14ac:dyDescent="0.2">
      <c r="A99" s="3">
        <v>23</v>
      </c>
      <c r="B99" s="3">
        <v>49</v>
      </c>
    </row>
    <row r="100" spans="1:2" x14ac:dyDescent="0.2">
      <c r="A100" s="3">
        <v>37</v>
      </c>
      <c r="B100" s="3">
        <v>49</v>
      </c>
    </row>
    <row r="101" spans="1:2" x14ac:dyDescent="0.2">
      <c r="A101" s="3">
        <v>47</v>
      </c>
      <c r="B101" s="3">
        <v>41</v>
      </c>
    </row>
    <row r="102" spans="1:2" x14ac:dyDescent="0.2">
      <c r="A102" s="3">
        <v>45</v>
      </c>
      <c r="B102" s="3">
        <v>66</v>
      </c>
    </row>
    <row r="103" spans="1:2" x14ac:dyDescent="0.2">
      <c r="A103" s="3">
        <v>42</v>
      </c>
      <c r="B103" s="3">
        <v>69</v>
      </c>
    </row>
    <row r="104" spans="1:2" x14ac:dyDescent="0.2">
      <c r="A104" s="3">
        <v>56</v>
      </c>
      <c r="B104" s="3">
        <v>19</v>
      </c>
    </row>
    <row r="105" spans="1:2" x14ac:dyDescent="0.2">
      <c r="A105" s="3">
        <v>50</v>
      </c>
      <c r="B105" s="3">
        <v>20</v>
      </c>
    </row>
    <row r="106" spans="1:2" x14ac:dyDescent="0.2">
      <c r="A106" s="3">
        <v>44</v>
      </c>
      <c r="B106" s="3">
        <v>66</v>
      </c>
    </row>
    <row r="107" spans="1:2" x14ac:dyDescent="0.2">
      <c r="A107" s="3">
        <v>69</v>
      </c>
      <c r="B107" s="3">
        <v>34</v>
      </c>
    </row>
    <row r="108" spans="1:2" x14ac:dyDescent="0.2">
      <c r="A108" s="3">
        <v>58</v>
      </c>
      <c r="B108" s="3">
        <v>19</v>
      </c>
    </row>
    <row r="109" spans="1:2" x14ac:dyDescent="0.2">
      <c r="A109" s="3">
        <v>20</v>
      </c>
      <c r="B109" s="3">
        <v>19</v>
      </c>
    </row>
    <row r="110" spans="1:2" x14ac:dyDescent="0.2">
      <c r="A110" s="3">
        <v>23</v>
      </c>
      <c r="B110" s="3">
        <v>49</v>
      </c>
    </row>
    <row r="111" spans="1:2" x14ac:dyDescent="0.2">
      <c r="A111" s="3">
        <v>25</v>
      </c>
      <c r="B111" s="3">
        <v>50</v>
      </c>
    </row>
    <row r="112" spans="1:2" x14ac:dyDescent="0.2">
      <c r="A112" s="3">
        <v>26</v>
      </c>
      <c r="B112" s="3">
        <v>61</v>
      </c>
    </row>
    <row r="113" spans="1:2" x14ac:dyDescent="0.2">
      <c r="A113" s="3">
        <v>54</v>
      </c>
      <c r="B113" s="3">
        <v>49</v>
      </c>
    </row>
    <row r="114" spans="1:2" x14ac:dyDescent="0.2">
      <c r="A114" s="3">
        <v>50</v>
      </c>
      <c r="B114" s="3">
        <v>23</v>
      </c>
    </row>
    <row r="115" spans="1:2" x14ac:dyDescent="0.2">
      <c r="A115" s="3">
        <v>41</v>
      </c>
      <c r="B115" s="3">
        <v>21</v>
      </c>
    </row>
    <row r="116" spans="1:2" x14ac:dyDescent="0.2">
      <c r="A116" s="3">
        <v>58</v>
      </c>
      <c r="B116" s="3">
        <v>34</v>
      </c>
    </row>
    <row r="117" spans="1:2" x14ac:dyDescent="0.2">
      <c r="A117" s="3">
        <v>69</v>
      </c>
      <c r="B117" s="3">
        <v>55</v>
      </c>
    </row>
    <row r="118" spans="1:2" x14ac:dyDescent="0.2">
      <c r="A118" s="3">
        <v>66</v>
      </c>
      <c r="B118" s="3">
        <v>41</v>
      </c>
    </row>
    <row r="119" spans="1:2" x14ac:dyDescent="0.2">
      <c r="A119" s="3">
        <v>29</v>
      </c>
      <c r="B119" s="3">
        <v>22</v>
      </c>
    </row>
    <row r="120" spans="1:2" x14ac:dyDescent="0.2">
      <c r="A120" s="3">
        <v>56</v>
      </c>
    </row>
    <row r="121" spans="1:2" x14ac:dyDescent="0.2">
      <c r="A121" s="3">
        <v>54</v>
      </c>
    </row>
    <row r="122" spans="1:2" x14ac:dyDescent="0.2">
      <c r="A122" s="3">
        <v>66</v>
      </c>
    </row>
    <row r="123" spans="1:2" x14ac:dyDescent="0.2">
      <c r="A123" s="3">
        <v>66</v>
      </c>
    </row>
    <row r="124" spans="1:2" x14ac:dyDescent="0.2">
      <c r="A124" s="3">
        <v>45</v>
      </c>
    </row>
    <row r="125" spans="1:2" x14ac:dyDescent="0.2">
      <c r="A125" s="3">
        <v>40</v>
      </c>
    </row>
    <row r="126" spans="1:2" x14ac:dyDescent="0.2">
      <c r="A126" s="3">
        <v>54</v>
      </c>
    </row>
    <row r="127" spans="1:2" x14ac:dyDescent="0.2">
      <c r="A127" s="3">
        <v>18</v>
      </c>
    </row>
    <row r="128" spans="1:2" x14ac:dyDescent="0.2">
      <c r="A128" s="3">
        <v>36</v>
      </c>
    </row>
    <row r="129" spans="1:1" x14ac:dyDescent="0.2">
      <c r="A129" s="3">
        <v>19</v>
      </c>
    </row>
    <row r="130" spans="1:1" x14ac:dyDescent="0.2">
      <c r="A130" s="3">
        <v>43</v>
      </c>
    </row>
    <row r="131" spans="1:1" x14ac:dyDescent="0.2">
      <c r="A131" s="3">
        <v>49</v>
      </c>
    </row>
    <row r="132" spans="1:1" x14ac:dyDescent="0.2">
      <c r="A132" s="3">
        <v>28</v>
      </c>
    </row>
    <row r="133" spans="1:1" x14ac:dyDescent="0.2">
      <c r="A133" s="3">
        <v>69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B8F6-1689-7A45-97F0-28B5E5370434}">
  <dimension ref="A1:B133"/>
  <sheetViews>
    <sheetView workbookViewId="0">
      <selection sqref="A1:B133"/>
    </sheetView>
  </sheetViews>
  <sheetFormatPr baseColWidth="10" defaultRowHeight="15" x14ac:dyDescent="0.2"/>
  <sheetData>
    <row r="1" spans="1:2" x14ac:dyDescent="0.2">
      <c r="A1" s="3" t="s">
        <v>71</v>
      </c>
      <c r="B1" t="s">
        <v>13</v>
      </c>
    </row>
    <row r="2" spans="1:2" x14ac:dyDescent="0.2">
      <c r="A2" s="3">
        <v>62</v>
      </c>
      <c r="B2" s="3">
        <v>58</v>
      </c>
    </row>
    <row r="3" spans="1:2" x14ac:dyDescent="0.2">
      <c r="A3" s="3">
        <v>52</v>
      </c>
      <c r="B3" s="3">
        <v>63</v>
      </c>
    </row>
    <row r="4" spans="1:2" x14ac:dyDescent="0.2">
      <c r="A4" s="3">
        <v>70</v>
      </c>
      <c r="B4" s="3">
        <v>22</v>
      </c>
    </row>
    <row r="5" spans="1:2" x14ac:dyDescent="0.2">
      <c r="A5" s="3">
        <v>15</v>
      </c>
      <c r="B5" s="3">
        <v>58</v>
      </c>
    </row>
    <row r="6" spans="1:2" x14ac:dyDescent="0.2">
      <c r="A6" s="3">
        <v>54</v>
      </c>
      <c r="B6" s="3">
        <v>58</v>
      </c>
    </row>
    <row r="7" spans="1:2" x14ac:dyDescent="0.2">
      <c r="A7" s="3">
        <v>60</v>
      </c>
      <c r="B7" s="3">
        <v>49</v>
      </c>
    </row>
    <row r="8" spans="1:2" x14ac:dyDescent="0.2">
      <c r="A8" s="3">
        <v>53</v>
      </c>
      <c r="B8" s="3">
        <v>42</v>
      </c>
    </row>
    <row r="9" spans="1:2" x14ac:dyDescent="0.2">
      <c r="A9" s="3">
        <v>5</v>
      </c>
      <c r="B9" s="3">
        <v>8</v>
      </c>
    </row>
    <row r="10" spans="1:2" x14ac:dyDescent="0.2">
      <c r="A10" s="3">
        <v>68</v>
      </c>
      <c r="B10" s="3">
        <v>60</v>
      </c>
    </row>
    <row r="11" spans="1:2" x14ac:dyDescent="0.2">
      <c r="A11" s="3">
        <v>55</v>
      </c>
      <c r="B11" s="3">
        <v>6</v>
      </c>
    </row>
    <row r="12" spans="1:2" x14ac:dyDescent="0.2">
      <c r="A12" s="3">
        <v>16</v>
      </c>
      <c r="B12" s="3">
        <v>47</v>
      </c>
    </row>
    <row r="13" spans="1:2" x14ac:dyDescent="0.2">
      <c r="A13" s="3">
        <v>13</v>
      </c>
      <c r="B13" s="3">
        <v>40</v>
      </c>
    </row>
    <row r="14" spans="1:2" x14ac:dyDescent="0.2">
      <c r="A14" s="3">
        <v>30</v>
      </c>
      <c r="B14" s="3">
        <v>52</v>
      </c>
    </row>
    <row r="15" spans="1:2" x14ac:dyDescent="0.2">
      <c r="A15" s="3">
        <v>19</v>
      </c>
      <c r="B15" s="3">
        <v>19</v>
      </c>
    </row>
    <row r="16" spans="1:2" x14ac:dyDescent="0.2">
      <c r="A16" s="3">
        <v>17</v>
      </c>
      <c r="B16" s="3">
        <v>58</v>
      </c>
    </row>
    <row r="17" spans="1:2" x14ac:dyDescent="0.2">
      <c r="A17" s="3">
        <v>63</v>
      </c>
      <c r="B17" s="3">
        <v>23</v>
      </c>
    </row>
    <row r="18" spans="1:2" x14ac:dyDescent="0.2">
      <c r="A18" s="3">
        <v>55</v>
      </c>
      <c r="B18" s="3">
        <v>9</v>
      </c>
    </row>
    <row r="19" spans="1:2" x14ac:dyDescent="0.2">
      <c r="A19" s="3">
        <v>62</v>
      </c>
      <c r="B19" s="3">
        <v>1</v>
      </c>
    </row>
    <row r="20" spans="1:2" x14ac:dyDescent="0.2">
      <c r="A20" s="3">
        <v>12</v>
      </c>
      <c r="B20" s="3">
        <v>48</v>
      </c>
    </row>
    <row r="21" spans="1:2" x14ac:dyDescent="0.2">
      <c r="A21" s="3">
        <v>1</v>
      </c>
      <c r="B21" s="3">
        <v>1</v>
      </c>
    </row>
    <row r="22" spans="1:2" x14ac:dyDescent="0.2">
      <c r="A22" s="3">
        <v>58</v>
      </c>
      <c r="B22" s="3">
        <v>16</v>
      </c>
    </row>
    <row r="23" spans="1:2" x14ac:dyDescent="0.2">
      <c r="A23" s="3">
        <v>34</v>
      </c>
      <c r="B23" s="3">
        <v>64</v>
      </c>
    </row>
    <row r="24" spans="1:2" x14ac:dyDescent="0.2">
      <c r="A24" s="3">
        <v>61</v>
      </c>
      <c r="B24" s="3">
        <v>22</v>
      </c>
    </row>
    <row r="25" spans="1:2" x14ac:dyDescent="0.2">
      <c r="A25" s="3">
        <v>63</v>
      </c>
      <c r="B25" s="3">
        <v>26</v>
      </c>
    </row>
    <row r="26" spans="1:2" x14ac:dyDescent="0.2">
      <c r="A26" s="3">
        <v>69</v>
      </c>
      <c r="B26" s="3">
        <v>69</v>
      </c>
    </row>
    <row r="27" spans="1:2" x14ac:dyDescent="0.2">
      <c r="A27" s="3">
        <v>67</v>
      </c>
      <c r="B27" s="3">
        <v>47</v>
      </c>
    </row>
    <row r="28" spans="1:2" x14ac:dyDescent="0.2">
      <c r="A28" s="3">
        <v>16</v>
      </c>
      <c r="B28" s="3">
        <v>16</v>
      </c>
    </row>
    <row r="29" spans="1:2" x14ac:dyDescent="0.2">
      <c r="A29" s="3">
        <v>51</v>
      </c>
      <c r="B29" s="3">
        <v>39</v>
      </c>
    </row>
    <row r="30" spans="1:2" x14ac:dyDescent="0.2">
      <c r="A30" s="3">
        <v>57</v>
      </c>
      <c r="B30" s="3">
        <v>23</v>
      </c>
    </row>
    <row r="31" spans="1:2" x14ac:dyDescent="0.2">
      <c r="A31" s="3">
        <v>29</v>
      </c>
      <c r="B31" s="3">
        <v>69</v>
      </c>
    </row>
    <row r="32" spans="1:2" x14ac:dyDescent="0.2">
      <c r="A32" s="3">
        <v>62</v>
      </c>
      <c r="B32" s="3">
        <v>34</v>
      </c>
    </row>
    <row r="33" spans="1:2" x14ac:dyDescent="0.2">
      <c r="A33" s="3">
        <v>69</v>
      </c>
      <c r="B33" s="3">
        <v>52</v>
      </c>
    </row>
    <row r="34" spans="1:2" x14ac:dyDescent="0.2">
      <c r="A34" s="3">
        <v>48</v>
      </c>
      <c r="B34" s="3">
        <v>10</v>
      </c>
    </row>
    <row r="35" spans="1:2" x14ac:dyDescent="0.2">
      <c r="A35" s="3">
        <v>33</v>
      </c>
      <c r="B35" s="3">
        <v>58</v>
      </c>
    </row>
    <row r="36" spans="1:2" x14ac:dyDescent="0.2">
      <c r="A36" s="3">
        <v>10</v>
      </c>
      <c r="B36" s="3">
        <v>69</v>
      </c>
    </row>
    <row r="37" spans="1:2" x14ac:dyDescent="0.2">
      <c r="A37" s="3">
        <v>19</v>
      </c>
      <c r="B37" s="3">
        <v>4</v>
      </c>
    </row>
    <row r="38" spans="1:2" x14ac:dyDescent="0.2">
      <c r="A38" s="3">
        <v>1</v>
      </c>
      <c r="B38" s="3">
        <v>16</v>
      </c>
    </row>
    <row r="39" spans="1:2" x14ac:dyDescent="0.2">
      <c r="A39" s="3">
        <v>32</v>
      </c>
      <c r="B39" s="3">
        <v>24</v>
      </c>
    </row>
    <row r="40" spans="1:2" x14ac:dyDescent="0.2">
      <c r="A40" s="3">
        <v>24</v>
      </c>
      <c r="B40" s="3">
        <v>2</v>
      </c>
    </row>
    <row r="41" spans="1:2" x14ac:dyDescent="0.2">
      <c r="A41" s="3">
        <v>50</v>
      </c>
      <c r="B41" s="3">
        <v>12</v>
      </c>
    </row>
    <row r="42" spans="1:2" x14ac:dyDescent="0.2">
      <c r="A42" s="3">
        <v>33</v>
      </c>
      <c r="B42" s="3">
        <v>35</v>
      </c>
    </row>
    <row r="43" spans="1:2" x14ac:dyDescent="0.2">
      <c r="A43" s="3">
        <v>61</v>
      </c>
      <c r="B43" s="3">
        <v>33</v>
      </c>
    </row>
    <row r="44" spans="1:2" x14ac:dyDescent="0.2">
      <c r="A44" s="3">
        <v>51</v>
      </c>
      <c r="B44" s="3">
        <v>12</v>
      </c>
    </row>
    <row r="45" spans="1:2" x14ac:dyDescent="0.2">
      <c r="A45" s="3">
        <v>43</v>
      </c>
      <c r="B45" s="3">
        <v>33</v>
      </c>
    </row>
    <row r="46" spans="1:2" x14ac:dyDescent="0.2">
      <c r="A46" s="3">
        <v>67</v>
      </c>
      <c r="B46" s="3">
        <v>43</v>
      </c>
    </row>
    <row r="47" spans="1:2" x14ac:dyDescent="0.2">
      <c r="A47" s="3">
        <v>65</v>
      </c>
      <c r="B47" s="3">
        <v>44</v>
      </c>
    </row>
    <row r="48" spans="1:2" x14ac:dyDescent="0.2">
      <c r="A48" s="3">
        <v>40</v>
      </c>
      <c r="B48" s="3">
        <v>12</v>
      </c>
    </row>
    <row r="49" spans="1:2" x14ac:dyDescent="0.2">
      <c r="A49" s="3">
        <v>29</v>
      </c>
      <c r="B49" s="3">
        <v>46</v>
      </c>
    </row>
    <row r="50" spans="1:2" x14ac:dyDescent="0.2">
      <c r="A50" s="3">
        <v>13</v>
      </c>
      <c r="B50" s="3">
        <v>2</v>
      </c>
    </row>
    <row r="51" spans="1:2" x14ac:dyDescent="0.2">
      <c r="A51" s="3">
        <v>8</v>
      </c>
      <c r="B51" s="3">
        <v>35</v>
      </c>
    </row>
    <row r="52" spans="1:2" x14ac:dyDescent="0.2">
      <c r="A52" s="3">
        <v>26</v>
      </c>
      <c r="B52" s="3">
        <v>34</v>
      </c>
    </row>
    <row r="53" spans="1:2" x14ac:dyDescent="0.2">
      <c r="A53" s="3">
        <v>29</v>
      </c>
      <c r="B53" s="3">
        <v>7</v>
      </c>
    </row>
    <row r="54" spans="1:2" x14ac:dyDescent="0.2">
      <c r="A54" s="3">
        <v>36</v>
      </c>
      <c r="B54" s="3">
        <v>68</v>
      </c>
    </row>
    <row r="55" spans="1:2" x14ac:dyDescent="0.2">
      <c r="A55" s="3">
        <v>21</v>
      </c>
      <c r="B55" s="3">
        <v>58</v>
      </c>
    </row>
    <row r="56" spans="1:2" x14ac:dyDescent="0.2">
      <c r="A56" s="3">
        <v>10</v>
      </c>
      <c r="B56" s="3">
        <v>36</v>
      </c>
    </row>
    <row r="57" spans="1:2" x14ac:dyDescent="0.2">
      <c r="A57" s="3">
        <v>24</v>
      </c>
      <c r="B57" s="3">
        <v>36</v>
      </c>
    </row>
    <row r="58" spans="1:2" x14ac:dyDescent="0.2">
      <c r="A58" s="3">
        <v>64</v>
      </c>
      <c r="B58" s="3">
        <v>23</v>
      </c>
    </row>
    <row r="59" spans="1:2" x14ac:dyDescent="0.2">
      <c r="A59" s="3">
        <v>49</v>
      </c>
      <c r="B59" s="3">
        <v>62</v>
      </c>
    </row>
    <row r="60" spans="1:2" x14ac:dyDescent="0.2">
      <c r="A60" s="3">
        <v>24</v>
      </c>
      <c r="B60" s="3">
        <v>37</v>
      </c>
    </row>
    <row r="61" spans="1:2" x14ac:dyDescent="0.2">
      <c r="A61" s="3">
        <v>12</v>
      </c>
      <c r="B61" s="3">
        <v>23</v>
      </c>
    </row>
    <row r="62" spans="1:2" x14ac:dyDescent="0.2">
      <c r="A62" s="3">
        <v>55</v>
      </c>
      <c r="B62" s="3">
        <v>49</v>
      </c>
    </row>
    <row r="63" spans="1:2" x14ac:dyDescent="0.2">
      <c r="A63" s="3">
        <v>13</v>
      </c>
      <c r="B63" s="3">
        <v>12</v>
      </c>
    </row>
    <row r="64" spans="1:2" x14ac:dyDescent="0.2">
      <c r="A64" s="3">
        <v>30</v>
      </c>
      <c r="B64" s="3">
        <v>61</v>
      </c>
    </row>
    <row r="65" spans="1:2" x14ac:dyDescent="0.2">
      <c r="A65" s="3">
        <v>17</v>
      </c>
      <c r="B65" s="3">
        <v>19</v>
      </c>
    </row>
    <row r="66" spans="1:2" x14ac:dyDescent="0.2">
      <c r="A66" s="3">
        <v>62</v>
      </c>
      <c r="B66" s="3">
        <v>9</v>
      </c>
    </row>
    <row r="67" spans="1:2" x14ac:dyDescent="0.2">
      <c r="A67" s="3">
        <v>13</v>
      </c>
      <c r="B67" s="3">
        <v>71</v>
      </c>
    </row>
    <row r="68" spans="1:2" x14ac:dyDescent="0.2">
      <c r="A68" s="3">
        <v>59</v>
      </c>
      <c r="B68" s="3">
        <v>52</v>
      </c>
    </row>
    <row r="69" spans="1:2" x14ac:dyDescent="0.2">
      <c r="A69" s="3">
        <v>19</v>
      </c>
      <c r="B69" s="3">
        <v>16</v>
      </c>
    </row>
    <row r="70" spans="1:2" x14ac:dyDescent="0.2">
      <c r="A70" s="3">
        <v>28</v>
      </c>
      <c r="B70" s="3">
        <v>25</v>
      </c>
    </row>
    <row r="71" spans="1:2" x14ac:dyDescent="0.2">
      <c r="A71" s="3">
        <v>69</v>
      </c>
      <c r="B71" s="3">
        <v>23</v>
      </c>
    </row>
    <row r="72" spans="1:2" x14ac:dyDescent="0.2">
      <c r="A72" s="3">
        <v>12</v>
      </c>
      <c r="B72" s="3">
        <v>58</v>
      </c>
    </row>
    <row r="73" spans="1:2" x14ac:dyDescent="0.2">
      <c r="A73" s="3">
        <v>52</v>
      </c>
      <c r="B73" s="3">
        <v>39</v>
      </c>
    </row>
    <row r="74" spans="1:2" x14ac:dyDescent="0.2">
      <c r="A74" s="3">
        <v>53</v>
      </c>
      <c r="B74" s="3">
        <v>14</v>
      </c>
    </row>
    <row r="75" spans="1:2" x14ac:dyDescent="0.2">
      <c r="A75" s="3">
        <v>16</v>
      </c>
      <c r="B75" s="3">
        <v>18</v>
      </c>
    </row>
    <row r="76" spans="1:2" x14ac:dyDescent="0.2">
      <c r="A76" s="3">
        <v>57</v>
      </c>
      <c r="B76" s="3">
        <v>17</v>
      </c>
    </row>
    <row r="77" spans="1:2" x14ac:dyDescent="0.2">
      <c r="A77" s="3">
        <v>39</v>
      </c>
      <c r="B77" s="3">
        <v>13</v>
      </c>
    </row>
    <row r="78" spans="1:2" x14ac:dyDescent="0.2">
      <c r="A78" s="3">
        <v>53</v>
      </c>
      <c r="B78" s="3">
        <v>9</v>
      </c>
    </row>
    <row r="79" spans="1:2" x14ac:dyDescent="0.2">
      <c r="A79" s="3">
        <v>42</v>
      </c>
      <c r="B79" s="3">
        <v>27</v>
      </c>
    </row>
    <row r="80" spans="1:2" x14ac:dyDescent="0.2">
      <c r="A80" s="3">
        <v>5</v>
      </c>
      <c r="B80" s="3">
        <v>66</v>
      </c>
    </row>
    <row r="81" spans="1:2" x14ac:dyDescent="0.2">
      <c r="A81" s="3">
        <v>35</v>
      </c>
      <c r="B81" s="3">
        <v>5</v>
      </c>
    </row>
    <row r="82" spans="1:2" x14ac:dyDescent="0.2">
      <c r="A82" s="3">
        <v>9</v>
      </c>
      <c r="B82" s="3">
        <v>29</v>
      </c>
    </row>
    <row r="83" spans="1:2" x14ac:dyDescent="0.2">
      <c r="A83" s="3">
        <v>58</v>
      </c>
      <c r="B83" s="3">
        <v>37</v>
      </c>
    </row>
    <row r="84" spans="1:2" x14ac:dyDescent="0.2">
      <c r="A84" s="3">
        <v>7</v>
      </c>
      <c r="B84" s="3">
        <v>38</v>
      </c>
    </row>
    <row r="85" spans="1:2" x14ac:dyDescent="0.2">
      <c r="A85" s="3">
        <v>46</v>
      </c>
      <c r="B85" s="3">
        <v>36</v>
      </c>
    </row>
    <row r="86" spans="1:2" x14ac:dyDescent="0.2">
      <c r="A86" s="3">
        <v>40</v>
      </c>
      <c r="B86" s="3">
        <v>39</v>
      </c>
    </row>
    <row r="87" spans="1:2" x14ac:dyDescent="0.2">
      <c r="A87" s="3">
        <v>42</v>
      </c>
      <c r="B87" s="3">
        <v>19</v>
      </c>
    </row>
    <row r="88" spans="1:2" x14ac:dyDescent="0.2">
      <c r="A88" s="3">
        <v>50</v>
      </c>
      <c r="B88" s="3">
        <v>39</v>
      </c>
    </row>
    <row r="89" spans="1:2" x14ac:dyDescent="0.2">
      <c r="A89" s="3">
        <v>8</v>
      </c>
      <c r="B89" s="3">
        <v>67</v>
      </c>
    </row>
    <row r="90" spans="1:2" x14ac:dyDescent="0.2">
      <c r="A90" s="3">
        <v>65</v>
      </c>
      <c r="B90" s="3">
        <v>58</v>
      </c>
    </row>
    <row r="91" spans="1:2" x14ac:dyDescent="0.2">
      <c r="A91" s="3">
        <v>17</v>
      </c>
      <c r="B91" s="3">
        <v>3</v>
      </c>
    </row>
    <row r="92" spans="1:2" x14ac:dyDescent="0.2">
      <c r="A92" s="3">
        <v>71</v>
      </c>
      <c r="B92" s="3">
        <v>25</v>
      </c>
    </row>
    <row r="93" spans="1:2" x14ac:dyDescent="0.2">
      <c r="A93" s="3">
        <v>45</v>
      </c>
      <c r="B93" s="3">
        <v>38</v>
      </c>
    </row>
    <row r="94" spans="1:2" x14ac:dyDescent="0.2">
      <c r="A94" s="3">
        <v>4</v>
      </c>
      <c r="B94" s="3">
        <v>44</v>
      </c>
    </row>
    <row r="95" spans="1:2" x14ac:dyDescent="0.2">
      <c r="A95" s="3">
        <v>70</v>
      </c>
      <c r="B95" s="3">
        <v>61</v>
      </c>
    </row>
    <row r="96" spans="1:2" x14ac:dyDescent="0.2">
      <c r="A96" s="3">
        <v>31</v>
      </c>
      <c r="B96" s="3">
        <v>47</v>
      </c>
    </row>
    <row r="97" spans="1:2" x14ac:dyDescent="0.2">
      <c r="A97" s="3">
        <v>19</v>
      </c>
      <c r="B97" s="3">
        <v>21</v>
      </c>
    </row>
    <row r="98" spans="1:2" x14ac:dyDescent="0.2">
      <c r="A98" s="3">
        <v>61</v>
      </c>
      <c r="B98" s="3">
        <v>19</v>
      </c>
    </row>
    <row r="99" spans="1:2" x14ac:dyDescent="0.2">
      <c r="A99" s="3">
        <v>54</v>
      </c>
      <c r="B99" s="3">
        <v>20</v>
      </c>
    </row>
    <row r="100" spans="1:2" x14ac:dyDescent="0.2">
      <c r="A100" s="3">
        <v>45</v>
      </c>
      <c r="B100" s="3">
        <v>57</v>
      </c>
    </row>
    <row r="101" spans="1:2" x14ac:dyDescent="0.2">
      <c r="A101" s="3">
        <v>13</v>
      </c>
      <c r="B101" s="3">
        <v>18</v>
      </c>
    </row>
    <row r="102" spans="1:2" x14ac:dyDescent="0.2">
      <c r="A102" s="3">
        <v>20</v>
      </c>
      <c r="B102" s="3">
        <v>14</v>
      </c>
    </row>
    <row r="103" spans="1:2" x14ac:dyDescent="0.2">
      <c r="A103" s="3">
        <v>61</v>
      </c>
      <c r="B103" s="3">
        <v>31</v>
      </c>
    </row>
    <row r="104" spans="1:2" x14ac:dyDescent="0.2">
      <c r="A104" s="3">
        <v>39</v>
      </c>
      <c r="B104" s="3">
        <v>3</v>
      </c>
    </row>
    <row r="105" spans="1:2" x14ac:dyDescent="0.2">
      <c r="A105" s="3">
        <v>1</v>
      </c>
      <c r="B105" s="3">
        <v>16</v>
      </c>
    </row>
    <row r="106" spans="1:2" x14ac:dyDescent="0.2">
      <c r="A106" s="3">
        <v>62</v>
      </c>
      <c r="B106" s="3">
        <v>57</v>
      </c>
    </row>
    <row r="107" spans="1:2" x14ac:dyDescent="0.2">
      <c r="A107" s="3">
        <v>63</v>
      </c>
      <c r="B107" s="3">
        <v>24</v>
      </c>
    </row>
    <row r="108" spans="1:2" x14ac:dyDescent="0.2">
      <c r="A108" s="3">
        <v>56</v>
      </c>
      <c r="B108" s="3">
        <v>8</v>
      </c>
    </row>
    <row r="109" spans="1:2" x14ac:dyDescent="0.2">
      <c r="A109" s="3">
        <v>33</v>
      </c>
      <c r="B109" s="3">
        <v>36</v>
      </c>
    </row>
    <row r="110" spans="1:2" x14ac:dyDescent="0.2">
      <c r="A110" s="3">
        <v>6</v>
      </c>
      <c r="B110" s="3">
        <v>50</v>
      </c>
    </row>
    <row r="111" spans="1:2" x14ac:dyDescent="0.2">
      <c r="A111" s="3">
        <v>58</v>
      </c>
      <c r="B111" s="3">
        <v>28</v>
      </c>
    </row>
    <row r="112" spans="1:2" x14ac:dyDescent="0.2">
      <c r="A112" s="3">
        <v>45</v>
      </c>
      <c r="B112" s="3">
        <v>63</v>
      </c>
    </row>
    <row r="113" spans="1:2" x14ac:dyDescent="0.2">
      <c r="A113" s="3">
        <v>32</v>
      </c>
      <c r="B113" s="3">
        <v>33</v>
      </c>
    </row>
    <row r="114" spans="1:2" x14ac:dyDescent="0.2">
      <c r="A114" s="3">
        <v>45</v>
      </c>
      <c r="B114" s="3">
        <v>29</v>
      </c>
    </row>
    <row r="115" spans="1:2" x14ac:dyDescent="0.2">
      <c r="A115" s="3">
        <v>36</v>
      </c>
      <c r="B115" s="3">
        <v>46</v>
      </c>
    </row>
    <row r="116" spans="1:2" x14ac:dyDescent="0.2">
      <c r="A116" s="3">
        <v>47</v>
      </c>
      <c r="B116" s="3">
        <v>6</v>
      </c>
    </row>
    <row r="117" spans="1:2" x14ac:dyDescent="0.2">
      <c r="A117" s="3">
        <v>49</v>
      </c>
      <c r="B117" s="3">
        <v>69</v>
      </c>
    </row>
    <row r="118" spans="1:2" x14ac:dyDescent="0.2">
      <c r="A118" s="3">
        <v>15</v>
      </c>
      <c r="B118" s="3">
        <v>47</v>
      </c>
    </row>
    <row r="119" spans="1:2" x14ac:dyDescent="0.2">
      <c r="A119" s="3">
        <v>1</v>
      </c>
      <c r="B119" s="3">
        <v>25</v>
      </c>
    </row>
    <row r="120" spans="1:2" x14ac:dyDescent="0.2">
      <c r="A120" s="3">
        <v>54</v>
      </c>
    </row>
    <row r="121" spans="1:2" x14ac:dyDescent="0.2">
      <c r="A121" s="3">
        <v>12</v>
      </c>
    </row>
    <row r="122" spans="1:2" x14ac:dyDescent="0.2">
      <c r="A122" s="3">
        <v>16</v>
      </c>
    </row>
    <row r="123" spans="1:2" x14ac:dyDescent="0.2">
      <c r="A123" s="3">
        <v>28</v>
      </c>
    </row>
    <row r="124" spans="1:2" x14ac:dyDescent="0.2">
      <c r="A124" s="3">
        <v>8</v>
      </c>
    </row>
    <row r="125" spans="1:2" x14ac:dyDescent="0.2">
      <c r="A125" s="3">
        <v>58</v>
      </c>
    </row>
    <row r="126" spans="1:2" x14ac:dyDescent="0.2">
      <c r="A126" s="3">
        <v>60</v>
      </c>
    </row>
    <row r="127" spans="1:2" x14ac:dyDescent="0.2">
      <c r="A127" s="3">
        <v>41</v>
      </c>
    </row>
    <row r="128" spans="1:2" x14ac:dyDescent="0.2">
      <c r="A128" s="3">
        <v>64</v>
      </c>
    </row>
    <row r="129" spans="1:1" x14ac:dyDescent="0.2">
      <c r="A129" s="3">
        <v>27</v>
      </c>
    </row>
    <row r="130" spans="1:1" x14ac:dyDescent="0.2">
      <c r="A130" s="3">
        <v>17</v>
      </c>
    </row>
    <row r="131" spans="1:1" x14ac:dyDescent="0.2">
      <c r="A131" s="3">
        <v>13</v>
      </c>
    </row>
    <row r="132" spans="1:1" x14ac:dyDescent="0.2">
      <c r="A132" s="3">
        <v>35</v>
      </c>
    </row>
    <row r="133" spans="1:1" x14ac:dyDescent="0.2">
      <c r="A133" s="3">
        <v>66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5F4C9-48D1-4E43-BEAF-BB5F05A1573B}">
  <dimension ref="B1:E251"/>
  <sheetViews>
    <sheetView workbookViewId="0">
      <selection sqref="A1:B133"/>
    </sheetView>
  </sheetViews>
  <sheetFormatPr baseColWidth="10" defaultRowHeight="15" x14ac:dyDescent="0.2"/>
  <sheetData>
    <row r="1" spans="2:5" x14ac:dyDescent="0.2">
      <c r="B1" t="s">
        <v>7</v>
      </c>
      <c r="C1" t="s">
        <v>13</v>
      </c>
      <c r="D1" t="s">
        <v>68</v>
      </c>
      <c r="E1" t="s">
        <v>13</v>
      </c>
    </row>
    <row r="2" spans="2:5" x14ac:dyDescent="0.2">
      <c r="B2">
        <v>58</v>
      </c>
      <c r="C2">
        <v>1</v>
      </c>
      <c r="D2" t="e">
        <f>IF(C2=0,0,NA())</f>
        <v>#N/A</v>
      </c>
      <c r="E2">
        <f>IF(C2=1, 1, NA())</f>
        <v>1</v>
      </c>
    </row>
    <row r="3" spans="2:5" x14ac:dyDescent="0.2">
      <c r="B3">
        <v>63</v>
      </c>
      <c r="C3">
        <v>1</v>
      </c>
      <c r="D3" t="e">
        <f t="shared" ref="D3:D66" si="0">IF(C3=0,0,NA())</f>
        <v>#N/A</v>
      </c>
      <c r="E3">
        <f t="shared" ref="E3:E66" si="1">IF(C3=1, 1, NA())</f>
        <v>1</v>
      </c>
    </row>
    <row r="4" spans="2:5" x14ac:dyDescent="0.2">
      <c r="B4">
        <v>62</v>
      </c>
      <c r="C4">
        <v>0</v>
      </c>
      <c r="D4">
        <f t="shared" si="0"/>
        <v>0</v>
      </c>
      <c r="E4" t="e">
        <f t="shared" si="1"/>
        <v>#N/A</v>
      </c>
    </row>
    <row r="5" spans="2:5" x14ac:dyDescent="0.2">
      <c r="B5">
        <v>22</v>
      </c>
      <c r="C5">
        <v>1</v>
      </c>
      <c r="D5" t="e">
        <f t="shared" si="0"/>
        <v>#N/A</v>
      </c>
      <c r="E5">
        <f t="shared" si="1"/>
        <v>1</v>
      </c>
    </row>
    <row r="6" spans="2:5" x14ac:dyDescent="0.2">
      <c r="B6">
        <v>58</v>
      </c>
      <c r="C6">
        <v>1</v>
      </c>
      <c r="D6" t="e">
        <f t="shared" si="0"/>
        <v>#N/A</v>
      </c>
      <c r="E6">
        <f t="shared" si="1"/>
        <v>1</v>
      </c>
    </row>
    <row r="7" spans="2:5" x14ac:dyDescent="0.2">
      <c r="B7">
        <v>58</v>
      </c>
      <c r="C7">
        <v>1</v>
      </c>
      <c r="D7" t="e">
        <f t="shared" si="0"/>
        <v>#N/A</v>
      </c>
      <c r="E7">
        <f t="shared" si="1"/>
        <v>1</v>
      </c>
    </row>
    <row r="8" spans="2:5" x14ac:dyDescent="0.2">
      <c r="B8">
        <v>49</v>
      </c>
      <c r="C8">
        <v>1</v>
      </c>
      <c r="D8" t="e">
        <f t="shared" si="0"/>
        <v>#N/A</v>
      </c>
      <c r="E8">
        <f t="shared" si="1"/>
        <v>1</v>
      </c>
    </row>
    <row r="9" spans="2:5" x14ac:dyDescent="0.2">
      <c r="B9">
        <v>52</v>
      </c>
      <c r="C9">
        <v>0</v>
      </c>
      <c r="D9">
        <f t="shared" si="0"/>
        <v>0</v>
      </c>
      <c r="E9" t="e">
        <f t="shared" si="1"/>
        <v>#N/A</v>
      </c>
    </row>
    <row r="10" spans="2:5" x14ac:dyDescent="0.2">
      <c r="B10">
        <v>42</v>
      </c>
      <c r="C10">
        <v>1</v>
      </c>
      <c r="D10" t="e">
        <f t="shared" si="0"/>
        <v>#N/A</v>
      </c>
      <c r="E10">
        <f t="shared" si="1"/>
        <v>1</v>
      </c>
    </row>
    <row r="11" spans="2:5" x14ac:dyDescent="0.2">
      <c r="B11">
        <v>70</v>
      </c>
      <c r="C11">
        <v>0</v>
      </c>
      <c r="D11">
        <f t="shared" si="0"/>
        <v>0</v>
      </c>
      <c r="E11" t="e">
        <f t="shared" si="1"/>
        <v>#N/A</v>
      </c>
    </row>
    <row r="12" spans="2:5" x14ac:dyDescent="0.2">
      <c r="B12">
        <v>15</v>
      </c>
      <c r="C12">
        <v>0</v>
      </c>
      <c r="D12">
        <f t="shared" si="0"/>
        <v>0</v>
      </c>
      <c r="E12" t="e">
        <f t="shared" si="1"/>
        <v>#N/A</v>
      </c>
    </row>
    <row r="13" spans="2:5" x14ac:dyDescent="0.2">
      <c r="B13">
        <v>54</v>
      </c>
      <c r="C13">
        <v>0</v>
      </c>
      <c r="D13">
        <f t="shared" si="0"/>
        <v>0</v>
      </c>
      <c r="E13" t="e">
        <f t="shared" si="1"/>
        <v>#N/A</v>
      </c>
    </row>
    <row r="14" spans="2:5" x14ac:dyDescent="0.2">
      <c r="B14">
        <v>60</v>
      </c>
      <c r="C14">
        <v>0</v>
      </c>
      <c r="D14">
        <f t="shared" si="0"/>
        <v>0</v>
      </c>
      <c r="E14" t="e">
        <f t="shared" si="1"/>
        <v>#N/A</v>
      </c>
    </row>
    <row r="15" spans="2:5" x14ac:dyDescent="0.2">
      <c r="B15">
        <v>8</v>
      </c>
      <c r="C15">
        <v>1</v>
      </c>
      <c r="D15" t="e">
        <f t="shared" si="0"/>
        <v>#N/A</v>
      </c>
      <c r="E15">
        <f t="shared" si="1"/>
        <v>1</v>
      </c>
    </row>
    <row r="16" spans="2:5" x14ac:dyDescent="0.2">
      <c r="B16">
        <v>53</v>
      </c>
      <c r="C16">
        <v>0</v>
      </c>
      <c r="D16">
        <f t="shared" si="0"/>
        <v>0</v>
      </c>
      <c r="E16" t="e">
        <f t="shared" si="1"/>
        <v>#N/A</v>
      </c>
    </row>
    <row r="17" spans="2:5" x14ac:dyDescent="0.2">
      <c r="B17">
        <v>60</v>
      </c>
      <c r="C17">
        <v>1</v>
      </c>
      <c r="D17" t="e">
        <f t="shared" si="0"/>
        <v>#N/A</v>
      </c>
      <c r="E17">
        <f t="shared" si="1"/>
        <v>1</v>
      </c>
    </row>
    <row r="18" spans="2:5" x14ac:dyDescent="0.2">
      <c r="B18">
        <v>5</v>
      </c>
      <c r="C18">
        <v>0</v>
      </c>
      <c r="D18">
        <f t="shared" si="0"/>
        <v>0</v>
      </c>
      <c r="E18" t="e">
        <f t="shared" si="1"/>
        <v>#N/A</v>
      </c>
    </row>
    <row r="19" spans="2:5" x14ac:dyDescent="0.2">
      <c r="B19">
        <v>68</v>
      </c>
      <c r="C19">
        <v>0</v>
      </c>
      <c r="D19">
        <f t="shared" si="0"/>
        <v>0</v>
      </c>
      <c r="E19" t="e">
        <f t="shared" si="1"/>
        <v>#N/A</v>
      </c>
    </row>
    <row r="20" spans="2:5" x14ac:dyDescent="0.2">
      <c r="B20">
        <v>6</v>
      </c>
      <c r="C20">
        <v>1</v>
      </c>
      <c r="D20" t="e">
        <f t="shared" si="0"/>
        <v>#N/A</v>
      </c>
      <c r="E20">
        <f t="shared" si="1"/>
        <v>1</v>
      </c>
    </row>
    <row r="21" spans="2:5" x14ac:dyDescent="0.2">
      <c r="B21">
        <v>47</v>
      </c>
      <c r="C21">
        <v>1</v>
      </c>
      <c r="D21" t="e">
        <f t="shared" si="0"/>
        <v>#N/A</v>
      </c>
      <c r="E21">
        <f t="shared" si="1"/>
        <v>1</v>
      </c>
    </row>
    <row r="22" spans="2:5" x14ac:dyDescent="0.2">
      <c r="B22">
        <v>55</v>
      </c>
      <c r="C22">
        <v>0</v>
      </c>
      <c r="D22">
        <f t="shared" si="0"/>
        <v>0</v>
      </c>
      <c r="E22" t="e">
        <f t="shared" si="1"/>
        <v>#N/A</v>
      </c>
    </row>
    <row r="23" spans="2:5" x14ac:dyDescent="0.2">
      <c r="B23">
        <v>40</v>
      </c>
      <c r="C23">
        <v>1</v>
      </c>
      <c r="D23" t="e">
        <f t="shared" si="0"/>
        <v>#N/A</v>
      </c>
      <c r="E23">
        <f t="shared" si="1"/>
        <v>1</v>
      </c>
    </row>
    <row r="24" spans="2:5" x14ac:dyDescent="0.2">
      <c r="B24">
        <v>52</v>
      </c>
      <c r="C24">
        <v>1</v>
      </c>
      <c r="D24" t="e">
        <f t="shared" si="0"/>
        <v>#N/A</v>
      </c>
      <c r="E24">
        <f t="shared" si="1"/>
        <v>1</v>
      </c>
    </row>
    <row r="25" spans="2:5" x14ac:dyDescent="0.2">
      <c r="B25">
        <v>16</v>
      </c>
      <c r="C25">
        <v>0</v>
      </c>
      <c r="D25">
        <f t="shared" si="0"/>
        <v>0</v>
      </c>
      <c r="E25" t="e">
        <f t="shared" si="1"/>
        <v>#N/A</v>
      </c>
    </row>
    <row r="26" spans="2:5" x14ac:dyDescent="0.2">
      <c r="B26">
        <v>13</v>
      </c>
      <c r="C26">
        <v>0</v>
      </c>
      <c r="D26">
        <f t="shared" si="0"/>
        <v>0</v>
      </c>
      <c r="E26" t="e">
        <f t="shared" si="1"/>
        <v>#N/A</v>
      </c>
    </row>
    <row r="27" spans="2:5" x14ac:dyDescent="0.2">
      <c r="B27">
        <v>30</v>
      </c>
      <c r="C27">
        <v>0</v>
      </c>
      <c r="D27">
        <f t="shared" si="0"/>
        <v>0</v>
      </c>
      <c r="E27" t="e">
        <f t="shared" si="1"/>
        <v>#N/A</v>
      </c>
    </row>
    <row r="28" spans="2:5" x14ac:dyDescent="0.2">
      <c r="B28">
        <v>19</v>
      </c>
      <c r="C28">
        <v>0</v>
      </c>
      <c r="D28">
        <f t="shared" si="0"/>
        <v>0</v>
      </c>
      <c r="E28" t="e">
        <f t="shared" si="1"/>
        <v>#N/A</v>
      </c>
    </row>
    <row r="29" spans="2:5" x14ac:dyDescent="0.2">
      <c r="B29">
        <v>17</v>
      </c>
      <c r="C29">
        <v>0</v>
      </c>
      <c r="D29">
        <f t="shared" si="0"/>
        <v>0</v>
      </c>
      <c r="E29" t="e">
        <f t="shared" si="1"/>
        <v>#N/A</v>
      </c>
    </row>
    <row r="30" spans="2:5" x14ac:dyDescent="0.2">
      <c r="B30">
        <v>63</v>
      </c>
      <c r="C30">
        <v>0</v>
      </c>
      <c r="D30">
        <f t="shared" si="0"/>
        <v>0</v>
      </c>
      <c r="E30" t="e">
        <f t="shared" si="1"/>
        <v>#N/A</v>
      </c>
    </row>
    <row r="31" spans="2:5" x14ac:dyDescent="0.2">
      <c r="B31">
        <v>19</v>
      </c>
      <c r="C31">
        <v>1</v>
      </c>
      <c r="D31" t="e">
        <f t="shared" si="0"/>
        <v>#N/A</v>
      </c>
      <c r="E31">
        <f t="shared" si="1"/>
        <v>1</v>
      </c>
    </row>
    <row r="32" spans="2:5" x14ac:dyDescent="0.2">
      <c r="B32">
        <v>58</v>
      </c>
      <c r="C32">
        <v>1</v>
      </c>
      <c r="D32" t="e">
        <f t="shared" si="0"/>
        <v>#N/A</v>
      </c>
      <c r="E32">
        <f t="shared" si="1"/>
        <v>1</v>
      </c>
    </row>
    <row r="33" spans="2:5" x14ac:dyDescent="0.2">
      <c r="B33">
        <v>55</v>
      </c>
      <c r="C33">
        <v>0</v>
      </c>
      <c r="D33">
        <f t="shared" si="0"/>
        <v>0</v>
      </c>
      <c r="E33" t="e">
        <f t="shared" si="1"/>
        <v>#N/A</v>
      </c>
    </row>
    <row r="34" spans="2:5" x14ac:dyDescent="0.2">
      <c r="B34">
        <v>62</v>
      </c>
      <c r="C34">
        <v>0</v>
      </c>
      <c r="D34">
        <f t="shared" si="0"/>
        <v>0</v>
      </c>
      <c r="E34" t="e">
        <f t="shared" si="1"/>
        <v>#N/A</v>
      </c>
    </row>
    <row r="35" spans="2:5" x14ac:dyDescent="0.2">
      <c r="B35">
        <v>23</v>
      </c>
      <c r="C35">
        <v>1</v>
      </c>
      <c r="D35" t="e">
        <f t="shared" si="0"/>
        <v>#N/A</v>
      </c>
      <c r="E35">
        <f t="shared" si="1"/>
        <v>1</v>
      </c>
    </row>
    <row r="36" spans="2:5" x14ac:dyDescent="0.2">
      <c r="B36">
        <v>9</v>
      </c>
      <c r="C36">
        <v>1</v>
      </c>
      <c r="D36" t="e">
        <f t="shared" si="0"/>
        <v>#N/A</v>
      </c>
      <c r="E36">
        <f t="shared" si="1"/>
        <v>1</v>
      </c>
    </row>
    <row r="37" spans="2:5" x14ac:dyDescent="0.2">
      <c r="B37">
        <v>12</v>
      </c>
      <c r="C37">
        <v>0</v>
      </c>
      <c r="D37">
        <f t="shared" si="0"/>
        <v>0</v>
      </c>
      <c r="E37" t="e">
        <f t="shared" si="1"/>
        <v>#N/A</v>
      </c>
    </row>
    <row r="38" spans="2:5" x14ac:dyDescent="0.2">
      <c r="B38">
        <v>1</v>
      </c>
      <c r="C38">
        <v>0</v>
      </c>
      <c r="D38">
        <f t="shared" si="0"/>
        <v>0</v>
      </c>
      <c r="E38" t="e">
        <f t="shared" si="1"/>
        <v>#N/A</v>
      </c>
    </row>
    <row r="39" spans="2:5" x14ac:dyDescent="0.2">
      <c r="B39">
        <v>58</v>
      </c>
      <c r="C39">
        <v>0</v>
      </c>
      <c r="D39">
        <f t="shared" si="0"/>
        <v>0</v>
      </c>
      <c r="E39" t="e">
        <f t="shared" si="1"/>
        <v>#N/A</v>
      </c>
    </row>
    <row r="40" spans="2:5" x14ac:dyDescent="0.2">
      <c r="B40">
        <v>1</v>
      </c>
      <c r="C40">
        <v>1</v>
      </c>
      <c r="D40" t="e">
        <f t="shared" si="0"/>
        <v>#N/A</v>
      </c>
      <c r="E40">
        <f t="shared" si="1"/>
        <v>1</v>
      </c>
    </row>
    <row r="41" spans="2:5" x14ac:dyDescent="0.2">
      <c r="B41">
        <v>34</v>
      </c>
      <c r="C41">
        <v>0</v>
      </c>
      <c r="D41">
        <f t="shared" si="0"/>
        <v>0</v>
      </c>
      <c r="E41" t="e">
        <f t="shared" si="1"/>
        <v>#N/A</v>
      </c>
    </row>
    <row r="42" spans="2:5" x14ac:dyDescent="0.2">
      <c r="B42">
        <v>48</v>
      </c>
      <c r="C42">
        <v>1</v>
      </c>
      <c r="D42" t="e">
        <f t="shared" si="0"/>
        <v>#N/A</v>
      </c>
      <c r="E42">
        <f t="shared" si="1"/>
        <v>1</v>
      </c>
    </row>
    <row r="43" spans="2:5" x14ac:dyDescent="0.2">
      <c r="B43">
        <v>1</v>
      </c>
      <c r="C43">
        <v>1</v>
      </c>
      <c r="D43" t="e">
        <f t="shared" si="0"/>
        <v>#N/A</v>
      </c>
      <c r="E43">
        <f t="shared" si="1"/>
        <v>1</v>
      </c>
    </row>
    <row r="44" spans="2:5" x14ac:dyDescent="0.2">
      <c r="B44">
        <v>16</v>
      </c>
      <c r="C44">
        <v>1</v>
      </c>
      <c r="D44" t="e">
        <f t="shared" si="0"/>
        <v>#N/A</v>
      </c>
      <c r="E44">
        <f t="shared" si="1"/>
        <v>1</v>
      </c>
    </row>
    <row r="45" spans="2:5" x14ac:dyDescent="0.2">
      <c r="B45">
        <v>61</v>
      </c>
      <c r="C45">
        <v>0</v>
      </c>
      <c r="D45">
        <f t="shared" si="0"/>
        <v>0</v>
      </c>
      <c r="E45" t="e">
        <f t="shared" si="1"/>
        <v>#N/A</v>
      </c>
    </row>
    <row r="46" spans="2:5" x14ac:dyDescent="0.2">
      <c r="B46">
        <v>64</v>
      </c>
      <c r="C46">
        <v>1</v>
      </c>
      <c r="D46" t="e">
        <f t="shared" si="0"/>
        <v>#N/A</v>
      </c>
      <c r="E46">
        <f t="shared" si="1"/>
        <v>1</v>
      </c>
    </row>
    <row r="47" spans="2:5" x14ac:dyDescent="0.2">
      <c r="B47">
        <v>63</v>
      </c>
      <c r="C47">
        <v>0</v>
      </c>
      <c r="D47">
        <f t="shared" si="0"/>
        <v>0</v>
      </c>
      <c r="E47" t="e">
        <f t="shared" si="1"/>
        <v>#N/A</v>
      </c>
    </row>
    <row r="48" spans="2:5" x14ac:dyDescent="0.2">
      <c r="B48">
        <v>69</v>
      </c>
      <c r="C48">
        <v>0</v>
      </c>
      <c r="D48">
        <f t="shared" si="0"/>
        <v>0</v>
      </c>
      <c r="E48" t="e">
        <f t="shared" si="1"/>
        <v>#N/A</v>
      </c>
    </row>
    <row r="49" spans="2:5" x14ac:dyDescent="0.2">
      <c r="B49">
        <v>22</v>
      </c>
      <c r="C49">
        <v>1</v>
      </c>
      <c r="D49" t="e">
        <f t="shared" si="0"/>
        <v>#N/A</v>
      </c>
      <c r="E49">
        <f t="shared" si="1"/>
        <v>1</v>
      </c>
    </row>
    <row r="50" spans="2:5" x14ac:dyDescent="0.2">
      <c r="B50">
        <v>67</v>
      </c>
      <c r="C50">
        <v>0</v>
      </c>
      <c r="D50">
        <f t="shared" si="0"/>
        <v>0</v>
      </c>
      <c r="E50" t="e">
        <f t="shared" si="1"/>
        <v>#N/A</v>
      </c>
    </row>
    <row r="51" spans="2:5" x14ac:dyDescent="0.2">
      <c r="B51">
        <v>26</v>
      </c>
      <c r="C51">
        <v>1</v>
      </c>
      <c r="D51" t="e">
        <f t="shared" si="0"/>
        <v>#N/A</v>
      </c>
      <c r="E51">
        <f t="shared" si="1"/>
        <v>1</v>
      </c>
    </row>
    <row r="52" spans="2:5" x14ac:dyDescent="0.2">
      <c r="B52">
        <v>16</v>
      </c>
      <c r="C52">
        <v>0</v>
      </c>
      <c r="D52">
        <f t="shared" si="0"/>
        <v>0</v>
      </c>
      <c r="E52" t="e">
        <f t="shared" si="1"/>
        <v>#N/A</v>
      </c>
    </row>
    <row r="53" spans="2:5" x14ac:dyDescent="0.2">
      <c r="B53">
        <v>51</v>
      </c>
      <c r="C53">
        <v>0</v>
      </c>
      <c r="D53">
        <f t="shared" si="0"/>
        <v>0</v>
      </c>
      <c r="E53" t="e">
        <f t="shared" si="1"/>
        <v>#N/A</v>
      </c>
    </row>
    <row r="54" spans="2:5" x14ac:dyDescent="0.2">
      <c r="B54">
        <v>57</v>
      </c>
      <c r="C54">
        <v>0</v>
      </c>
      <c r="D54">
        <f t="shared" si="0"/>
        <v>0</v>
      </c>
      <c r="E54" t="e">
        <f t="shared" si="1"/>
        <v>#N/A</v>
      </c>
    </row>
    <row r="55" spans="2:5" x14ac:dyDescent="0.2">
      <c r="B55">
        <v>29</v>
      </c>
      <c r="C55">
        <v>0</v>
      </c>
      <c r="D55">
        <f t="shared" si="0"/>
        <v>0</v>
      </c>
      <c r="E55" t="e">
        <f t="shared" si="1"/>
        <v>#N/A</v>
      </c>
    </row>
    <row r="56" spans="2:5" x14ac:dyDescent="0.2">
      <c r="B56">
        <v>69</v>
      </c>
      <c r="C56">
        <v>1</v>
      </c>
      <c r="D56" t="e">
        <f t="shared" si="0"/>
        <v>#N/A</v>
      </c>
      <c r="E56">
        <f t="shared" si="1"/>
        <v>1</v>
      </c>
    </row>
    <row r="57" spans="2:5" x14ac:dyDescent="0.2">
      <c r="B57">
        <v>47</v>
      </c>
      <c r="C57">
        <v>1</v>
      </c>
      <c r="D57" t="e">
        <f t="shared" si="0"/>
        <v>#N/A</v>
      </c>
      <c r="E57">
        <f t="shared" si="1"/>
        <v>1</v>
      </c>
    </row>
    <row r="58" spans="2:5" x14ac:dyDescent="0.2">
      <c r="B58">
        <v>62</v>
      </c>
      <c r="C58">
        <v>0</v>
      </c>
      <c r="D58">
        <f t="shared" si="0"/>
        <v>0</v>
      </c>
      <c r="E58" t="e">
        <f t="shared" si="1"/>
        <v>#N/A</v>
      </c>
    </row>
    <row r="59" spans="2:5" x14ac:dyDescent="0.2">
      <c r="B59">
        <v>69</v>
      </c>
      <c r="C59">
        <v>0</v>
      </c>
      <c r="D59">
        <f t="shared" si="0"/>
        <v>0</v>
      </c>
      <c r="E59" t="e">
        <f t="shared" si="1"/>
        <v>#N/A</v>
      </c>
    </row>
    <row r="60" spans="2:5" x14ac:dyDescent="0.2">
      <c r="B60">
        <v>16</v>
      </c>
      <c r="C60">
        <v>1</v>
      </c>
      <c r="D60" t="e">
        <f t="shared" si="0"/>
        <v>#N/A</v>
      </c>
      <c r="E60">
        <f t="shared" si="1"/>
        <v>1</v>
      </c>
    </row>
    <row r="61" spans="2:5" x14ac:dyDescent="0.2">
      <c r="B61">
        <v>48</v>
      </c>
      <c r="C61">
        <v>0</v>
      </c>
      <c r="D61">
        <f t="shared" si="0"/>
        <v>0</v>
      </c>
      <c r="E61" t="e">
        <f t="shared" si="1"/>
        <v>#N/A</v>
      </c>
    </row>
    <row r="62" spans="2:5" x14ac:dyDescent="0.2">
      <c r="B62">
        <v>39</v>
      </c>
      <c r="C62">
        <v>1</v>
      </c>
      <c r="D62" t="e">
        <f t="shared" si="0"/>
        <v>#N/A</v>
      </c>
      <c r="E62">
        <f t="shared" si="1"/>
        <v>1</v>
      </c>
    </row>
    <row r="63" spans="2:5" x14ac:dyDescent="0.2">
      <c r="B63">
        <v>33</v>
      </c>
      <c r="C63">
        <v>0</v>
      </c>
      <c r="D63">
        <f t="shared" si="0"/>
        <v>0</v>
      </c>
      <c r="E63" t="e">
        <f t="shared" si="1"/>
        <v>#N/A</v>
      </c>
    </row>
    <row r="64" spans="2:5" x14ac:dyDescent="0.2">
      <c r="B64">
        <v>23</v>
      </c>
      <c r="C64">
        <v>1</v>
      </c>
      <c r="D64" t="e">
        <f t="shared" si="0"/>
        <v>#N/A</v>
      </c>
      <c r="E64">
        <f t="shared" si="1"/>
        <v>1</v>
      </c>
    </row>
    <row r="65" spans="2:5" x14ac:dyDescent="0.2">
      <c r="B65">
        <v>10</v>
      </c>
      <c r="C65">
        <v>0</v>
      </c>
      <c r="D65">
        <f t="shared" si="0"/>
        <v>0</v>
      </c>
      <c r="E65" t="e">
        <f t="shared" si="1"/>
        <v>#N/A</v>
      </c>
    </row>
    <row r="66" spans="2:5" x14ac:dyDescent="0.2">
      <c r="B66">
        <v>69</v>
      </c>
      <c r="C66">
        <v>1</v>
      </c>
      <c r="D66" t="e">
        <f t="shared" si="0"/>
        <v>#N/A</v>
      </c>
      <c r="E66">
        <f t="shared" si="1"/>
        <v>1</v>
      </c>
    </row>
    <row r="67" spans="2:5" x14ac:dyDescent="0.2">
      <c r="B67">
        <v>34</v>
      </c>
      <c r="C67">
        <v>1</v>
      </c>
      <c r="D67" t="e">
        <f t="shared" ref="D67:D130" si="2">IF(C67=0,0,NA())</f>
        <v>#N/A</v>
      </c>
      <c r="E67">
        <f t="shared" ref="E67:E130" si="3">IF(C67=1, 1, NA())</f>
        <v>1</v>
      </c>
    </row>
    <row r="68" spans="2:5" x14ac:dyDescent="0.2">
      <c r="B68">
        <v>52</v>
      </c>
      <c r="C68">
        <v>1</v>
      </c>
      <c r="D68" t="e">
        <f t="shared" si="2"/>
        <v>#N/A</v>
      </c>
      <c r="E68">
        <f t="shared" si="3"/>
        <v>1</v>
      </c>
    </row>
    <row r="69" spans="2:5" x14ac:dyDescent="0.2">
      <c r="B69">
        <v>10</v>
      </c>
      <c r="C69">
        <v>1</v>
      </c>
      <c r="D69" t="e">
        <f t="shared" si="2"/>
        <v>#N/A</v>
      </c>
      <c r="E69">
        <f t="shared" si="3"/>
        <v>1</v>
      </c>
    </row>
    <row r="70" spans="2:5" x14ac:dyDescent="0.2">
      <c r="B70">
        <v>19</v>
      </c>
      <c r="C70">
        <v>0</v>
      </c>
      <c r="D70">
        <f t="shared" si="2"/>
        <v>0</v>
      </c>
      <c r="E70" t="e">
        <f t="shared" si="3"/>
        <v>#N/A</v>
      </c>
    </row>
    <row r="71" spans="2:5" x14ac:dyDescent="0.2">
      <c r="B71">
        <v>58</v>
      </c>
      <c r="C71">
        <v>1</v>
      </c>
      <c r="D71" t="e">
        <f t="shared" si="2"/>
        <v>#N/A</v>
      </c>
      <c r="E71">
        <f t="shared" si="3"/>
        <v>1</v>
      </c>
    </row>
    <row r="72" spans="2:5" x14ac:dyDescent="0.2">
      <c r="B72">
        <v>1</v>
      </c>
      <c r="C72">
        <v>0</v>
      </c>
      <c r="D72">
        <f t="shared" si="2"/>
        <v>0</v>
      </c>
      <c r="E72" t="e">
        <f t="shared" si="3"/>
        <v>#N/A</v>
      </c>
    </row>
    <row r="73" spans="2:5" x14ac:dyDescent="0.2">
      <c r="B73">
        <v>69</v>
      </c>
      <c r="C73">
        <v>1</v>
      </c>
      <c r="D73" t="e">
        <f t="shared" si="2"/>
        <v>#N/A</v>
      </c>
      <c r="E73">
        <f t="shared" si="3"/>
        <v>1</v>
      </c>
    </row>
    <row r="74" spans="2:5" x14ac:dyDescent="0.2">
      <c r="B74">
        <v>4</v>
      </c>
      <c r="C74">
        <v>1</v>
      </c>
      <c r="D74" t="e">
        <f t="shared" si="2"/>
        <v>#N/A</v>
      </c>
      <c r="E74">
        <f t="shared" si="3"/>
        <v>1</v>
      </c>
    </row>
    <row r="75" spans="2:5" x14ac:dyDescent="0.2">
      <c r="B75">
        <v>16</v>
      </c>
      <c r="C75">
        <v>1</v>
      </c>
      <c r="D75" t="e">
        <f t="shared" si="2"/>
        <v>#N/A</v>
      </c>
      <c r="E75">
        <f t="shared" si="3"/>
        <v>1</v>
      </c>
    </row>
    <row r="76" spans="2:5" x14ac:dyDescent="0.2">
      <c r="B76">
        <v>24</v>
      </c>
      <c r="C76">
        <v>1</v>
      </c>
      <c r="D76" t="e">
        <f t="shared" si="2"/>
        <v>#N/A</v>
      </c>
      <c r="E76">
        <f t="shared" si="3"/>
        <v>1</v>
      </c>
    </row>
    <row r="77" spans="2:5" x14ac:dyDescent="0.2">
      <c r="B77">
        <v>2</v>
      </c>
      <c r="C77">
        <v>1</v>
      </c>
      <c r="D77" t="e">
        <f t="shared" si="2"/>
        <v>#N/A</v>
      </c>
      <c r="E77">
        <f t="shared" si="3"/>
        <v>1</v>
      </c>
    </row>
    <row r="78" spans="2:5" x14ac:dyDescent="0.2">
      <c r="B78">
        <v>32</v>
      </c>
      <c r="C78">
        <v>0</v>
      </c>
      <c r="D78">
        <f t="shared" si="2"/>
        <v>0</v>
      </c>
      <c r="E78" t="e">
        <f t="shared" si="3"/>
        <v>#N/A</v>
      </c>
    </row>
    <row r="79" spans="2:5" x14ac:dyDescent="0.2">
      <c r="B79">
        <v>24</v>
      </c>
      <c r="C79">
        <v>0</v>
      </c>
      <c r="D79">
        <f t="shared" si="2"/>
        <v>0</v>
      </c>
      <c r="E79" t="e">
        <f t="shared" si="3"/>
        <v>#N/A</v>
      </c>
    </row>
    <row r="80" spans="2:5" x14ac:dyDescent="0.2">
      <c r="B80">
        <v>12</v>
      </c>
      <c r="C80">
        <v>1</v>
      </c>
      <c r="D80" t="e">
        <f t="shared" si="2"/>
        <v>#N/A</v>
      </c>
      <c r="E80">
        <f t="shared" si="3"/>
        <v>1</v>
      </c>
    </row>
    <row r="81" spans="2:5" x14ac:dyDescent="0.2">
      <c r="B81">
        <v>50</v>
      </c>
      <c r="C81">
        <v>0</v>
      </c>
      <c r="D81">
        <f t="shared" si="2"/>
        <v>0</v>
      </c>
      <c r="E81" t="e">
        <f t="shared" si="3"/>
        <v>#N/A</v>
      </c>
    </row>
    <row r="82" spans="2:5" x14ac:dyDescent="0.2">
      <c r="B82">
        <v>35</v>
      </c>
      <c r="C82">
        <v>1</v>
      </c>
      <c r="D82" t="e">
        <f t="shared" si="2"/>
        <v>#N/A</v>
      </c>
      <c r="E82">
        <f t="shared" si="3"/>
        <v>1</v>
      </c>
    </row>
    <row r="83" spans="2:5" x14ac:dyDescent="0.2">
      <c r="B83">
        <v>33</v>
      </c>
      <c r="C83">
        <v>1</v>
      </c>
      <c r="D83" t="e">
        <f t="shared" si="2"/>
        <v>#N/A</v>
      </c>
      <c r="E83">
        <f t="shared" si="3"/>
        <v>1</v>
      </c>
    </row>
    <row r="84" spans="2:5" x14ac:dyDescent="0.2">
      <c r="B84">
        <v>33</v>
      </c>
      <c r="C84">
        <v>0</v>
      </c>
      <c r="D84">
        <f t="shared" si="2"/>
        <v>0</v>
      </c>
      <c r="E84" t="e">
        <f t="shared" si="3"/>
        <v>#N/A</v>
      </c>
    </row>
    <row r="85" spans="2:5" x14ac:dyDescent="0.2">
      <c r="B85">
        <v>61</v>
      </c>
      <c r="C85">
        <v>0</v>
      </c>
      <c r="D85">
        <f t="shared" si="2"/>
        <v>0</v>
      </c>
      <c r="E85" t="e">
        <f t="shared" si="3"/>
        <v>#N/A</v>
      </c>
    </row>
    <row r="86" spans="2:5" x14ac:dyDescent="0.2">
      <c r="B86">
        <v>51</v>
      </c>
      <c r="C86">
        <v>0</v>
      </c>
      <c r="D86">
        <f t="shared" si="2"/>
        <v>0</v>
      </c>
      <c r="E86" t="e">
        <f t="shared" si="3"/>
        <v>#N/A</v>
      </c>
    </row>
    <row r="87" spans="2:5" x14ac:dyDescent="0.2">
      <c r="B87">
        <v>43</v>
      </c>
      <c r="C87">
        <v>0</v>
      </c>
      <c r="D87">
        <f t="shared" si="2"/>
        <v>0</v>
      </c>
      <c r="E87" t="e">
        <f t="shared" si="3"/>
        <v>#N/A</v>
      </c>
    </row>
    <row r="88" spans="2:5" x14ac:dyDescent="0.2">
      <c r="B88">
        <v>12</v>
      </c>
      <c r="C88">
        <v>1</v>
      </c>
      <c r="D88" t="e">
        <f t="shared" si="2"/>
        <v>#N/A</v>
      </c>
      <c r="E88">
        <f t="shared" si="3"/>
        <v>1</v>
      </c>
    </row>
    <row r="89" spans="2:5" x14ac:dyDescent="0.2">
      <c r="B89">
        <v>67</v>
      </c>
      <c r="C89">
        <v>0</v>
      </c>
      <c r="D89">
        <f t="shared" si="2"/>
        <v>0</v>
      </c>
      <c r="E89" t="e">
        <f t="shared" si="3"/>
        <v>#N/A</v>
      </c>
    </row>
    <row r="90" spans="2:5" x14ac:dyDescent="0.2">
      <c r="B90">
        <v>65</v>
      </c>
      <c r="C90">
        <v>0</v>
      </c>
      <c r="D90">
        <f t="shared" si="2"/>
        <v>0</v>
      </c>
      <c r="E90" t="e">
        <f t="shared" si="3"/>
        <v>#N/A</v>
      </c>
    </row>
    <row r="91" spans="2:5" x14ac:dyDescent="0.2">
      <c r="B91">
        <v>33</v>
      </c>
      <c r="C91">
        <v>1</v>
      </c>
      <c r="D91" t="e">
        <f t="shared" si="2"/>
        <v>#N/A</v>
      </c>
      <c r="E91">
        <f t="shared" si="3"/>
        <v>1</v>
      </c>
    </row>
    <row r="92" spans="2:5" x14ac:dyDescent="0.2">
      <c r="B92">
        <v>40</v>
      </c>
      <c r="C92">
        <v>0</v>
      </c>
      <c r="D92">
        <f t="shared" si="2"/>
        <v>0</v>
      </c>
      <c r="E92" t="e">
        <f t="shared" si="3"/>
        <v>#N/A</v>
      </c>
    </row>
    <row r="93" spans="2:5" x14ac:dyDescent="0.2">
      <c r="B93">
        <v>43</v>
      </c>
      <c r="C93">
        <v>1</v>
      </c>
      <c r="D93" t="e">
        <f t="shared" si="2"/>
        <v>#N/A</v>
      </c>
      <c r="E93">
        <f t="shared" si="3"/>
        <v>1</v>
      </c>
    </row>
    <row r="94" spans="2:5" x14ac:dyDescent="0.2">
      <c r="B94">
        <v>44</v>
      </c>
      <c r="C94">
        <v>1</v>
      </c>
      <c r="D94" t="e">
        <f t="shared" si="2"/>
        <v>#N/A</v>
      </c>
      <c r="E94">
        <f t="shared" si="3"/>
        <v>1</v>
      </c>
    </row>
    <row r="95" spans="2:5" x14ac:dyDescent="0.2">
      <c r="B95">
        <v>29</v>
      </c>
      <c r="C95">
        <v>0</v>
      </c>
      <c r="D95">
        <f t="shared" si="2"/>
        <v>0</v>
      </c>
      <c r="E95" t="e">
        <f t="shared" si="3"/>
        <v>#N/A</v>
      </c>
    </row>
    <row r="96" spans="2:5" x14ac:dyDescent="0.2">
      <c r="B96">
        <v>13</v>
      </c>
      <c r="C96">
        <v>0</v>
      </c>
      <c r="D96">
        <f t="shared" si="2"/>
        <v>0</v>
      </c>
      <c r="E96" t="e">
        <f t="shared" si="3"/>
        <v>#N/A</v>
      </c>
    </row>
    <row r="97" spans="2:5" x14ac:dyDescent="0.2">
      <c r="B97">
        <v>12</v>
      </c>
      <c r="C97">
        <v>1</v>
      </c>
      <c r="D97" t="e">
        <f t="shared" si="2"/>
        <v>#N/A</v>
      </c>
      <c r="E97">
        <f t="shared" si="3"/>
        <v>1</v>
      </c>
    </row>
    <row r="98" spans="2:5" x14ac:dyDescent="0.2">
      <c r="B98">
        <v>46</v>
      </c>
      <c r="C98">
        <v>1</v>
      </c>
      <c r="D98" t="e">
        <f t="shared" si="2"/>
        <v>#N/A</v>
      </c>
      <c r="E98">
        <f t="shared" si="3"/>
        <v>1</v>
      </c>
    </row>
    <row r="99" spans="2:5" x14ac:dyDescent="0.2">
      <c r="B99">
        <v>2</v>
      </c>
      <c r="C99">
        <v>1</v>
      </c>
      <c r="D99" t="e">
        <f t="shared" si="2"/>
        <v>#N/A</v>
      </c>
      <c r="E99">
        <f t="shared" si="3"/>
        <v>1</v>
      </c>
    </row>
    <row r="100" spans="2:5" x14ac:dyDescent="0.2">
      <c r="B100">
        <v>35</v>
      </c>
      <c r="C100">
        <v>1</v>
      </c>
      <c r="D100" t="e">
        <f t="shared" si="2"/>
        <v>#N/A</v>
      </c>
      <c r="E100">
        <f t="shared" si="3"/>
        <v>1</v>
      </c>
    </row>
    <row r="101" spans="2:5" x14ac:dyDescent="0.2">
      <c r="B101">
        <v>8</v>
      </c>
      <c r="C101">
        <v>0</v>
      </c>
      <c r="D101">
        <f t="shared" si="2"/>
        <v>0</v>
      </c>
      <c r="E101" t="e">
        <f t="shared" si="3"/>
        <v>#N/A</v>
      </c>
    </row>
    <row r="102" spans="2:5" x14ac:dyDescent="0.2">
      <c r="B102">
        <v>26</v>
      </c>
      <c r="C102">
        <v>0</v>
      </c>
      <c r="D102">
        <f t="shared" si="2"/>
        <v>0</v>
      </c>
      <c r="E102" t="e">
        <f t="shared" si="3"/>
        <v>#N/A</v>
      </c>
    </row>
    <row r="103" spans="2:5" x14ac:dyDescent="0.2">
      <c r="B103">
        <v>34</v>
      </c>
      <c r="C103">
        <v>1</v>
      </c>
      <c r="D103" t="e">
        <f t="shared" si="2"/>
        <v>#N/A</v>
      </c>
      <c r="E103">
        <f t="shared" si="3"/>
        <v>1</v>
      </c>
    </row>
    <row r="104" spans="2:5" x14ac:dyDescent="0.2">
      <c r="B104">
        <v>7</v>
      </c>
      <c r="C104">
        <v>1</v>
      </c>
      <c r="D104" t="e">
        <f t="shared" si="2"/>
        <v>#N/A</v>
      </c>
      <c r="E104">
        <f t="shared" si="3"/>
        <v>1</v>
      </c>
    </row>
    <row r="105" spans="2:5" x14ac:dyDescent="0.2">
      <c r="B105">
        <v>68</v>
      </c>
      <c r="C105">
        <v>1</v>
      </c>
      <c r="D105" t="e">
        <f t="shared" si="2"/>
        <v>#N/A</v>
      </c>
      <c r="E105">
        <f t="shared" si="3"/>
        <v>1</v>
      </c>
    </row>
    <row r="106" spans="2:5" x14ac:dyDescent="0.2">
      <c r="B106">
        <v>58</v>
      </c>
      <c r="C106">
        <v>1</v>
      </c>
      <c r="D106" t="e">
        <f t="shared" si="2"/>
        <v>#N/A</v>
      </c>
      <c r="E106">
        <f t="shared" si="3"/>
        <v>1</v>
      </c>
    </row>
    <row r="107" spans="2:5" x14ac:dyDescent="0.2">
      <c r="B107">
        <v>29</v>
      </c>
      <c r="C107">
        <v>0</v>
      </c>
      <c r="D107">
        <f t="shared" si="2"/>
        <v>0</v>
      </c>
      <c r="E107" t="e">
        <f t="shared" si="3"/>
        <v>#N/A</v>
      </c>
    </row>
    <row r="108" spans="2:5" x14ac:dyDescent="0.2">
      <c r="B108">
        <v>36</v>
      </c>
      <c r="C108">
        <v>0</v>
      </c>
      <c r="D108">
        <f t="shared" si="2"/>
        <v>0</v>
      </c>
      <c r="E108" t="e">
        <f t="shared" si="3"/>
        <v>#N/A</v>
      </c>
    </row>
    <row r="109" spans="2:5" x14ac:dyDescent="0.2">
      <c r="B109">
        <v>21</v>
      </c>
      <c r="C109">
        <v>0</v>
      </c>
      <c r="D109">
        <f t="shared" si="2"/>
        <v>0</v>
      </c>
      <c r="E109" t="e">
        <f t="shared" si="3"/>
        <v>#N/A</v>
      </c>
    </row>
    <row r="110" spans="2:5" x14ac:dyDescent="0.2">
      <c r="B110">
        <v>36</v>
      </c>
      <c r="C110">
        <v>1</v>
      </c>
      <c r="D110" t="e">
        <f t="shared" si="2"/>
        <v>#N/A</v>
      </c>
      <c r="E110">
        <f t="shared" si="3"/>
        <v>1</v>
      </c>
    </row>
    <row r="111" spans="2:5" x14ac:dyDescent="0.2">
      <c r="B111">
        <v>10</v>
      </c>
      <c r="C111">
        <v>0</v>
      </c>
      <c r="D111">
        <f t="shared" si="2"/>
        <v>0</v>
      </c>
      <c r="E111" t="e">
        <f t="shared" si="3"/>
        <v>#N/A</v>
      </c>
    </row>
    <row r="112" spans="2:5" x14ac:dyDescent="0.2">
      <c r="B112">
        <v>24</v>
      </c>
      <c r="C112">
        <v>0</v>
      </c>
      <c r="D112">
        <f t="shared" si="2"/>
        <v>0</v>
      </c>
      <c r="E112" t="e">
        <f t="shared" si="3"/>
        <v>#N/A</v>
      </c>
    </row>
    <row r="113" spans="2:5" x14ac:dyDescent="0.2">
      <c r="B113">
        <v>64</v>
      </c>
      <c r="C113">
        <v>0</v>
      </c>
      <c r="D113">
        <f t="shared" si="2"/>
        <v>0</v>
      </c>
      <c r="E113" t="e">
        <f t="shared" si="3"/>
        <v>#N/A</v>
      </c>
    </row>
    <row r="114" spans="2:5" x14ac:dyDescent="0.2">
      <c r="B114">
        <v>49</v>
      </c>
      <c r="C114">
        <v>0</v>
      </c>
      <c r="D114">
        <f t="shared" si="2"/>
        <v>0</v>
      </c>
      <c r="E114" t="e">
        <f t="shared" si="3"/>
        <v>#N/A</v>
      </c>
    </row>
    <row r="115" spans="2:5" x14ac:dyDescent="0.2">
      <c r="B115">
        <v>36</v>
      </c>
      <c r="C115">
        <v>1</v>
      </c>
      <c r="D115" t="e">
        <f t="shared" si="2"/>
        <v>#N/A</v>
      </c>
      <c r="E115">
        <f t="shared" si="3"/>
        <v>1</v>
      </c>
    </row>
    <row r="116" spans="2:5" x14ac:dyDescent="0.2">
      <c r="B116">
        <v>24</v>
      </c>
      <c r="C116">
        <v>0</v>
      </c>
      <c r="D116">
        <f t="shared" si="2"/>
        <v>0</v>
      </c>
      <c r="E116" t="e">
        <f t="shared" si="3"/>
        <v>#N/A</v>
      </c>
    </row>
    <row r="117" spans="2:5" x14ac:dyDescent="0.2">
      <c r="B117">
        <v>23</v>
      </c>
      <c r="C117">
        <v>1</v>
      </c>
      <c r="D117" t="e">
        <f t="shared" si="2"/>
        <v>#N/A</v>
      </c>
      <c r="E117">
        <f t="shared" si="3"/>
        <v>1</v>
      </c>
    </row>
    <row r="118" spans="2:5" x14ac:dyDescent="0.2">
      <c r="B118">
        <v>62</v>
      </c>
      <c r="C118">
        <v>1</v>
      </c>
      <c r="D118" t="e">
        <f t="shared" si="2"/>
        <v>#N/A</v>
      </c>
      <c r="E118">
        <f t="shared" si="3"/>
        <v>1</v>
      </c>
    </row>
    <row r="119" spans="2:5" x14ac:dyDescent="0.2">
      <c r="B119">
        <v>37</v>
      </c>
      <c r="C119">
        <v>1</v>
      </c>
      <c r="D119" t="e">
        <f t="shared" si="2"/>
        <v>#N/A</v>
      </c>
      <c r="E119">
        <f t="shared" si="3"/>
        <v>1</v>
      </c>
    </row>
    <row r="120" spans="2:5" x14ac:dyDescent="0.2">
      <c r="B120">
        <v>12</v>
      </c>
      <c r="C120">
        <v>0</v>
      </c>
      <c r="D120">
        <f t="shared" si="2"/>
        <v>0</v>
      </c>
      <c r="E120" t="e">
        <f t="shared" si="3"/>
        <v>#N/A</v>
      </c>
    </row>
    <row r="121" spans="2:5" x14ac:dyDescent="0.2">
      <c r="B121">
        <v>55</v>
      </c>
      <c r="C121">
        <v>0</v>
      </c>
      <c r="D121">
        <f t="shared" si="2"/>
        <v>0</v>
      </c>
      <c r="E121" t="e">
        <f t="shared" si="3"/>
        <v>#N/A</v>
      </c>
    </row>
    <row r="122" spans="2:5" x14ac:dyDescent="0.2">
      <c r="B122">
        <v>13</v>
      </c>
      <c r="C122">
        <v>0</v>
      </c>
      <c r="D122">
        <f t="shared" si="2"/>
        <v>0</v>
      </c>
      <c r="E122" t="e">
        <f t="shared" si="3"/>
        <v>#N/A</v>
      </c>
    </row>
    <row r="123" spans="2:5" x14ac:dyDescent="0.2">
      <c r="B123">
        <v>23</v>
      </c>
      <c r="C123">
        <v>1</v>
      </c>
      <c r="D123" t="e">
        <f t="shared" si="2"/>
        <v>#N/A</v>
      </c>
      <c r="E123">
        <f t="shared" si="3"/>
        <v>1</v>
      </c>
    </row>
    <row r="124" spans="2:5" x14ac:dyDescent="0.2">
      <c r="B124">
        <v>30</v>
      </c>
      <c r="C124">
        <v>0</v>
      </c>
      <c r="D124">
        <f t="shared" si="2"/>
        <v>0</v>
      </c>
      <c r="E124" t="e">
        <f t="shared" si="3"/>
        <v>#N/A</v>
      </c>
    </row>
    <row r="125" spans="2:5" x14ac:dyDescent="0.2">
      <c r="B125">
        <v>17</v>
      </c>
      <c r="C125">
        <v>0</v>
      </c>
      <c r="D125">
        <f t="shared" si="2"/>
        <v>0</v>
      </c>
      <c r="E125" t="e">
        <f t="shared" si="3"/>
        <v>#N/A</v>
      </c>
    </row>
    <row r="126" spans="2:5" x14ac:dyDescent="0.2">
      <c r="B126">
        <v>62</v>
      </c>
      <c r="C126">
        <v>0</v>
      </c>
      <c r="D126">
        <f t="shared" si="2"/>
        <v>0</v>
      </c>
      <c r="E126" t="e">
        <f t="shared" si="3"/>
        <v>#N/A</v>
      </c>
    </row>
    <row r="127" spans="2:5" x14ac:dyDescent="0.2">
      <c r="B127">
        <v>13</v>
      </c>
      <c r="C127">
        <v>0</v>
      </c>
      <c r="D127">
        <f t="shared" si="2"/>
        <v>0</v>
      </c>
      <c r="E127" t="e">
        <f t="shared" si="3"/>
        <v>#N/A</v>
      </c>
    </row>
    <row r="128" spans="2:5" x14ac:dyDescent="0.2">
      <c r="B128">
        <v>59</v>
      </c>
      <c r="C128">
        <v>0</v>
      </c>
      <c r="D128">
        <f t="shared" si="2"/>
        <v>0</v>
      </c>
      <c r="E128" t="e">
        <f t="shared" si="3"/>
        <v>#N/A</v>
      </c>
    </row>
    <row r="129" spans="2:5" x14ac:dyDescent="0.2">
      <c r="B129">
        <v>19</v>
      </c>
      <c r="C129">
        <v>0</v>
      </c>
      <c r="D129">
        <f t="shared" si="2"/>
        <v>0</v>
      </c>
      <c r="E129" t="e">
        <f t="shared" si="3"/>
        <v>#N/A</v>
      </c>
    </row>
    <row r="130" spans="2:5" x14ac:dyDescent="0.2">
      <c r="B130">
        <v>49</v>
      </c>
      <c r="C130">
        <v>1</v>
      </c>
      <c r="D130" t="e">
        <f t="shared" si="2"/>
        <v>#N/A</v>
      </c>
      <c r="E130">
        <f t="shared" si="3"/>
        <v>1</v>
      </c>
    </row>
    <row r="131" spans="2:5" x14ac:dyDescent="0.2">
      <c r="B131">
        <v>12</v>
      </c>
      <c r="C131">
        <v>1</v>
      </c>
      <c r="D131" t="e">
        <f t="shared" ref="D131:D194" si="4">IF(C131=0,0,NA())</f>
        <v>#N/A</v>
      </c>
      <c r="E131">
        <f t="shared" ref="E131:E194" si="5">IF(C131=1, 1, NA())</f>
        <v>1</v>
      </c>
    </row>
    <row r="132" spans="2:5" x14ac:dyDescent="0.2">
      <c r="B132">
        <v>61</v>
      </c>
      <c r="C132">
        <v>1</v>
      </c>
      <c r="D132" t="e">
        <f t="shared" si="4"/>
        <v>#N/A</v>
      </c>
      <c r="E132">
        <f t="shared" si="5"/>
        <v>1</v>
      </c>
    </row>
    <row r="133" spans="2:5" x14ac:dyDescent="0.2">
      <c r="B133">
        <v>19</v>
      </c>
      <c r="C133">
        <v>1</v>
      </c>
      <c r="D133" t="e">
        <f t="shared" si="4"/>
        <v>#N/A</v>
      </c>
      <c r="E133">
        <f t="shared" si="5"/>
        <v>1</v>
      </c>
    </row>
    <row r="134" spans="2:5" x14ac:dyDescent="0.2">
      <c r="B134">
        <v>9</v>
      </c>
      <c r="C134">
        <v>1</v>
      </c>
      <c r="D134" t="e">
        <f t="shared" si="4"/>
        <v>#N/A</v>
      </c>
      <c r="E134">
        <f t="shared" si="5"/>
        <v>1</v>
      </c>
    </row>
    <row r="135" spans="2:5" x14ac:dyDescent="0.2">
      <c r="B135">
        <v>71</v>
      </c>
      <c r="C135">
        <v>1</v>
      </c>
      <c r="D135" t="e">
        <f t="shared" si="4"/>
        <v>#N/A</v>
      </c>
      <c r="E135">
        <f t="shared" si="5"/>
        <v>1</v>
      </c>
    </row>
    <row r="136" spans="2:5" x14ac:dyDescent="0.2">
      <c r="B136">
        <v>28</v>
      </c>
      <c r="C136">
        <v>0</v>
      </c>
      <c r="D136">
        <f t="shared" si="4"/>
        <v>0</v>
      </c>
      <c r="E136" t="e">
        <f t="shared" si="5"/>
        <v>#N/A</v>
      </c>
    </row>
    <row r="137" spans="2:5" x14ac:dyDescent="0.2">
      <c r="B137">
        <v>52</v>
      </c>
      <c r="C137">
        <v>1</v>
      </c>
      <c r="D137" t="e">
        <f t="shared" si="4"/>
        <v>#N/A</v>
      </c>
      <c r="E137">
        <f t="shared" si="5"/>
        <v>1</v>
      </c>
    </row>
    <row r="138" spans="2:5" x14ac:dyDescent="0.2">
      <c r="B138">
        <v>16</v>
      </c>
      <c r="C138">
        <v>1</v>
      </c>
      <c r="D138" t="e">
        <f t="shared" si="4"/>
        <v>#N/A</v>
      </c>
      <c r="E138">
        <f t="shared" si="5"/>
        <v>1</v>
      </c>
    </row>
    <row r="139" spans="2:5" x14ac:dyDescent="0.2">
      <c r="B139">
        <v>69</v>
      </c>
      <c r="C139">
        <v>0</v>
      </c>
      <c r="D139">
        <f t="shared" si="4"/>
        <v>0</v>
      </c>
      <c r="E139" t="e">
        <f t="shared" si="5"/>
        <v>#N/A</v>
      </c>
    </row>
    <row r="140" spans="2:5" x14ac:dyDescent="0.2">
      <c r="B140">
        <v>12</v>
      </c>
      <c r="C140">
        <v>0</v>
      </c>
      <c r="D140">
        <f t="shared" si="4"/>
        <v>0</v>
      </c>
      <c r="E140" t="e">
        <f t="shared" si="5"/>
        <v>#N/A</v>
      </c>
    </row>
    <row r="141" spans="2:5" x14ac:dyDescent="0.2">
      <c r="B141">
        <v>25</v>
      </c>
      <c r="C141">
        <v>1</v>
      </c>
      <c r="D141" t="e">
        <f t="shared" si="4"/>
        <v>#N/A</v>
      </c>
      <c r="E141">
        <f t="shared" si="5"/>
        <v>1</v>
      </c>
    </row>
    <row r="142" spans="2:5" x14ac:dyDescent="0.2">
      <c r="B142">
        <v>52</v>
      </c>
      <c r="C142">
        <v>0</v>
      </c>
      <c r="D142">
        <f t="shared" si="4"/>
        <v>0</v>
      </c>
      <c r="E142" t="e">
        <f t="shared" si="5"/>
        <v>#N/A</v>
      </c>
    </row>
    <row r="143" spans="2:5" x14ac:dyDescent="0.2">
      <c r="B143">
        <v>53</v>
      </c>
      <c r="C143">
        <v>0</v>
      </c>
      <c r="D143">
        <f t="shared" si="4"/>
        <v>0</v>
      </c>
      <c r="E143" t="e">
        <f t="shared" si="5"/>
        <v>#N/A</v>
      </c>
    </row>
    <row r="144" spans="2:5" x14ac:dyDescent="0.2">
      <c r="B144">
        <v>23</v>
      </c>
      <c r="C144">
        <v>1</v>
      </c>
      <c r="D144" t="e">
        <f t="shared" si="4"/>
        <v>#N/A</v>
      </c>
      <c r="E144">
        <f t="shared" si="5"/>
        <v>1</v>
      </c>
    </row>
    <row r="145" spans="2:5" x14ac:dyDescent="0.2">
      <c r="B145">
        <v>16</v>
      </c>
      <c r="C145">
        <v>0</v>
      </c>
      <c r="D145">
        <f t="shared" si="4"/>
        <v>0</v>
      </c>
      <c r="E145" t="e">
        <f t="shared" si="5"/>
        <v>#N/A</v>
      </c>
    </row>
    <row r="146" spans="2:5" x14ac:dyDescent="0.2">
      <c r="B146">
        <v>57</v>
      </c>
      <c r="C146">
        <v>0</v>
      </c>
      <c r="D146">
        <f t="shared" si="4"/>
        <v>0</v>
      </c>
      <c r="E146" t="e">
        <f t="shared" si="5"/>
        <v>#N/A</v>
      </c>
    </row>
    <row r="147" spans="2:5" x14ac:dyDescent="0.2">
      <c r="B147">
        <v>39</v>
      </c>
      <c r="C147">
        <v>0</v>
      </c>
      <c r="D147">
        <f t="shared" si="4"/>
        <v>0</v>
      </c>
      <c r="E147" t="e">
        <f t="shared" si="5"/>
        <v>#N/A</v>
      </c>
    </row>
    <row r="148" spans="2:5" x14ac:dyDescent="0.2">
      <c r="B148">
        <v>53</v>
      </c>
      <c r="C148">
        <v>0</v>
      </c>
      <c r="D148">
        <f t="shared" si="4"/>
        <v>0</v>
      </c>
      <c r="E148" t="e">
        <f t="shared" si="5"/>
        <v>#N/A</v>
      </c>
    </row>
    <row r="149" spans="2:5" x14ac:dyDescent="0.2">
      <c r="B149">
        <v>42</v>
      </c>
      <c r="C149">
        <v>0</v>
      </c>
      <c r="D149">
        <f t="shared" si="4"/>
        <v>0</v>
      </c>
      <c r="E149" t="e">
        <f t="shared" si="5"/>
        <v>#N/A</v>
      </c>
    </row>
    <row r="150" spans="2:5" x14ac:dyDescent="0.2">
      <c r="B150">
        <v>58</v>
      </c>
      <c r="C150">
        <v>1</v>
      </c>
      <c r="D150" t="e">
        <f t="shared" si="4"/>
        <v>#N/A</v>
      </c>
      <c r="E150">
        <f t="shared" si="5"/>
        <v>1</v>
      </c>
    </row>
    <row r="151" spans="2:5" x14ac:dyDescent="0.2">
      <c r="B151">
        <v>39</v>
      </c>
      <c r="C151">
        <v>1</v>
      </c>
      <c r="D151" t="e">
        <f t="shared" si="4"/>
        <v>#N/A</v>
      </c>
      <c r="E151">
        <f t="shared" si="5"/>
        <v>1</v>
      </c>
    </row>
    <row r="152" spans="2:5" x14ac:dyDescent="0.2">
      <c r="B152">
        <v>14</v>
      </c>
      <c r="C152">
        <v>1</v>
      </c>
      <c r="D152" t="e">
        <f t="shared" si="4"/>
        <v>#N/A</v>
      </c>
      <c r="E152">
        <f t="shared" si="5"/>
        <v>1</v>
      </c>
    </row>
    <row r="153" spans="2:5" x14ac:dyDescent="0.2">
      <c r="B153">
        <v>5</v>
      </c>
      <c r="C153">
        <v>0</v>
      </c>
      <c r="D153">
        <f t="shared" si="4"/>
        <v>0</v>
      </c>
      <c r="E153" t="e">
        <f t="shared" si="5"/>
        <v>#N/A</v>
      </c>
    </row>
    <row r="154" spans="2:5" x14ac:dyDescent="0.2">
      <c r="B154">
        <v>35</v>
      </c>
      <c r="C154">
        <v>0</v>
      </c>
      <c r="D154">
        <f t="shared" si="4"/>
        <v>0</v>
      </c>
      <c r="E154" t="e">
        <f t="shared" si="5"/>
        <v>#N/A</v>
      </c>
    </row>
    <row r="155" spans="2:5" x14ac:dyDescent="0.2">
      <c r="B155">
        <v>18</v>
      </c>
      <c r="C155">
        <v>1</v>
      </c>
      <c r="D155" t="e">
        <f t="shared" si="4"/>
        <v>#N/A</v>
      </c>
      <c r="E155">
        <f t="shared" si="5"/>
        <v>1</v>
      </c>
    </row>
    <row r="156" spans="2:5" x14ac:dyDescent="0.2">
      <c r="B156">
        <v>9</v>
      </c>
      <c r="C156">
        <v>0</v>
      </c>
      <c r="D156">
        <f t="shared" si="4"/>
        <v>0</v>
      </c>
      <c r="E156" t="e">
        <f t="shared" si="5"/>
        <v>#N/A</v>
      </c>
    </row>
    <row r="157" spans="2:5" x14ac:dyDescent="0.2">
      <c r="B157">
        <v>58</v>
      </c>
      <c r="C157">
        <v>0</v>
      </c>
      <c r="D157">
        <f t="shared" si="4"/>
        <v>0</v>
      </c>
      <c r="E157" t="e">
        <f t="shared" si="5"/>
        <v>#N/A</v>
      </c>
    </row>
    <row r="158" spans="2:5" x14ac:dyDescent="0.2">
      <c r="B158">
        <v>17</v>
      </c>
      <c r="C158">
        <v>1</v>
      </c>
      <c r="D158" t="e">
        <f t="shared" si="4"/>
        <v>#N/A</v>
      </c>
      <c r="E158">
        <f t="shared" si="5"/>
        <v>1</v>
      </c>
    </row>
    <row r="159" spans="2:5" x14ac:dyDescent="0.2">
      <c r="B159">
        <v>7</v>
      </c>
      <c r="C159">
        <v>0</v>
      </c>
      <c r="D159">
        <f t="shared" si="4"/>
        <v>0</v>
      </c>
      <c r="E159" t="e">
        <f t="shared" si="5"/>
        <v>#N/A</v>
      </c>
    </row>
    <row r="160" spans="2:5" x14ac:dyDescent="0.2">
      <c r="B160">
        <v>46</v>
      </c>
      <c r="C160">
        <v>0</v>
      </c>
      <c r="D160">
        <f t="shared" si="4"/>
        <v>0</v>
      </c>
      <c r="E160" t="e">
        <f t="shared" si="5"/>
        <v>#N/A</v>
      </c>
    </row>
    <row r="161" spans="2:5" x14ac:dyDescent="0.2">
      <c r="B161">
        <v>13</v>
      </c>
      <c r="C161">
        <v>1</v>
      </c>
      <c r="D161" t="e">
        <f t="shared" si="4"/>
        <v>#N/A</v>
      </c>
      <c r="E161">
        <f t="shared" si="5"/>
        <v>1</v>
      </c>
    </row>
    <row r="162" spans="2:5" x14ac:dyDescent="0.2">
      <c r="B162">
        <v>40</v>
      </c>
      <c r="C162">
        <v>0</v>
      </c>
      <c r="D162">
        <f t="shared" si="4"/>
        <v>0</v>
      </c>
      <c r="E162" t="e">
        <f t="shared" si="5"/>
        <v>#N/A</v>
      </c>
    </row>
    <row r="163" spans="2:5" x14ac:dyDescent="0.2">
      <c r="B163">
        <v>42</v>
      </c>
      <c r="C163">
        <v>0</v>
      </c>
      <c r="D163">
        <f t="shared" si="4"/>
        <v>0</v>
      </c>
      <c r="E163" t="e">
        <f t="shared" si="5"/>
        <v>#N/A</v>
      </c>
    </row>
    <row r="164" spans="2:5" x14ac:dyDescent="0.2">
      <c r="B164">
        <v>9</v>
      </c>
      <c r="C164">
        <v>1</v>
      </c>
      <c r="D164" t="e">
        <f t="shared" si="4"/>
        <v>#N/A</v>
      </c>
      <c r="E164">
        <f t="shared" si="5"/>
        <v>1</v>
      </c>
    </row>
    <row r="165" spans="2:5" x14ac:dyDescent="0.2">
      <c r="B165">
        <v>50</v>
      </c>
      <c r="C165">
        <v>0</v>
      </c>
      <c r="D165">
        <f t="shared" si="4"/>
        <v>0</v>
      </c>
      <c r="E165" t="e">
        <f t="shared" si="5"/>
        <v>#N/A</v>
      </c>
    </row>
    <row r="166" spans="2:5" x14ac:dyDescent="0.2">
      <c r="B166">
        <v>27</v>
      </c>
      <c r="C166">
        <v>1</v>
      </c>
      <c r="D166" t="e">
        <f t="shared" si="4"/>
        <v>#N/A</v>
      </c>
      <c r="E166">
        <f t="shared" si="5"/>
        <v>1</v>
      </c>
    </row>
    <row r="167" spans="2:5" x14ac:dyDescent="0.2">
      <c r="B167">
        <v>66</v>
      </c>
      <c r="C167">
        <v>1</v>
      </c>
      <c r="D167" t="e">
        <f t="shared" si="4"/>
        <v>#N/A</v>
      </c>
      <c r="E167">
        <f t="shared" si="5"/>
        <v>1</v>
      </c>
    </row>
    <row r="168" spans="2:5" x14ac:dyDescent="0.2">
      <c r="B168">
        <v>5</v>
      </c>
      <c r="C168">
        <v>1</v>
      </c>
      <c r="D168" t="e">
        <f t="shared" si="4"/>
        <v>#N/A</v>
      </c>
      <c r="E168">
        <f t="shared" si="5"/>
        <v>1</v>
      </c>
    </row>
    <row r="169" spans="2:5" x14ac:dyDescent="0.2">
      <c r="B169">
        <v>29</v>
      </c>
      <c r="C169">
        <v>1</v>
      </c>
      <c r="D169" t="e">
        <f t="shared" si="4"/>
        <v>#N/A</v>
      </c>
      <c r="E169">
        <f t="shared" si="5"/>
        <v>1</v>
      </c>
    </row>
    <row r="170" spans="2:5" x14ac:dyDescent="0.2">
      <c r="B170">
        <v>37</v>
      </c>
      <c r="C170">
        <v>1</v>
      </c>
      <c r="D170" t="e">
        <f t="shared" si="4"/>
        <v>#N/A</v>
      </c>
      <c r="E170">
        <f t="shared" si="5"/>
        <v>1</v>
      </c>
    </row>
    <row r="171" spans="2:5" x14ac:dyDescent="0.2">
      <c r="B171">
        <v>38</v>
      </c>
      <c r="C171">
        <v>1</v>
      </c>
      <c r="D171" t="e">
        <f t="shared" si="4"/>
        <v>#N/A</v>
      </c>
      <c r="E171">
        <f t="shared" si="5"/>
        <v>1</v>
      </c>
    </row>
    <row r="172" spans="2:5" x14ac:dyDescent="0.2">
      <c r="B172">
        <v>8</v>
      </c>
      <c r="C172">
        <v>0</v>
      </c>
      <c r="D172">
        <f t="shared" si="4"/>
        <v>0</v>
      </c>
      <c r="E172" t="e">
        <f t="shared" si="5"/>
        <v>#N/A</v>
      </c>
    </row>
    <row r="173" spans="2:5" x14ac:dyDescent="0.2">
      <c r="B173">
        <v>65</v>
      </c>
      <c r="C173">
        <v>0</v>
      </c>
      <c r="D173">
        <f t="shared" si="4"/>
        <v>0</v>
      </c>
      <c r="E173" t="e">
        <f t="shared" si="5"/>
        <v>#N/A</v>
      </c>
    </row>
    <row r="174" spans="2:5" x14ac:dyDescent="0.2">
      <c r="B174">
        <v>17</v>
      </c>
      <c r="C174">
        <v>0</v>
      </c>
      <c r="D174">
        <f t="shared" si="4"/>
        <v>0</v>
      </c>
      <c r="E174" t="e">
        <f t="shared" si="5"/>
        <v>#N/A</v>
      </c>
    </row>
    <row r="175" spans="2:5" x14ac:dyDescent="0.2">
      <c r="B175">
        <v>71</v>
      </c>
      <c r="C175">
        <v>0</v>
      </c>
      <c r="D175">
        <f t="shared" si="4"/>
        <v>0</v>
      </c>
      <c r="E175" t="e">
        <f t="shared" si="5"/>
        <v>#N/A</v>
      </c>
    </row>
    <row r="176" spans="2:5" x14ac:dyDescent="0.2">
      <c r="B176">
        <v>45</v>
      </c>
      <c r="C176">
        <v>0</v>
      </c>
      <c r="D176">
        <f t="shared" si="4"/>
        <v>0</v>
      </c>
      <c r="E176" t="e">
        <f t="shared" si="5"/>
        <v>#N/A</v>
      </c>
    </row>
    <row r="177" spans="2:5" x14ac:dyDescent="0.2">
      <c r="B177">
        <v>4</v>
      </c>
      <c r="C177">
        <v>0</v>
      </c>
      <c r="D177">
        <f t="shared" si="4"/>
        <v>0</v>
      </c>
      <c r="E177" t="e">
        <f t="shared" si="5"/>
        <v>#N/A</v>
      </c>
    </row>
    <row r="178" spans="2:5" x14ac:dyDescent="0.2">
      <c r="B178">
        <v>36</v>
      </c>
      <c r="C178">
        <v>1</v>
      </c>
      <c r="D178" t="e">
        <f t="shared" si="4"/>
        <v>#N/A</v>
      </c>
      <c r="E178">
        <f t="shared" si="5"/>
        <v>1</v>
      </c>
    </row>
    <row r="179" spans="2:5" x14ac:dyDescent="0.2">
      <c r="B179">
        <v>70</v>
      </c>
      <c r="C179">
        <v>0</v>
      </c>
      <c r="D179">
        <f t="shared" si="4"/>
        <v>0</v>
      </c>
      <c r="E179" t="e">
        <f t="shared" si="5"/>
        <v>#N/A</v>
      </c>
    </row>
    <row r="180" spans="2:5" x14ac:dyDescent="0.2">
      <c r="B180">
        <v>31</v>
      </c>
      <c r="C180">
        <v>0</v>
      </c>
      <c r="D180">
        <f t="shared" si="4"/>
        <v>0</v>
      </c>
      <c r="E180" t="e">
        <f t="shared" si="5"/>
        <v>#N/A</v>
      </c>
    </row>
    <row r="181" spans="2:5" x14ac:dyDescent="0.2">
      <c r="B181">
        <v>19</v>
      </c>
      <c r="C181">
        <v>0</v>
      </c>
      <c r="D181">
        <f t="shared" si="4"/>
        <v>0</v>
      </c>
      <c r="E181" t="e">
        <f t="shared" si="5"/>
        <v>#N/A</v>
      </c>
    </row>
    <row r="182" spans="2:5" x14ac:dyDescent="0.2">
      <c r="B182">
        <v>61</v>
      </c>
      <c r="C182">
        <v>0</v>
      </c>
      <c r="D182">
        <f t="shared" si="4"/>
        <v>0</v>
      </c>
      <c r="E182" t="e">
        <f t="shared" si="5"/>
        <v>#N/A</v>
      </c>
    </row>
    <row r="183" spans="2:5" x14ac:dyDescent="0.2">
      <c r="B183">
        <v>54</v>
      </c>
      <c r="C183">
        <v>0</v>
      </c>
      <c r="D183">
        <f t="shared" si="4"/>
        <v>0</v>
      </c>
      <c r="E183" t="e">
        <f t="shared" si="5"/>
        <v>#N/A</v>
      </c>
    </row>
    <row r="184" spans="2:5" x14ac:dyDescent="0.2">
      <c r="B184">
        <v>39</v>
      </c>
      <c r="C184">
        <v>1</v>
      </c>
      <c r="D184" t="e">
        <f t="shared" si="4"/>
        <v>#N/A</v>
      </c>
      <c r="E184">
        <f t="shared" si="5"/>
        <v>1</v>
      </c>
    </row>
    <row r="185" spans="2:5" x14ac:dyDescent="0.2">
      <c r="B185">
        <v>19</v>
      </c>
      <c r="C185">
        <v>1</v>
      </c>
      <c r="D185" t="e">
        <f t="shared" si="4"/>
        <v>#N/A</v>
      </c>
      <c r="E185">
        <f t="shared" si="5"/>
        <v>1</v>
      </c>
    </row>
    <row r="186" spans="2:5" x14ac:dyDescent="0.2">
      <c r="B186">
        <v>39</v>
      </c>
      <c r="C186">
        <v>1</v>
      </c>
      <c r="D186" t="e">
        <f t="shared" si="4"/>
        <v>#N/A</v>
      </c>
      <c r="E186">
        <f t="shared" si="5"/>
        <v>1</v>
      </c>
    </row>
    <row r="187" spans="2:5" x14ac:dyDescent="0.2">
      <c r="B187">
        <v>67</v>
      </c>
      <c r="C187">
        <v>1</v>
      </c>
      <c r="D187" t="e">
        <f t="shared" si="4"/>
        <v>#N/A</v>
      </c>
      <c r="E187">
        <f t="shared" si="5"/>
        <v>1</v>
      </c>
    </row>
    <row r="188" spans="2:5" x14ac:dyDescent="0.2">
      <c r="B188">
        <v>45</v>
      </c>
      <c r="C188">
        <v>0</v>
      </c>
      <c r="D188">
        <f t="shared" si="4"/>
        <v>0</v>
      </c>
      <c r="E188" t="e">
        <f t="shared" si="5"/>
        <v>#N/A</v>
      </c>
    </row>
    <row r="189" spans="2:5" x14ac:dyDescent="0.2">
      <c r="B189">
        <v>13</v>
      </c>
      <c r="C189">
        <v>0</v>
      </c>
      <c r="D189">
        <f t="shared" si="4"/>
        <v>0</v>
      </c>
      <c r="E189" t="e">
        <f t="shared" si="5"/>
        <v>#N/A</v>
      </c>
    </row>
    <row r="190" spans="2:5" x14ac:dyDescent="0.2">
      <c r="B190">
        <v>58</v>
      </c>
      <c r="C190">
        <v>1</v>
      </c>
      <c r="D190" t="e">
        <f t="shared" si="4"/>
        <v>#N/A</v>
      </c>
      <c r="E190">
        <f t="shared" si="5"/>
        <v>1</v>
      </c>
    </row>
    <row r="191" spans="2:5" x14ac:dyDescent="0.2">
      <c r="B191">
        <v>20</v>
      </c>
      <c r="C191">
        <v>0</v>
      </c>
      <c r="D191">
        <f t="shared" si="4"/>
        <v>0</v>
      </c>
      <c r="E191" t="e">
        <f t="shared" si="5"/>
        <v>#N/A</v>
      </c>
    </row>
    <row r="192" spans="2:5" x14ac:dyDescent="0.2">
      <c r="B192">
        <v>61</v>
      </c>
      <c r="C192">
        <v>0</v>
      </c>
      <c r="D192">
        <f t="shared" si="4"/>
        <v>0</v>
      </c>
      <c r="E192" t="e">
        <f t="shared" si="5"/>
        <v>#N/A</v>
      </c>
    </row>
    <row r="193" spans="2:5" x14ac:dyDescent="0.2">
      <c r="B193">
        <v>39</v>
      </c>
      <c r="C193">
        <v>0</v>
      </c>
      <c r="D193">
        <f t="shared" si="4"/>
        <v>0</v>
      </c>
      <c r="E193" t="e">
        <f t="shared" si="5"/>
        <v>#N/A</v>
      </c>
    </row>
    <row r="194" spans="2:5" x14ac:dyDescent="0.2">
      <c r="B194">
        <v>1</v>
      </c>
      <c r="C194">
        <v>0</v>
      </c>
      <c r="D194">
        <f t="shared" si="4"/>
        <v>0</v>
      </c>
      <c r="E194" t="e">
        <f t="shared" si="5"/>
        <v>#N/A</v>
      </c>
    </row>
    <row r="195" spans="2:5" x14ac:dyDescent="0.2">
      <c r="B195">
        <v>3</v>
      </c>
      <c r="C195">
        <v>1</v>
      </c>
      <c r="D195" t="e">
        <f t="shared" ref="D195:D251" si="6">IF(C195=0,0,NA())</f>
        <v>#N/A</v>
      </c>
      <c r="E195">
        <f t="shared" ref="E195:E251" si="7">IF(C195=1, 1, NA())</f>
        <v>1</v>
      </c>
    </row>
    <row r="196" spans="2:5" x14ac:dyDescent="0.2">
      <c r="B196">
        <v>62</v>
      </c>
      <c r="C196">
        <v>0</v>
      </c>
      <c r="D196">
        <f t="shared" si="6"/>
        <v>0</v>
      </c>
      <c r="E196" t="e">
        <f t="shared" si="7"/>
        <v>#N/A</v>
      </c>
    </row>
    <row r="197" spans="2:5" x14ac:dyDescent="0.2">
      <c r="B197">
        <v>63</v>
      </c>
      <c r="C197">
        <v>0</v>
      </c>
      <c r="D197">
        <f t="shared" si="6"/>
        <v>0</v>
      </c>
      <c r="E197" t="e">
        <f t="shared" si="7"/>
        <v>#N/A</v>
      </c>
    </row>
    <row r="198" spans="2:5" x14ac:dyDescent="0.2">
      <c r="B198">
        <v>25</v>
      </c>
      <c r="C198">
        <v>1</v>
      </c>
      <c r="D198" t="e">
        <f t="shared" si="6"/>
        <v>#N/A</v>
      </c>
      <c r="E198">
        <f t="shared" si="7"/>
        <v>1</v>
      </c>
    </row>
    <row r="199" spans="2:5" x14ac:dyDescent="0.2">
      <c r="B199">
        <v>56</v>
      </c>
      <c r="C199">
        <v>0</v>
      </c>
      <c r="D199">
        <f t="shared" si="6"/>
        <v>0</v>
      </c>
      <c r="E199" t="e">
        <f t="shared" si="7"/>
        <v>#N/A</v>
      </c>
    </row>
    <row r="200" spans="2:5" x14ac:dyDescent="0.2">
      <c r="B200">
        <v>33</v>
      </c>
      <c r="C200">
        <v>0</v>
      </c>
      <c r="D200">
        <f t="shared" si="6"/>
        <v>0</v>
      </c>
      <c r="E200" t="e">
        <f t="shared" si="7"/>
        <v>#N/A</v>
      </c>
    </row>
    <row r="201" spans="2:5" x14ac:dyDescent="0.2">
      <c r="B201">
        <v>38</v>
      </c>
      <c r="C201">
        <v>1</v>
      </c>
      <c r="D201" t="e">
        <f t="shared" si="6"/>
        <v>#N/A</v>
      </c>
      <c r="E201">
        <f t="shared" si="7"/>
        <v>1</v>
      </c>
    </row>
    <row r="202" spans="2:5" x14ac:dyDescent="0.2">
      <c r="B202">
        <v>6</v>
      </c>
      <c r="C202">
        <v>0</v>
      </c>
      <c r="D202">
        <f t="shared" si="6"/>
        <v>0</v>
      </c>
      <c r="E202" t="e">
        <f t="shared" si="7"/>
        <v>#N/A</v>
      </c>
    </row>
    <row r="203" spans="2:5" x14ac:dyDescent="0.2">
      <c r="B203">
        <v>58</v>
      </c>
      <c r="C203">
        <v>0</v>
      </c>
      <c r="D203">
        <f t="shared" si="6"/>
        <v>0</v>
      </c>
      <c r="E203" t="e">
        <f t="shared" si="7"/>
        <v>#N/A</v>
      </c>
    </row>
    <row r="204" spans="2:5" x14ac:dyDescent="0.2">
      <c r="B204">
        <v>44</v>
      </c>
      <c r="C204">
        <v>1</v>
      </c>
      <c r="D204" t="e">
        <f t="shared" si="6"/>
        <v>#N/A</v>
      </c>
      <c r="E204">
        <f t="shared" si="7"/>
        <v>1</v>
      </c>
    </row>
    <row r="205" spans="2:5" x14ac:dyDescent="0.2">
      <c r="B205">
        <v>45</v>
      </c>
      <c r="C205">
        <v>0</v>
      </c>
      <c r="D205">
        <f t="shared" si="6"/>
        <v>0</v>
      </c>
      <c r="E205" t="e">
        <f t="shared" si="7"/>
        <v>#N/A</v>
      </c>
    </row>
    <row r="206" spans="2:5" x14ac:dyDescent="0.2">
      <c r="B206">
        <v>32</v>
      </c>
      <c r="C206">
        <v>0</v>
      </c>
      <c r="D206">
        <f t="shared" si="6"/>
        <v>0</v>
      </c>
      <c r="E206" t="e">
        <f t="shared" si="7"/>
        <v>#N/A</v>
      </c>
    </row>
    <row r="207" spans="2:5" x14ac:dyDescent="0.2">
      <c r="B207">
        <v>45</v>
      </c>
      <c r="C207">
        <v>0</v>
      </c>
      <c r="D207">
        <f t="shared" si="6"/>
        <v>0</v>
      </c>
      <c r="E207" t="e">
        <f t="shared" si="7"/>
        <v>#N/A</v>
      </c>
    </row>
    <row r="208" spans="2:5" x14ac:dyDescent="0.2">
      <c r="B208">
        <v>61</v>
      </c>
      <c r="C208">
        <v>1</v>
      </c>
      <c r="D208" t="e">
        <f t="shared" si="6"/>
        <v>#N/A</v>
      </c>
      <c r="E208">
        <f t="shared" si="7"/>
        <v>1</v>
      </c>
    </row>
    <row r="209" spans="2:5" x14ac:dyDescent="0.2">
      <c r="B209">
        <v>47</v>
      </c>
      <c r="C209">
        <v>1</v>
      </c>
      <c r="D209" t="e">
        <f t="shared" si="6"/>
        <v>#N/A</v>
      </c>
      <c r="E209">
        <f t="shared" si="7"/>
        <v>1</v>
      </c>
    </row>
    <row r="210" spans="2:5" x14ac:dyDescent="0.2">
      <c r="B210">
        <v>21</v>
      </c>
      <c r="C210">
        <v>1</v>
      </c>
      <c r="D210" t="e">
        <f t="shared" si="6"/>
        <v>#N/A</v>
      </c>
      <c r="E210">
        <f t="shared" si="7"/>
        <v>1</v>
      </c>
    </row>
    <row r="211" spans="2:5" x14ac:dyDescent="0.2">
      <c r="B211">
        <v>36</v>
      </c>
      <c r="C211">
        <v>0</v>
      </c>
      <c r="D211">
        <f t="shared" si="6"/>
        <v>0</v>
      </c>
      <c r="E211" t="e">
        <f t="shared" si="7"/>
        <v>#N/A</v>
      </c>
    </row>
    <row r="212" spans="2:5" x14ac:dyDescent="0.2">
      <c r="B212">
        <v>19</v>
      </c>
      <c r="C212">
        <v>1</v>
      </c>
      <c r="D212" t="e">
        <f t="shared" si="6"/>
        <v>#N/A</v>
      </c>
      <c r="E212">
        <f t="shared" si="7"/>
        <v>1</v>
      </c>
    </row>
    <row r="213" spans="2:5" x14ac:dyDescent="0.2">
      <c r="B213">
        <v>20</v>
      </c>
      <c r="C213">
        <v>1</v>
      </c>
      <c r="D213" t="e">
        <f t="shared" si="6"/>
        <v>#N/A</v>
      </c>
      <c r="E213">
        <f t="shared" si="7"/>
        <v>1</v>
      </c>
    </row>
    <row r="214" spans="2:5" x14ac:dyDescent="0.2">
      <c r="B214">
        <v>57</v>
      </c>
      <c r="C214">
        <v>1</v>
      </c>
      <c r="D214" t="e">
        <f t="shared" si="6"/>
        <v>#N/A</v>
      </c>
      <c r="E214">
        <f t="shared" si="7"/>
        <v>1</v>
      </c>
    </row>
    <row r="215" spans="2:5" x14ac:dyDescent="0.2">
      <c r="B215">
        <v>18</v>
      </c>
      <c r="C215">
        <v>1</v>
      </c>
      <c r="D215" t="e">
        <f t="shared" si="6"/>
        <v>#N/A</v>
      </c>
      <c r="E215">
        <f t="shared" si="7"/>
        <v>1</v>
      </c>
    </row>
    <row r="216" spans="2:5" x14ac:dyDescent="0.2">
      <c r="B216">
        <v>47</v>
      </c>
      <c r="C216">
        <v>0</v>
      </c>
      <c r="D216">
        <f t="shared" si="6"/>
        <v>0</v>
      </c>
      <c r="E216" t="e">
        <f t="shared" si="7"/>
        <v>#N/A</v>
      </c>
    </row>
    <row r="217" spans="2:5" x14ac:dyDescent="0.2">
      <c r="B217">
        <v>49</v>
      </c>
      <c r="C217">
        <v>0</v>
      </c>
      <c r="D217">
        <f t="shared" si="6"/>
        <v>0</v>
      </c>
      <c r="E217" t="e">
        <f t="shared" si="7"/>
        <v>#N/A</v>
      </c>
    </row>
    <row r="218" spans="2:5" x14ac:dyDescent="0.2">
      <c r="B218">
        <v>14</v>
      </c>
      <c r="C218">
        <v>1</v>
      </c>
      <c r="D218" t="e">
        <f t="shared" si="6"/>
        <v>#N/A</v>
      </c>
      <c r="E218">
        <f t="shared" si="7"/>
        <v>1</v>
      </c>
    </row>
    <row r="219" spans="2:5" x14ac:dyDescent="0.2">
      <c r="B219">
        <v>15</v>
      </c>
      <c r="C219">
        <v>0</v>
      </c>
      <c r="D219">
        <f t="shared" si="6"/>
        <v>0</v>
      </c>
      <c r="E219" t="e">
        <f t="shared" si="7"/>
        <v>#N/A</v>
      </c>
    </row>
    <row r="220" spans="2:5" x14ac:dyDescent="0.2">
      <c r="B220">
        <v>31</v>
      </c>
      <c r="C220">
        <v>1</v>
      </c>
      <c r="D220" t="e">
        <f t="shared" si="6"/>
        <v>#N/A</v>
      </c>
      <c r="E220">
        <f t="shared" si="7"/>
        <v>1</v>
      </c>
    </row>
    <row r="221" spans="2:5" x14ac:dyDescent="0.2">
      <c r="B221">
        <v>1</v>
      </c>
      <c r="C221">
        <v>0</v>
      </c>
      <c r="D221">
        <f t="shared" si="6"/>
        <v>0</v>
      </c>
      <c r="E221" t="e">
        <f t="shared" si="7"/>
        <v>#N/A</v>
      </c>
    </row>
    <row r="222" spans="2:5" x14ac:dyDescent="0.2">
      <c r="B222">
        <v>54</v>
      </c>
      <c r="C222">
        <v>0</v>
      </c>
      <c r="D222">
        <f t="shared" si="6"/>
        <v>0</v>
      </c>
      <c r="E222" t="e">
        <f t="shared" si="7"/>
        <v>#N/A</v>
      </c>
    </row>
    <row r="223" spans="2:5" x14ac:dyDescent="0.2">
      <c r="B223">
        <v>3</v>
      </c>
      <c r="C223">
        <v>1</v>
      </c>
      <c r="D223" t="e">
        <f t="shared" si="6"/>
        <v>#N/A</v>
      </c>
      <c r="E223">
        <f t="shared" si="7"/>
        <v>1</v>
      </c>
    </row>
    <row r="224" spans="2:5" x14ac:dyDescent="0.2">
      <c r="B224">
        <v>16</v>
      </c>
      <c r="C224">
        <v>1</v>
      </c>
      <c r="D224" t="e">
        <f t="shared" si="6"/>
        <v>#N/A</v>
      </c>
      <c r="E224">
        <f t="shared" si="7"/>
        <v>1</v>
      </c>
    </row>
    <row r="225" spans="2:5" x14ac:dyDescent="0.2">
      <c r="B225">
        <v>57</v>
      </c>
      <c r="C225">
        <v>1</v>
      </c>
      <c r="D225" t="e">
        <f t="shared" si="6"/>
        <v>#N/A</v>
      </c>
      <c r="E225">
        <f t="shared" si="7"/>
        <v>1</v>
      </c>
    </row>
    <row r="226" spans="2:5" x14ac:dyDescent="0.2">
      <c r="B226">
        <v>12</v>
      </c>
      <c r="C226">
        <v>0</v>
      </c>
      <c r="D226">
        <f t="shared" si="6"/>
        <v>0</v>
      </c>
      <c r="E226" t="e">
        <f t="shared" si="7"/>
        <v>#N/A</v>
      </c>
    </row>
    <row r="227" spans="2:5" x14ac:dyDescent="0.2">
      <c r="B227">
        <v>16</v>
      </c>
      <c r="C227">
        <v>0</v>
      </c>
      <c r="D227">
        <f t="shared" si="6"/>
        <v>0</v>
      </c>
      <c r="E227" t="e">
        <f t="shared" si="7"/>
        <v>#N/A</v>
      </c>
    </row>
    <row r="228" spans="2:5" x14ac:dyDescent="0.2">
      <c r="B228">
        <v>24</v>
      </c>
      <c r="C228">
        <v>1</v>
      </c>
      <c r="D228" t="e">
        <f t="shared" si="6"/>
        <v>#N/A</v>
      </c>
      <c r="E228">
        <f t="shared" si="7"/>
        <v>1</v>
      </c>
    </row>
    <row r="229" spans="2:5" x14ac:dyDescent="0.2">
      <c r="B229">
        <v>28</v>
      </c>
      <c r="C229">
        <v>0</v>
      </c>
      <c r="D229">
        <f t="shared" si="6"/>
        <v>0</v>
      </c>
      <c r="E229" t="e">
        <f t="shared" si="7"/>
        <v>#N/A</v>
      </c>
    </row>
    <row r="230" spans="2:5" x14ac:dyDescent="0.2">
      <c r="B230">
        <v>8</v>
      </c>
      <c r="C230">
        <v>1</v>
      </c>
      <c r="D230" t="e">
        <f t="shared" si="6"/>
        <v>#N/A</v>
      </c>
      <c r="E230">
        <f t="shared" si="7"/>
        <v>1</v>
      </c>
    </row>
    <row r="231" spans="2:5" x14ac:dyDescent="0.2">
      <c r="B231">
        <v>36</v>
      </c>
      <c r="C231">
        <v>1</v>
      </c>
      <c r="D231" t="e">
        <f t="shared" si="6"/>
        <v>#N/A</v>
      </c>
      <c r="E231">
        <f t="shared" si="7"/>
        <v>1</v>
      </c>
    </row>
    <row r="232" spans="2:5" x14ac:dyDescent="0.2">
      <c r="B232">
        <v>8</v>
      </c>
      <c r="C232">
        <v>0</v>
      </c>
      <c r="D232">
        <f t="shared" si="6"/>
        <v>0</v>
      </c>
      <c r="E232" t="e">
        <f t="shared" si="7"/>
        <v>#N/A</v>
      </c>
    </row>
    <row r="233" spans="2:5" x14ac:dyDescent="0.2">
      <c r="B233">
        <v>58</v>
      </c>
      <c r="C233">
        <v>0</v>
      </c>
      <c r="D233">
        <f t="shared" si="6"/>
        <v>0</v>
      </c>
      <c r="E233" t="e">
        <f t="shared" si="7"/>
        <v>#N/A</v>
      </c>
    </row>
    <row r="234" spans="2:5" x14ac:dyDescent="0.2">
      <c r="B234">
        <v>60</v>
      </c>
      <c r="C234">
        <v>0</v>
      </c>
      <c r="D234">
        <f t="shared" si="6"/>
        <v>0</v>
      </c>
      <c r="E234" t="e">
        <f t="shared" si="7"/>
        <v>#N/A</v>
      </c>
    </row>
    <row r="235" spans="2:5" x14ac:dyDescent="0.2">
      <c r="B235">
        <v>50</v>
      </c>
      <c r="C235">
        <v>1</v>
      </c>
      <c r="D235" t="e">
        <f t="shared" si="6"/>
        <v>#N/A</v>
      </c>
      <c r="E235">
        <f t="shared" si="7"/>
        <v>1</v>
      </c>
    </row>
    <row r="236" spans="2:5" x14ac:dyDescent="0.2">
      <c r="B236">
        <v>28</v>
      </c>
      <c r="C236">
        <v>1</v>
      </c>
      <c r="D236" t="e">
        <f t="shared" si="6"/>
        <v>#N/A</v>
      </c>
      <c r="E236">
        <f t="shared" si="7"/>
        <v>1</v>
      </c>
    </row>
    <row r="237" spans="2:5" x14ac:dyDescent="0.2">
      <c r="B237">
        <v>41</v>
      </c>
      <c r="C237">
        <v>0</v>
      </c>
      <c r="D237">
        <f t="shared" si="6"/>
        <v>0</v>
      </c>
      <c r="E237" t="e">
        <f t="shared" si="7"/>
        <v>#N/A</v>
      </c>
    </row>
    <row r="238" spans="2:5" x14ac:dyDescent="0.2">
      <c r="B238">
        <v>64</v>
      </c>
      <c r="C238">
        <v>0</v>
      </c>
      <c r="D238">
        <f t="shared" si="6"/>
        <v>0</v>
      </c>
      <c r="E238" t="e">
        <f t="shared" si="7"/>
        <v>#N/A</v>
      </c>
    </row>
    <row r="239" spans="2:5" x14ac:dyDescent="0.2">
      <c r="B239">
        <v>27</v>
      </c>
      <c r="C239">
        <v>0</v>
      </c>
      <c r="D239">
        <f t="shared" si="6"/>
        <v>0</v>
      </c>
      <c r="E239" t="e">
        <f t="shared" si="7"/>
        <v>#N/A</v>
      </c>
    </row>
    <row r="240" spans="2:5" x14ac:dyDescent="0.2">
      <c r="B240">
        <v>63</v>
      </c>
      <c r="C240">
        <v>1</v>
      </c>
      <c r="D240" t="e">
        <f t="shared" si="6"/>
        <v>#N/A</v>
      </c>
      <c r="E240">
        <f t="shared" si="7"/>
        <v>1</v>
      </c>
    </row>
    <row r="241" spans="2:5" x14ac:dyDescent="0.2">
      <c r="B241">
        <v>17</v>
      </c>
      <c r="C241">
        <v>0</v>
      </c>
      <c r="D241">
        <f t="shared" si="6"/>
        <v>0</v>
      </c>
      <c r="E241" t="e">
        <f t="shared" si="7"/>
        <v>#N/A</v>
      </c>
    </row>
    <row r="242" spans="2:5" x14ac:dyDescent="0.2">
      <c r="B242">
        <v>33</v>
      </c>
      <c r="C242">
        <v>1</v>
      </c>
      <c r="D242" t="e">
        <f t="shared" si="6"/>
        <v>#N/A</v>
      </c>
      <c r="E242">
        <f t="shared" si="7"/>
        <v>1</v>
      </c>
    </row>
    <row r="243" spans="2:5" x14ac:dyDescent="0.2">
      <c r="B243">
        <v>29</v>
      </c>
      <c r="C243">
        <v>1</v>
      </c>
      <c r="D243" t="e">
        <f t="shared" si="6"/>
        <v>#N/A</v>
      </c>
      <c r="E243">
        <f t="shared" si="7"/>
        <v>1</v>
      </c>
    </row>
    <row r="244" spans="2:5" x14ac:dyDescent="0.2">
      <c r="B244">
        <v>13</v>
      </c>
      <c r="C244">
        <v>0</v>
      </c>
      <c r="D244">
        <f t="shared" si="6"/>
        <v>0</v>
      </c>
      <c r="E244" t="e">
        <f t="shared" si="7"/>
        <v>#N/A</v>
      </c>
    </row>
    <row r="245" spans="2:5" x14ac:dyDescent="0.2">
      <c r="B245">
        <v>46</v>
      </c>
      <c r="C245">
        <v>1</v>
      </c>
      <c r="D245" t="e">
        <f t="shared" si="6"/>
        <v>#N/A</v>
      </c>
      <c r="E245">
        <f t="shared" si="7"/>
        <v>1</v>
      </c>
    </row>
    <row r="246" spans="2:5" x14ac:dyDescent="0.2">
      <c r="B246">
        <v>35</v>
      </c>
      <c r="C246">
        <v>0</v>
      </c>
      <c r="D246">
        <f t="shared" si="6"/>
        <v>0</v>
      </c>
      <c r="E246" t="e">
        <f t="shared" si="7"/>
        <v>#N/A</v>
      </c>
    </row>
    <row r="247" spans="2:5" x14ac:dyDescent="0.2">
      <c r="B247">
        <v>6</v>
      </c>
      <c r="C247">
        <v>1</v>
      </c>
      <c r="D247" t="e">
        <f t="shared" si="6"/>
        <v>#N/A</v>
      </c>
      <c r="E247">
        <f t="shared" si="7"/>
        <v>1</v>
      </c>
    </row>
    <row r="248" spans="2:5" x14ac:dyDescent="0.2">
      <c r="B248">
        <v>69</v>
      </c>
      <c r="C248">
        <v>1</v>
      </c>
      <c r="D248" t="e">
        <f t="shared" si="6"/>
        <v>#N/A</v>
      </c>
      <c r="E248">
        <f t="shared" si="7"/>
        <v>1</v>
      </c>
    </row>
    <row r="249" spans="2:5" x14ac:dyDescent="0.2">
      <c r="B249">
        <v>47</v>
      </c>
      <c r="C249">
        <v>1</v>
      </c>
      <c r="D249" t="e">
        <f t="shared" si="6"/>
        <v>#N/A</v>
      </c>
      <c r="E249">
        <f t="shared" si="7"/>
        <v>1</v>
      </c>
    </row>
    <row r="250" spans="2:5" x14ac:dyDescent="0.2">
      <c r="B250">
        <v>25</v>
      </c>
      <c r="C250">
        <v>1</v>
      </c>
      <c r="D250" t="e">
        <f t="shared" si="6"/>
        <v>#N/A</v>
      </c>
      <c r="E250">
        <f t="shared" si="7"/>
        <v>1</v>
      </c>
    </row>
    <row r="251" spans="2:5" x14ac:dyDescent="0.2">
      <c r="B251">
        <v>66</v>
      </c>
      <c r="C251">
        <v>0</v>
      </c>
      <c r="D251">
        <f t="shared" si="6"/>
        <v>0</v>
      </c>
      <c r="E251" t="e">
        <f t="shared" si="7"/>
        <v>#N/A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8B37-2EE1-5B4A-A71E-D6BF16D32FDE}">
  <dimension ref="A1:D133"/>
  <sheetViews>
    <sheetView topLeftCell="C1" zoomScale="125" zoomScaleNormal="125" workbookViewId="0">
      <selection sqref="A1:B133"/>
    </sheetView>
  </sheetViews>
  <sheetFormatPr baseColWidth="10" defaultRowHeight="15" x14ac:dyDescent="0.2"/>
  <cols>
    <col min="1" max="1" width="25.83203125" customWidth="1"/>
    <col min="2" max="2" width="15.83203125" customWidth="1"/>
    <col min="3" max="3" width="19.33203125" customWidth="1"/>
  </cols>
  <sheetData>
    <row r="1" spans="1:4" x14ac:dyDescent="0.2">
      <c r="A1" s="3" t="s">
        <v>204</v>
      </c>
      <c r="B1" s="3" t="s">
        <v>13</v>
      </c>
      <c r="C1" s="3" t="s">
        <v>205</v>
      </c>
      <c r="D1" s="3" t="s">
        <v>13</v>
      </c>
    </row>
    <row r="2" spans="1:4" x14ac:dyDescent="0.2">
      <c r="A2" s="3">
        <v>75.16</v>
      </c>
      <c r="B2" s="3">
        <v>0</v>
      </c>
      <c r="C2" s="3">
        <v>28.27</v>
      </c>
      <c r="D2" s="3">
        <v>1</v>
      </c>
    </row>
    <row r="3" spans="1:4" x14ac:dyDescent="0.2">
      <c r="A3" s="3">
        <v>118.53</v>
      </c>
      <c r="B3" s="3">
        <v>0</v>
      </c>
      <c r="C3" s="3">
        <v>107.67</v>
      </c>
      <c r="D3" s="3">
        <v>1</v>
      </c>
    </row>
    <row r="4" spans="1:4" x14ac:dyDescent="0.2">
      <c r="A4" s="3">
        <v>94.96</v>
      </c>
      <c r="B4" s="3">
        <v>0</v>
      </c>
      <c r="C4" s="3">
        <v>36.479999999999997</v>
      </c>
      <c r="D4" s="3">
        <v>1</v>
      </c>
    </row>
    <row r="5" spans="1:4" x14ac:dyDescent="0.2">
      <c r="A5" s="3">
        <v>59.3</v>
      </c>
      <c r="B5" s="3">
        <v>0</v>
      </c>
      <c r="C5" s="3">
        <v>61.13</v>
      </c>
      <c r="D5" s="3">
        <v>1</v>
      </c>
    </row>
    <row r="6" spans="1:4" x14ac:dyDescent="0.2">
      <c r="A6" s="3">
        <v>102.92</v>
      </c>
      <c r="B6" s="3">
        <v>0</v>
      </c>
      <c r="C6" s="3">
        <v>97.76</v>
      </c>
      <c r="D6" s="3">
        <v>1</v>
      </c>
    </row>
    <row r="7" spans="1:4" x14ac:dyDescent="0.2">
      <c r="A7" s="3">
        <v>76.91</v>
      </c>
      <c r="B7" s="3">
        <v>0</v>
      </c>
      <c r="C7" s="3">
        <v>68.040000000000006</v>
      </c>
      <c r="D7" s="3">
        <v>1</v>
      </c>
    </row>
    <row r="8" spans="1:4" x14ac:dyDescent="0.2">
      <c r="A8" s="3">
        <v>23.68</v>
      </c>
      <c r="B8" s="3">
        <v>0</v>
      </c>
      <c r="C8" s="3">
        <v>57.67</v>
      </c>
      <c r="D8" s="3">
        <v>1</v>
      </c>
    </row>
    <row r="9" spans="1:4" x14ac:dyDescent="0.2">
      <c r="A9" s="3">
        <v>21.37</v>
      </c>
      <c r="B9" s="3">
        <v>0</v>
      </c>
      <c r="C9" s="3">
        <v>26.35</v>
      </c>
      <c r="D9" s="3">
        <v>1</v>
      </c>
    </row>
    <row r="10" spans="1:4" x14ac:dyDescent="0.2">
      <c r="A10" s="3">
        <v>27.54</v>
      </c>
      <c r="B10" s="3">
        <v>0</v>
      </c>
      <c r="C10" s="3">
        <v>33.39</v>
      </c>
      <c r="D10" s="3">
        <v>1</v>
      </c>
    </row>
    <row r="11" spans="1:4" x14ac:dyDescent="0.2">
      <c r="A11" s="3">
        <v>94.99</v>
      </c>
      <c r="B11" s="3">
        <v>0</v>
      </c>
      <c r="C11" s="3">
        <v>89.17</v>
      </c>
      <c r="D11" s="3">
        <v>1</v>
      </c>
    </row>
    <row r="12" spans="1:4" x14ac:dyDescent="0.2">
      <c r="A12" s="3">
        <v>92.61</v>
      </c>
      <c r="B12" s="3">
        <v>0</v>
      </c>
      <c r="C12" s="3">
        <v>73.430000000000007</v>
      </c>
      <c r="D12" s="3">
        <v>1</v>
      </c>
    </row>
    <row r="13" spans="1:4" x14ac:dyDescent="0.2">
      <c r="A13" s="3">
        <v>95.71</v>
      </c>
      <c r="B13" s="3">
        <v>0</v>
      </c>
      <c r="C13" s="3">
        <v>111.32</v>
      </c>
      <c r="D13" s="3">
        <v>1</v>
      </c>
    </row>
    <row r="14" spans="1:4" x14ac:dyDescent="0.2">
      <c r="A14" s="3">
        <v>57.79</v>
      </c>
      <c r="B14" s="3">
        <v>0</v>
      </c>
      <c r="C14" s="3">
        <v>78.510000000000005</v>
      </c>
      <c r="D14" s="3">
        <v>1</v>
      </c>
    </row>
    <row r="15" spans="1:4" x14ac:dyDescent="0.2">
      <c r="A15" s="3">
        <v>44.11</v>
      </c>
      <c r="B15" s="3">
        <v>0</v>
      </c>
      <c r="C15" s="3">
        <v>47.47</v>
      </c>
      <c r="D15" s="3">
        <v>1</v>
      </c>
    </row>
    <row r="16" spans="1:4" x14ac:dyDescent="0.2">
      <c r="A16" s="3">
        <v>40.5</v>
      </c>
      <c r="B16" s="3">
        <v>0</v>
      </c>
      <c r="C16" s="3">
        <v>40.72</v>
      </c>
      <c r="D16" s="3">
        <v>1</v>
      </c>
    </row>
    <row r="17" spans="1:4" x14ac:dyDescent="0.2">
      <c r="A17" s="3">
        <v>45.14</v>
      </c>
      <c r="B17" s="3">
        <v>0</v>
      </c>
      <c r="C17" s="3">
        <v>24.69</v>
      </c>
      <c r="D17" s="3">
        <v>1</v>
      </c>
    </row>
    <row r="18" spans="1:4" x14ac:dyDescent="0.2">
      <c r="A18" s="3">
        <v>107.82</v>
      </c>
      <c r="B18" s="3">
        <v>0</v>
      </c>
      <c r="C18" s="3">
        <v>46.87</v>
      </c>
      <c r="D18" s="3">
        <v>1</v>
      </c>
    </row>
    <row r="19" spans="1:4" x14ac:dyDescent="0.2">
      <c r="A19" s="3">
        <v>95.7</v>
      </c>
      <c r="B19" s="3">
        <v>0</v>
      </c>
      <c r="C19" s="3">
        <v>103.14</v>
      </c>
      <c r="D19" s="3">
        <v>1</v>
      </c>
    </row>
    <row r="20" spans="1:4" x14ac:dyDescent="0.2">
      <c r="A20" s="3">
        <v>22.22</v>
      </c>
      <c r="B20" s="3">
        <v>0</v>
      </c>
      <c r="C20" s="3">
        <v>101.64</v>
      </c>
      <c r="D20" s="3">
        <v>1</v>
      </c>
    </row>
    <row r="21" spans="1:4" x14ac:dyDescent="0.2">
      <c r="A21" s="3">
        <v>69.819999999999993</v>
      </c>
      <c r="B21" s="3">
        <v>0</v>
      </c>
      <c r="C21" s="3">
        <v>116.8</v>
      </c>
      <c r="D21" s="3">
        <v>1</v>
      </c>
    </row>
    <row r="22" spans="1:4" x14ac:dyDescent="0.2">
      <c r="A22" s="3">
        <v>67.62</v>
      </c>
      <c r="B22" s="3">
        <v>0</v>
      </c>
      <c r="C22" s="3">
        <v>28.84</v>
      </c>
      <c r="D22" s="3">
        <v>1</v>
      </c>
    </row>
    <row r="23" spans="1:4" x14ac:dyDescent="0.2">
      <c r="A23" s="3">
        <v>50.78</v>
      </c>
      <c r="B23" s="3">
        <v>0</v>
      </c>
      <c r="C23" s="3">
        <v>79</v>
      </c>
      <c r="D23" s="3">
        <v>1</v>
      </c>
    </row>
    <row r="24" spans="1:4" x14ac:dyDescent="0.2">
      <c r="A24" s="3">
        <v>99.18</v>
      </c>
      <c r="B24" s="3">
        <v>0</v>
      </c>
      <c r="C24" s="3">
        <v>98.47</v>
      </c>
      <c r="D24" s="3">
        <v>1</v>
      </c>
    </row>
    <row r="25" spans="1:4" x14ac:dyDescent="0.2">
      <c r="A25" s="3">
        <v>68</v>
      </c>
      <c r="B25" s="3">
        <v>0</v>
      </c>
      <c r="C25" s="3">
        <v>100.5</v>
      </c>
      <c r="D25" s="3">
        <v>1</v>
      </c>
    </row>
    <row r="26" spans="1:4" x14ac:dyDescent="0.2">
      <c r="A26" s="3">
        <v>62.05</v>
      </c>
      <c r="B26" s="3">
        <v>0</v>
      </c>
      <c r="C26" s="3">
        <v>83.66</v>
      </c>
      <c r="D26" s="3">
        <v>1</v>
      </c>
    </row>
    <row r="27" spans="1:4" x14ac:dyDescent="0.2">
      <c r="A27" s="3">
        <v>83.94</v>
      </c>
      <c r="B27" s="3">
        <v>0</v>
      </c>
      <c r="C27" s="3">
        <v>75.48</v>
      </c>
      <c r="D27" s="3">
        <v>1</v>
      </c>
    </row>
    <row r="28" spans="1:4" x14ac:dyDescent="0.2">
      <c r="A28" s="3">
        <v>110.32</v>
      </c>
      <c r="B28" s="3">
        <v>0</v>
      </c>
      <c r="C28" s="3">
        <v>74.739999999999995</v>
      </c>
      <c r="D28" s="3">
        <v>1</v>
      </c>
    </row>
    <row r="29" spans="1:4" x14ac:dyDescent="0.2">
      <c r="A29" s="3">
        <v>81.73</v>
      </c>
      <c r="B29" s="3">
        <v>0</v>
      </c>
      <c r="C29" s="3">
        <v>111.05</v>
      </c>
      <c r="D29" s="3">
        <v>1</v>
      </c>
    </row>
    <row r="30" spans="1:4" x14ac:dyDescent="0.2">
      <c r="A30" s="3">
        <v>118.05</v>
      </c>
      <c r="B30" s="3">
        <v>0</v>
      </c>
      <c r="C30" s="3">
        <v>72.36</v>
      </c>
      <c r="D30" s="3">
        <v>1</v>
      </c>
    </row>
    <row r="31" spans="1:4" x14ac:dyDescent="0.2">
      <c r="A31" s="3">
        <v>80.81</v>
      </c>
      <c r="B31" s="3">
        <v>0</v>
      </c>
      <c r="C31" s="3">
        <v>99.65</v>
      </c>
      <c r="D31" s="3">
        <v>1</v>
      </c>
    </row>
    <row r="32" spans="1:4" x14ac:dyDescent="0.2">
      <c r="A32" s="3">
        <v>29.1</v>
      </c>
      <c r="B32" s="3">
        <v>0</v>
      </c>
      <c r="C32" s="3">
        <v>65.930000000000007</v>
      </c>
      <c r="D32" s="3">
        <v>1</v>
      </c>
    </row>
    <row r="33" spans="1:4" x14ac:dyDescent="0.2">
      <c r="A33" s="3">
        <v>92.64</v>
      </c>
      <c r="B33" s="3">
        <v>0</v>
      </c>
      <c r="C33" s="3">
        <v>104.21</v>
      </c>
      <c r="D33" s="3">
        <v>1</v>
      </c>
    </row>
    <row r="34" spans="1:4" x14ac:dyDescent="0.2">
      <c r="A34" s="3">
        <v>65.09</v>
      </c>
      <c r="B34" s="3">
        <v>0</v>
      </c>
      <c r="C34" s="3">
        <v>96.89</v>
      </c>
      <c r="D34" s="3">
        <v>1</v>
      </c>
    </row>
    <row r="35" spans="1:4" x14ac:dyDescent="0.2">
      <c r="A35" s="3">
        <v>49.8</v>
      </c>
      <c r="B35" s="3">
        <v>0</v>
      </c>
      <c r="C35" s="3">
        <v>24.59</v>
      </c>
      <c r="D35" s="3">
        <v>1</v>
      </c>
    </row>
    <row r="36" spans="1:4" x14ac:dyDescent="0.2">
      <c r="A36" s="3">
        <v>89.76</v>
      </c>
      <c r="B36" s="3">
        <v>0</v>
      </c>
      <c r="C36" s="3">
        <v>54.74</v>
      </c>
      <c r="D36" s="3">
        <v>1</v>
      </c>
    </row>
    <row r="37" spans="1:4" x14ac:dyDescent="0.2">
      <c r="A37" s="3">
        <v>26.62</v>
      </c>
      <c r="B37" s="3">
        <v>0</v>
      </c>
      <c r="C37" s="3">
        <v>40.909999999999997</v>
      </c>
      <c r="D37" s="3">
        <v>1</v>
      </c>
    </row>
    <row r="38" spans="1:4" x14ac:dyDescent="0.2">
      <c r="A38" s="3">
        <v>82.08</v>
      </c>
      <c r="B38" s="3">
        <v>0</v>
      </c>
      <c r="C38" s="3">
        <v>77.959999999999994</v>
      </c>
      <c r="D38" s="3">
        <v>1</v>
      </c>
    </row>
    <row r="39" spans="1:4" x14ac:dyDescent="0.2">
      <c r="A39" s="3">
        <v>66.010000000000005</v>
      </c>
      <c r="B39" s="3">
        <v>0</v>
      </c>
      <c r="C39" s="3">
        <v>54.16</v>
      </c>
      <c r="D39" s="3">
        <v>1</v>
      </c>
    </row>
    <row r="40" spans="1:4" x14ac:dyDescent="0.2">
      <c r="A40" s="3">
        <v>78.48</v>
      </c>
      <c r="B40" s="3">
        <v>0</v>
      </c>
      <c r="C40" s="3">
        <v>73.73</v>
      </c>
      <c r="D40" s="3">
        <v>1</v>
      </c>
    </row>
    <row r="41" spans="1:4" x14ac:dyDescent="0.2">
      <c r="A41" s="3">
        <v>89.77</v>
      </c>
      <c r="B41" s="3">
        <v>0</v>
      </c>
      <c r="C41" s="3">
        <v>60.03</v>
      </c>
      <c r="D41" s="3">
        <v>1</v>
      </c>
    </row>
    <row r="42" spans="1:4" x14ac:dyDescent="0.2">
      <c r="A42" s="3">
        <v>61.17</v>
      </c>
      <c r="B42" s="3">
        <v>0</v>
      </c>
      <c r="C42" s="3">
        <v>38.01</v>
      </c>
      <c r="D42" s="3">
        <v>1</v>
      </c>
    </row>
    <row r="43" spans="1:4" x14ac:dyDescent="0.2">
      <c r="A43" s="3">
        <v>107.43</v>
      </c>
      <c r="B43" s="3">
        <v>0</v>
      </c>
      <c r="C43" s="3">
        <v>89.65</v>
      </c>
      <c r="D43" s="3">
        <v>1</v>
      </c>
    </row>
    <row r="44" spans="1:4" x14ac:dyDescent="0.2">
      <c r="A44" s="3">
        <v>71.52</v>
      </c>
      <c r="B44" s="3">
        <v>0</v>
      </c>
      <c r="C44" s="3">
        <v>80.19</v>
      </c>
      <c r="D44" s="3">
        <v>1</v>
      </c>
    </row>
    <row r="45" spans="1:4" x14ac:dyDescent="0.2">
      <c r="A45" s="3">
        <v>117.31</v>
      </c>
      <c r="B45" s="3">
        <v>0</v>
      </c>
      <c r="C45" s="3">
        <v>54.51</v>
      </c>
      <c r="D45" s="3">
        <v>1</v>
      </c>
    </row>
    <row r="46" spans="1:4" x14ac:dyDescent="0.2">
      <c r="A46" s="3">
        <v>42.38</v>
      </c>
      <c r="B46" s="3">
        <v>0</v>
      </c>
      <c r="C46" s="3">
        <v>23.18</v>
      </c>
      <c r="D46" s="3">
        <v>1</v>
      </c>
    </row>
    <row r="47" spans="1:4" x14ac:dyDescent="0.2">
      <c r="A47" s="3">
        <v>102.18</v>
      </c>
      <c r="B47" s="3">
        <v>0</v>
      </c>
      <c r="C47" s="3">
        <v>74.87</v>
      </c>
      <c r="D47" s="3">
        <v>1</v>
      </c>
    </row>
    <row r="48" spans="1:4" x14ac:dyDescent="0.2">
      <c r="A48" s="3">
        <v>54.76</v>
      </c>
      <c r="B48" s="3">
        <v>0</v>
      </c>
      <c r="C48" s="3">
        <v>109.42</v>
      </c>
      <c r="D48" s="3">
        <v>1</v>
      </c>
    </row>
    <row r="49" spans="1:4" x14ac:dyDescent="0.2">
      <c r="A49" s="3">
        <v>73.44</v>
      </c>
      <c r="B49" s="3">
        <v>0</v>
      </c>
      <c r="C49" s="3">
        <v>32.869999999999997</v>
      </c>
      <c r="D49" s="3">
        <v>1</v>
      </c>
    </row>
    <row r="50" spans="1:4" x14ac:dyDescent="0.2">
      <c r="A50" s="3">
        <v>55.6</v>
      </c>
      <c r="B50" s="3">
        <v>0</v>
      </c>
      <c r="C50" s="3">
        <v>53.01</v>
      </c>
      <c r="D50" s="3">
        <v>1</v>
      </c>
    </row>
    <row r="51" spans="1:4" x14ac:dyDescent="0.2">
      <c r="A51" s="3">
        <v>29.23</v>
      </c>
      <c r="B51" s="3">
        <v>0</v>
      </c>
      <c r="C51" s="3">
        <v>52.16</v>
      </c>
      <c r="D51" s="3">
        <v>1</v>
      </c>
    </row>
    <row r="52" spans="1:4" x14ac:dyDescent="0.2">
      <c r="A52" s="3">
        <v>68.11</v>
      </c>
      <c r="B52" s="3">
        <v>0</v>
      </c>
      <c r="C52" s="3">
        <v>88.78</v>
      </c>
      <c r="D52" s="3">
        <v>1</v>
      </c>
    </row>
    <row r="53" spans="1:4" x14ac:dyDescent="0.2">
      <c r="A53" s="3">
        <v>20.260000000000002</v>
      </c>
      <c r="B53" s="3">
        <v>0</v>
      </c>
      <c r="C53" s="3">
        <v>71.17</v>
      </c>
      <c r="D53" s="3">
        <v>1</v>
      </c>
    </row>
    <row r="54" spans="1:4" x14ac:dyDescent="0.2">
      <c r="A54" s="3">
        <v>106.83</v>
      </c>
      <c r="B54" s="3">
        <v>0</v>
      </c>
      <c r="C54" s="3">
        <v>35.700000000000003</v>
      </c>
      <c r="D54" s="3">
        <v>1</v>
      </c>
    </row>
    <row r="55" spans="1:4" x14ac:dyDescent="0.2">
      <c r="A55" s="3">
        <v>28.45</v>
      </c>
      <c r="B55" s="3">
        <v>0</v>
      </c>
      <c r="C55" s="3">
        <v>57.73</v>
      </c>
      <c r="D55" s="3">
        <v>1</v>
      </c>
    </row>
    <row r="56" spans="1:4" x14ac:dyDescent="0.2">
      <c r="A56" s="3">
        <v>118.63</v>
      </c>
      <c r="B56" s="3">
        <v>0</v>
      </c>
      <c r="C56" s="3">
        <v>79.73</v>
      </c>
      <c r="D56" s="3">
        <v>1</v>
      </c>
    </row>
    <row r="57" spans="1:4" x14ac:dyDescent="0.2">
      <c r="A57" s="3">
        <v>73.66</v>
      </c>
      <c r="B57" s="3">
        <v>0</v>
      </c>
      <c r="C57" s="3">
        <v>96</v>
      </c>
      <c r="D57" s="3">
        <v>1</v>
      </c>
    </row>
    <row r="58" spans="1:4" x14ac:dyDescent="0.2">
      <c r="A58" s="3">
        <v>112.4</v>
      </c>
      <c r="B58" s="3">
        <v>0</v>
      </c>
      <c r="C58" s="3">
        <v>92.05</v>
      </c>
      <c r="D58" s="3">
        <v>1</v>
      </c>
    </row>
    <row r="59" spans="1:4" x14ac:dyDescent="0.2">
      <c r="A59" s="3">
        <v>43.61</v>
      </c>
      <c r="B59" s="3">
        <v>0</v>
      </c>
      <c r="C59" s="3">
        <v>26.23</v>
      </c>
      <c r="D59" s="3">
        <v>1</v>
      </c>
    </row>
    <row r="60" spans="1:4" x14ac:dyDescent="0.2">
      <c r="A60" s="3">
        <v>73.13</v>
      </c>
      <c r="B60" s="3">
        <v>0</v>
      </c>
      <c r="C60" s="3">
        <v>34.770000000000003</v>
      </c>
      <c r="D60" s="3">
        <v>1</v>
      </c>
    </row>
    <row r="61" spans="1:4" x14ac:dyDescent="0.2">
      <c r="A61" s="3">
        <v>33.31</v>
      </c>
      <c r="B61" s="3">
        <v>0</v>
      </c>
      <c r="C61" s="3">
        <v>94.96</v>
      </c>
      <c r="D61" s="3">
        <v>1</v>
      </c>
    </row>
    <row r="62" spans="1:4" x14ac:dyDescent="0.2">
      <c r="A62" s="3">
        <v>88.72</v>
      </c>
      <c r="B62" s="3">
        <v>0</v>
      </c>
      <c r="C62" s="3">
        <v>38.229999999999997</v>
      </c>
      <c r="D62" s="3">
        <v>1</v>
      </c>
    </row>
    <row r="63" spans="1:4" x14ac:dyDescent="0.2">
      <c r="A63" s="3">
        <v>104.44</v>
      </c>
      <c r="B63" s="3">
        <v>0</v>
      </c>
      <c r="C63" s="3">
        <v>76.400000000000006</v>
      </c>
      <c r="D63" s="3">
        <v>1</v>
      </c>
    </row>
    <row r="64" spans="1:4" x14ac:dyDescent="0.2">
      <c r="A64" s="3">
        <v>23.05</v>
      </c>
      <c r="B64" s="3">
        <v>0</v>
      </c>
      <c r="C64" s="3">
        <v>104.07</v>
      </c>
      <c r="D64" s="3">
        <v>1</v>
      </c>
    </row>
    <row r="65" spans="1:4" x14ac:dyDescent="0.2">
      <c r="A65" s="3">
        <v>106.72</v>
      </c>
      <c r="B65" s="3">
        <v>0</v>
      </c>
      <c r="C65" s="3">
        <v>28.92</v>
      </c>
      <c r="D65" s="3">
        <v>1</v>
      </c>
    </row>
    <row r="66" spans="1:4" x14ac:dyDescent="0.2">
      <c r="A66" s="3">
        <v>55.41</v>
      </c>
      <c r="B66" s="3">
        <v>0</v>
      </c>
      <c r="C66" s="3">
        <v>73.53</v>
      </c>
      <c r="D66" s="3">
        <v>1</v>
      </c>
    </row>
    <row r="67" spans="1:4" x14ac:dyDescent="0.2">
      <c r="A67" s="3">
        <v>59.72</v>
      </c>
      <c r="B67" s="3">
        <v>0</v>
      </c>
      <c r="C67" s="3">
        <v>43.32</v>
      </c>
      <c r="D67" s="3">
        <v>1</v>
      </c>
    </row>
    <row r="68" spans="1:4" x14ac:dyDescent="0.2">
      <c r="A68" s="3">
        <v>30.49</v>
      </c>
      <c r="B68" s="3">
        <v>0</v>
      </c>
      <c r="C68" s="3">
        <v>67.400000000000006</v>
      </c>
      <c r="D68" s="3">
        <v>1</v>
      </c>
    </row>
    <row r="69" spans="1:4" x14ac:dyDescent="0.2">
      <c r="A69" s="3">
        <v>93.74</v>
      </c>
      <c r="B69" s="3">
        <v>0</v>
      </c>
      <c r="C69" s="3">
        <v>55.51</v>
      </c>
      <c r="D69" s="3">
        <v>1</v>
      </c>
    </row>
    <row r="70" spans="1:4" x14ac:dyDescent="0.2">
      <c r="A70" s="3">
        <v>54.29</v>
      </c>
      <c r="B70" s="3">
        <v>0</v>
      </c>
      <c r="C70" s="3">
        <v>78.42</v>
      </c>
      <c r="D70" s="3">
        <v>1</v>
      </c>
    </row>
    <row r="71" spans="1:4" x14ac:dyDescent="0.2">
      <c r="A71" s="3">
        <v>84.88</v>
      </c>
      <c r="B71" s="3">
        <v>0</v>
      </c>
      <c r="C71" s="3">
        <v>78.650000000000006</v>
      </c>
      <c r="D71" s="3">
        <v>1</v>
      </c>
    </row>
    <row r="72" spans="1:4" x14ac:dyDescent="0.2">
      <c r="A72" s="3">
        <v>67.959999999999994</v>
      </c>
      <c r="B72" s="3">
        <v>0</v>
      </c>
      <c r="C72" s="3">
        <v>44.44</v>
      </c>
      <c r="D72" s="3">
        <v>1</v>
      </c>
    </row>
    <row r="73" spans="1:4" x14ac:dyDescent="0.2">
      <c r="A73" s="3">
        <v>93.68</v>
      </c>
      <c r="B73" s="3">
        <v>0</v>
      </c>
      <c r="C73" s="3">
        <v>69.819999999999993</v>
      </c>
      <c r="D73" s="3">
        <v>1</v>
      </c>
    </row>
    <row r="74" spans="1:4" x14ac:dyDescent="0.2">
      <c r="A74" s="3">
        <v>75.77</v>
      </c>
      <c r="B74" s="3">
        <v>0</v>
      </c>
      <c r="C74" s="3">
        <v>53.03</v>
      </c>
      <c r="D74" s="3">
        <v>1</v>
      </c>
    </row>
    <row r="75" spans="1:4" x14ac:dyDescent="0.2">
      <c r="A75" s="3">
        <v>76.45</v>
      </c>
      <c r="B75" s="3">
        <v>0</v>
      </c>
      <c r="C75" s="3">
        <v>42.53</v>
      </c>
      <c r="D75" s="3">
        <v>1</v>
      </c>
    </row>
    <row r="76" spans="1:4" x14ac:dyDescent="0.2">
      <c r="A76" s="3">
        <v>57.88</v>
      </c>
      <c r="B76" s="3">
        <v>0</v>
      </c>
      <c r="C76" s="3">
        <v>105.08</v>
      </c>
      <c r="D76" s="3">
        <v>1</v>
      </c>
    </row>
    <row r="77" spans="1:4" x14ac:dyDescent="0.2">
      <c r="A77" s="3">
        <v>53.74</v>
      </c>
      <c r="B77" s="3">
        <v>0</v>
      </c>
      <c r="C77" s="3">
        <v>25.57</v>
      </c>
      <c r="D77" s="3">
        <v>1</v>
      </c>
    </row>
    <row r="78" spans="1:4" x14ac:dyDescent="0.2">
      <c r="A78" s="3">
        <v>109.96</v>
      </c>
      <c r="B78" s="3">
        <v>0</v>
      </c>
      <c r="C78" s="3">
        <v>21.82</v>
      </c>
      <c r="D78" s="3">
        <v>1</v>
      </c>
    </row>
    <row r="79" spans="1:4" x14ac:dyDescent="0.2">
      <c r="A79" s="3">
        <v>80.760000000000005</v>
      </c>
      <c r="B79" s="3">
        <v>0</v>
      </c>
      <c r="C79" s="3">
        <v>119.73</v>
      </c>
      <c r="D79" s="3">
        <v>1</v>
      </c>
    </row>
    <row r="80" spans="1:4" x14ac:dyDescent="0.2">
      <c r="A80" s="3">
        <v>113.37</v>
      </c>
      <c r="B80" s="3">
        <v>0</v>
      </c>
      <c r="C80" s="3">
        <v>109.66</v>
      </c>
      <c r="D80" s="3">
        <v>1</v>
      </c>
    </row>
    <row r="81" spans="1:4" x14ac:dyDescent="0.2">
      <c r="A81" s="3">
        <v>20.75</v>
      </c>
      <c r="B81" s="3">
        <v>0</v>
      </c>
      <c r="C81" s="3">
        <v>77.599999999999994</v>
      </c>
      <c r="D81" s="3">
        <v>1</v>
      </c>
    </row>
    <row r="82" spans="1:4" x14ac:dyDescent="0.2">
      <c r="A82" s="3">
        <v>56.54</v>
      </c>
      <c r="B82" s="3">
        <v>0</v>
      </c>
      <c r="C82" s="3">
        <v>111.74</v>
      </c>
      <c r="D82" s="3">
        <v>1</v>
      </c>
    </row>
    <row r="83" spans="1:4" x14ac:dyDescent="0.2">
      <c r="A83" s="3">
        <v>68.78</v>
      </c>
      <c r="B83" s="3">
        <v>0</v>
      </c>
      <c r="C83" s="3">
        <v>20.53</v>
      </c>
      <c r="D83" s="3">
        <v>1</v>
      </c>
    </row>
    <row r="84" spans="1:4" x14ac:dyDescent="0.2">
      <c r="A84" s="3">
        <v>28.79</v>
      </c>
      <c r="B84" s="3">
        <v>0</v>
      </c>
      <c r="C84" s="3">
        <v>117.51</v>
      </c>
      <c r="D84" s="3">
        <v>1</v>
      </c>
    </row>
    <row r="85" spans="1:4" x14ac:dyDescent="0.2">
      <c r="A85" s="3">
        <v>100.59</v>
      </c>
      <c r="B85" s="3">
        <v>0</v>
      </c>
      <c r="C85" s="3">
        <v>103.86</v>
      </c>
      <c r="D85" s="3">
        <v>1</v>
      </c>
    </row>
    <row r="86" spans="1:4" x14ac:dyDescent="0.2">
      <c r="A86" s="3">
        <v>104.23</v>
      </c>
      <c r="B86" s="3">
        <v>0</v>
      </c>
      <c r="C86" s="3">
        <v>72.98</v>
      </c>
      <c r="D86" s="3">
        <v>1</v>
      </c>
    </row>
    <row r="87" spans="1:4" x14ac:dyDescent="0.2">
      <c r="A87" s="3">
        <v>25.16</v>
      </c>
      <c r="B87" s="3">
        <v>0</v>
      </c>
      <c r="C87" s="3">
        <v>90.72</v>
      </c>
      <c r="D87" s="3">
        <v>1</v>
      </c>
    </row>
    <row r="88" spans="1:4" x14ac:dyDescent="0.2">
      <c r="A88" s="3">
        <v>89.7</v>
      </c>
      <c r="B88" s="3">
        <v>0</v>
      </c>
      <c r="C88" s="3">
        <v>96.78</v>
      </c>
      <c r="D88" s="3">
        <v>1</v>
      </c>
    </row>
    <row r="89" spans="1:4" x14ac:dyDescent="0.2">
      <c r="A89" s="3">
        <v>69.069999999999993</v>
      </c>
      <c r="B89" s="3">
        <v>0</v>
      </c>
      <c r="C89" s="3">
        <v>28.73</v>
      </c>
      <c r="D89" s="3">
        <v>1</v>
      </c>
    </row>
    <row r="90" spans="1:4" x14ac:dyDescent="0.2">
      <c r="A90" s="3">
        <v>92.29</v>
      </c>
      <c r="B90" s="3">
        <v>0</v>
      </c>
      <c r="C90" s="3">
        <v>52.06</v>
      </c>
      <c r="D90" s="3">
        <v>1</v>
      </c>
    </row>
    <row r="91" spans="1:4" x14ac:dyDescent="0.2">
      <c r="A91" s="3">
        <v>102.09</v>
      </c>
      <c r="B91" s="3">
        <v>0</v>
      </c>
      <c r="C91" s="3">
        <v>74.89</v>
      </c>
      <c r="D91" s="3">
        <v>1</v>
      </c>
    </row>
    <row r="92" spans="1:4" x14ac:dyDescent="0.2">
      <c r="A92" s="3">
        <v>91.85</v>
      </c>
      <c r="B92" s="3">
        <v>0</v>
      </c>
      <c r="C92" s="3">
        <v>28.79</v>
      </c>
      <c r="D92" s="3">
        <v>1</v>
      </c>
    </row>
    <row r="93" spans="1:4" x14ac:dyDescent="0.2">
      <c r="A93" s="3">
        <v>73.5</v>
      </c>
      <c r="B93" s="3">
        <v>0</v>
      </c>
      <c r="C93" s="3">
        <v>31.67</v>
      </c>
      <c r="D93" s="3">
        <v>1</v>
      </c>
    </row>
    <row r="94" spans="1:4" x14ac:dyDescent="0.2">
      <c r="A94" s="3">
        <v>67.66</v>
      </c>
      <c r="B94" s="3">
        <v>0</v>
      </c>
      <c r="C94" s="3">
        <v>99.43</v>
      </c>
      <c r="D94" s="3">
        <v>1</v>
      </c>
    </row>
    <row r="95" spans="1:4" x14ac:dyDescent="0.2">
      <c r="A95" s="3">
        <v>40.51</v>
      </c>
      <c r="B95" s="3">
        <v>0</v>
      </c>
      <c r="C95" s="3">
        <v>60.85</v>
      </c>
      <c r="D95" s="3">
        <v>1</v>
      </c>
    </row>
    <row r="96" spans="1:4" x14ac:dyDescent="0.2">
      <c r="A96" s="3">
        <v>116.8</v>
      </c>
      <c r="B96" s="3">
        <v>0</v>
      </c>
      <c r="C96" s="3">
        <v>113.29</v>
      </c>
      <c r="D96" s="3">
        <v>1</v>
      </c>
    </row>
    <row r="97" spans="1:4" x14ac:dyDescent="0.2">
      <c r="A97" s="3">
        <v>91.1</v>
      </c>
      <c r="B97" s="3">
        <v>0</v>
      </c>
      <c r="C97" s="3">
        <v>119.09</v>
      </c>
      <c r="D97" s="3">
        <v>1</v>
      </c>
    </row>
    <row r="98" spans="1:4" x14ac:dyDescent="0.2">
      <c r="A98" s="3">
        <v>39.950000000000003</v>
      </c>
      <c r="B98" s="3">
        <v>0</v>
      </c>
      <c r="C98" s="3">
        <v>57.92</v>
      </c>
      <c r="D98" s="3">
        <v>1</v>
      </c>
    </row>
    <row r="99" spans="1:4" x14ac:dyDescent="0.2">
      <c r="A99" s="3">
        <v>93.62</v>
      </c>
      <c r="B99" s="3">
        <v>0</v>
      </c>
      <c r="C99" s="3">
        <v>112.64</v>
      </c>
      <c r="D99" s="3">
        <v>1</v>
      </c>
    </row>
    <row r="100" spans="1:4" x14ac:dyDescent="0.2">
      <c r="A100" s="3">
        <v>70.61</v>
      </c>
      <c r="B100" s="3">
        <v>0</v>
      </c>
      <c r="C100" s="3">
        <v>92.16</v>
      </c>
      <c r="D100" s="3">
        <v>1</v>
      </c>
    </row>
    <row r="101" spans="1:4" x14ac:dyDescent="0.2">
      <c r="A101" s="3">
        <v>113.2</v>
      </c>
      <c r="B101" s="3">
        <v>0</v>
      </c>
      <c r="C101" s="3">
        <v>24.81</v>
      </c>
      <c r="D101" s="3">
        <v>1</v>
      </c>
    </row>
    <row r="102" spans="1:4" x14ac:dyDescent="0.2">
      <c r="A102" s="3">
        <v>79.39</v>
      </c>
      <c r="B102" s="3">
        <v>0</v>
      </c>
      <c r="C102" s="3">
        <v>95.05</v>
      </c>
      <c r="D102" s="3">
        <v>1</v>
      </c>
    </row>
    <row r="103" spans="1:4" x14ac:dyDescent="0.2">
      <c r="A103" s="3">
        <v>56.92</v>
      </c>
      <c r="B103" s="3">
        <v>0</v>
      </c>
      <c r="C103" s="3">
        <v>102.51</v>
      </c>
      <c r="D103" s="3">
        <v>1</v>
      </c>
    </row>
    <row r="104" spans="1:4" x14ac:dyDescent="0.2">
      <c r="A104" s="3">
        <v>65.430000000000007</v>
      </c>
      <c r="B104" s="3">
        <v>0</v>
      </c>
      <c r="C104" s="3">
        <v>83.38</v>
      </c>
      <c r="D104" s="3">
        <v>1</v>
      </c>
    </row>
    <row r="105" spans="1:4" x14ac:dyDescent="0.2">
      <c r="A105" s="3">
        <v>74.86</v>
      </c>
      <c r="B105" s="3">
        <v>0</v>
      </c>
      <c r="C105" s="3">
        <v>110.79</v>
      </c>
      <c r="D105" s="3">
        <v>1</v>
      </c>
    </row>
    <row r="106" spans="1:4" x14ac:dyDescent="0.2">
      <c r="A106" s="3">
        <v>40.17</v>
      </c>
      <c r="B106" s="3">
        <v>0</v>
      </c>
      <c r="C106" s="3">
        <v>51.62</v>
      </c>
      <c r="D106" s="3">
        <v>1</v>
      </c>
    </row>
    <row r="107" spans="1:4" x14ac:dyDescent="0.2">
      <c r="A107" s="3">
        <v>88.46</v>
      </c>
      <c r="B107" s="3">
        <v>0</v>
      </c>
      <c r="C107" s="3">
        <v>65.19</v>
      </c>
      <c r="D107" s="3">
        <v>1</v>
      </c>
    </row>
    <row r="108" spans="1:4" x14ac:dyDescent="0.2">
      <c r="A108" s="3">
        <v>33.880000000000003</v>
      </c>
      <c r="B108" s="3">
        <v>0</v>
      </c>
      <c r="C108" s="3">
        <v>109.97</v>
      </c>
      <c r="D108" s="3">
        <v>1</v>
      </c>
    </row>
    <row r="109" spans="1:4" x14ac:dyDescent="0.2">
      <c r="A109" s="3">
        <v>20.27</v>
      </c>
      <c r="B109" s="3">
        <v>0</v>
      </c>
      <c r="C109" s="3">
        <v>82.41</v>
      </c>
      <c r="D109" s="3">
        <v>1</v>
      </c>
    </row>
    <row r="110" spans="1:4" x14ac:dyDescent="0.2">
      <c r="A110" s="3">
        <v>67.319999999999993</v>
      </c>
      <c r="B110" s="3">
        <v>0</v>
      </c>
      <c r="C110" s="3">
        <v>55.54</v>
      </c>
      <c r="D110" s="3">
        <v>1</v>
      </c>
    </row>
    <row r="111" spans="1:4" x14ac:dyDescent="0.2">
      <c r="A111" s="3">
        <v>80.61</v>
      </c>
      <c r="B111" s="3">
        <v>0</v>
      </c>
      <c r="C111" s="3">
        <v>59.15</v>
      </c>
      <c r="D111" s="3">
        <v>1</v>
      </c>
    </row>
    <row r="112" spans="1:4" x14ac:dyDescent="0.2">
      <c r="A112" s="3">
        <v>30.67</v>
      </c>
      <c r="B112" s="3">
        <v>0</v>
      </c>
      <c r="C112" s="3">
        <v>74.28</v>
      </c>
      <c r="D112" s="3">
        <v>1</v>
      </c>
    </row>
    <row r="113" spans="1:4" x14ac:dyDescent="0.2">
      <c r="A113" s="3">
        <v>105.07</v>
      </c>
      <c r="B113" s="3">
        <v>0</v>
      </c>
      <c r="C113" s="3">
        <v>53.28</v>
      </c>
      <c r="D113" s="3">
        <v>1</v>
      </c>
    </row>
    <row r="114" spans="1:4" x14ac:dyDescent="0.2">
      <c r="A114" s="3">
        <v>94.6</v>
      </c>
      <c r="B114" s="3">
        <v>0</v>
      </c>
      <c r="C114" s="3">
        <v>93.05</v>
      </c>
      <c r="D114" s="3">
        <v>1</v>
      </c>
    </row>
    <row r="115" spans="1:4" x14ac:dyDescent="0.2">
      <c r="A115" s="3">
        <v>40.5</v>
      </c>
      <c r="B115" s="3">
        <v>0</v>
      </c>
      <c r="C115" s="3">
        <v>36.67</v>
      </c>
      <c r="D115" s="3">
        <v>1</v>
      </c>
    </row>
    <row r="116" spans="1:4" x14ac:dyDescent="0.2">
      <c r="A116" s="3">
        <v>98.15</v>
      </c>
      <c r="B116" s="3">
        <v>0</v>
      </c>
      <c r="C116" s="3">
        <v>69.540000000000006</v>
      </c>
      <c r="D116" s="3">
        <v>1</v>
      </c>
    </row>
    <row r="117" spans="1:4" x14ac:dyDescent="0.2">
      <c r="A117" s="3">
        <v>102.79</v>
      </c>
      <c r="B117" s="3">
        <v>0</v>
      </c>
      <c r="C117" s="3">
        <v>94.15</v>
      </c>
      <c r="D117" s="3">
        <v>1</v>
      </c>
    </row>
    <row r="118" spans="1:4" x14ac:dyDescent="0.2">
      <c r="A118" s="3">
        <v>99.95</v>
      </c>
      <c r="B118" s="3">
        <v>0</v>
      </c>
      <c r="C118" s="3">
        <v>77.319999999999993</v>
      </c>
      <c r="D118" s="3">
        <v>1</v>
      </c>
    </row>
    <row r="119" spans="1:4" x14ac:dyDescent="0.2">
      <c r="A119" s="3">
        <v>38.64</v>
      </c>
      <c r="B119" s="3">
        <v>0</v>
      </c>
      <c r="C119" s="3">
        <v>119.77</v>
      </c>
      <c r="D119" s="3">
        <v>1</v>
      </c>
    </row>
    <row r="120" spans="1:4" x14ac:dyDescent="0.2">
      <c r="A120" s="3">
        <v>43.57</v>
      </c>
      <c r="B120" s="3">
        <v>0</v>
      </c>
      <c r="C120" s="3"/>
      <c r="D120" s="3"/>
    </row>
    <row r="121" spans="1:4" x14ac:dyDescent="0.2">
      <c r="A121" s="3">
        <v>78.83</v>
      </c>
      <c r="B121" s="3">
        <v>0</v>
      </c>
      <c r="C121" s="3"/>
      <c r="D121" s="3"/>
    </row>
    <row r="122" spans="1:4" x14ac:dyDescent="0.2">
      <c r="A122" s="3">
        <v>88.3</v>
      </c>
      <c r="B122" s="3">
        <v>0</v>
      </c>
      <c r="C122" s="3"/>
      <c r="D122" s="3"/>
    </row>
    <row r="123" spans="1:4" x14ac:dyDescent="0.2">
      <c r="A123" s="3">
        <v>91.38</v>
      </c>
      <c r="B123" s="3">
        <v>0</v>
      </c>
      <c r="C123" s="3"/>
      <c r="D123" s="3"/>
    </row>
    <row r="124" spans="1:4" x14ac:dyDescent="0.2">
      <c r="A124" s="3">
        <v>73.98</v>
      </c>
      <c r="B124" s="3">
        <v>0</v>
      </c>
      <c r="C124" s="3"/>
      <c r="D124" s="3"/>
    </row>
    <row r="125" spans="1:4" x14ac:dyDescent="0.2">
      <c r="A125" s="3">
        <v>63.87</v>
      </c>
      <c r="B125" s="3">
        <v>0</v>
      </c>
      <c r="C125" s="3"/>
      <c r="D125" s="3"/>
    </row>
    <row r="126" spans="1:4" x14ac:dyDescent="0.2">
      <c r="A126" s="3">
        <v>77.75</v>
      </c>
      <c r="B126" s="3">
        <v>0</v>
      </c>
      <c r="C126" s="3"/>
      <c r="D126" s="3"/>
    </row>
    <row r="127" spans="1:4" x14ac:dyDescent="0.2">
      <c r="A127" s="3">
        <v>73.19</v>
      </c>
      <c r="B127" s="3">
        <v>0</v>
      </c>
      <c r="C127" s="3"/>
      <c r="D127" s="3"/>
    </row>
    <row r="128" spans="1:4" x14ac:dyDescent="0.2">
      <c r="A128" s="3">
        <v>26.66</v>
      </c>
      <c r="B128" s="3">
        <v>0</v>
      </c>
      <c r="C128" s="3"/>
      <c r="D128" s="3"/>
    </row>
    <row r="129" spans="1:4" x14ac:dyDescent="0.2">
      <c r="A129" s="3">
        <v>42.9</v>
      </c>
      <c r="B129" s="3">
        <v>0</v>
      </c>
      <c r="C129" s="3"/>
      <c r="D129" s="3"/>
    </row>
    <row r="130" spans="1:4" x14ac:dyDescent="0.2">
      <c r="A130" s="3">
        <v>63.15</v>
      </c>
      <c r="B130" s="3">
        <v>0</v>
      </c>
      <c r="C130" s="3"/>
      <c r="D130" s="3"/>
    </row>
    <row r="131" spans="1:4" x14ac:dyDescent="0.2">
      <c r="A131" s="3">
        <v>89.37</v>
      </c>
      <c r="B131" s="3">
        <v>0</v>
      </c>
      <c r="C131" s="3"/>
      <c r="D131" s="3"/>
    </row>
    <row r="132" spans="1:4" x14ac:dyDescent="0.2">
      <c r="A132" s="3">
        <v>107.86</v>
      </c>
      <c r="B132" s="3">
        <v>0</v>
      </c>
      <c r="C132" s="3"/>
      <c r="D132" s="3"/>
    </row>
    <row r="133" spans="1:4" x14ac:dyDescent="0.2">
      <c r="A133" s="3">
        <v>95.24</v>
      </c>
      <c r="B133" s="3">
        <v>0</v>
      </c>
      <c r="C133" s="3"/>
      <c r="D133" s="3"/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A97C-B98D-8C44-A620-6F2CE0A8B264}">
  <dimension ref="A1:D133"/>
  <sheetViews>
    <sheetView workbookViewId="0">
      <selection sqref="A1:B133"/>
    </sheetView>
  </sheetViews>
  <sheetFormatPr baseColWidth="10" defaultRowHeight="15" x14ac:dyDescent="0.2"/>
  <sheetData>
    <row r="1" spans="1:4" x14ac:dyDescent="0.2">
      <c r="A1" s="3" t="s">
        <v>206</v>
      </c>
      <c r="B1" s="3" t="s">
        <v>13</v>
      </c>
      <c r="C1" s="3" t="s">
        <v>207</v>
      </c>
      <c r="D1" s="3" t="s">
        <v>13</v>
      </c>
    </row>
    <row r="2" spans="1:4" x14ac:dyDescent="0.2">
      <c r="A2" s="3">
        <v>41.6</v>
      </c>
      <c r="B2" s="3">
        <v>0</v>
      </c>
      <c r="C2" s="3">
        <v>52.7</v>
      </c>
      <c r="D2" s="3">
        <v>1</v>
      </c>
    </row>
    <row r="3" spans="1:4" x14ac:dyDescent="0.2">
      <c r="A3" s="3">
        <v>68</v>
      </c>
      <c r="B3" s="3">
        <v>0</v>
      </c>
      <c r="C3" s="3">
        <v>16.8</v>
      </c>
      <c r="D3" s="3">
        <v>1</v>
      </c>
    </row>
    <row r="4" spans="1:4" x14ac:dyDescent="0.2">
      <c r="A4" s="3">
        <v>21.9</v>
      </c>
      <c r="B4" s="3">
        <v>0</v>
      </c>
      <c r="C4" s="3">
        <v>66.099999999999994</v>
      </c>
      <c r="D4" s="3">
        <v>1</v>
      </c>
    </row>
    <row r="5" spans="1:4" x14ac:dyDescent="0.2">
      <c r="A5" s="3">
        <v>7.8</v>
      </c>
      <c r="B5" s="3">
        <v>0</v>
      </c>
      <c r="C5" s="3">
        <v>79.099999999999994</v>
      </c>
      <c r="D5" s="3">
        <v>1</v>
      </c>
    </row>
    <row r="6" spans="1:4" x14ac:dyDescent="0.2">
      <c r="A6" s="3">
        <v>20.9</v>
      </c>
      <c r="B6" s="3">
        <v>0</v>
      </c>
      <c r="C6" s="3">
        <v>25.6</v>
      </c>
      <c r="D6" s="3">
        <v>1</v>
      </c>
    </row>
    <row r="7" spans="1:4" x14ac:dyDescent="0.2">
      <c r="A7" s="3">
        <v>22.2</v>
      </c>
      <c r="B7" s="3">
        <v>0</v>
      </c>
      <c r="C7" s="3">
        <v>18.100000000000001</v>
      </c>
      <c r="D7" s="3">
        <v>1</v>
      </c>
    </row>
    <row r="8" spans="1:4" x14ac:dyDescent="0.2">
      <c r="A8" s="3">
        <v>43.2</v>
      </c>
      <c r="B8" s="3">
        <v>0</v>
      </c>
      <c r="C8" s="3">
        <v>5.2</v>
      </c>
      <c r="D8" s="3">
        <v>1</v>
      </c>
    </row>
    <row r="9" spans="1:4" x14ac:dyDescent="0.2">
      <c r="A9" s="3">
        <v>53.5</v>
      </c>
      <c r="B9" s="3">
        <v>0</v>
      </c>
      <c r="C9" s="3">
        <v>41.8</v>
      </c>
      <c r="D9" s="3">
        <v>1</v>
      </c>
    </row>
    <row r="10" spans="1:4" x14ac:dyDescent="0.2">
      <c r="A10" s="3">
        <v>73.7</v>
      </c>
      <c r="B10" s="3">
        <v>0</v>
      </c>
      <c r="C10" s="3">
        <v>88.1</v>
      </c>
      <c r="D10" s="3">
        <v>1</v>
      </c>
    </row>
    <row r="11" spans="1:4" x14ac:dyDescent="0.2">
      <c r="A11" s="3">
        <v>71.8</v>
      </c>
      <c r="B11" s="3">
        <v>0</v>
      </c>
      <c r="C11" s="3">
        <v>14.9</v>
      </c>
      <c r="D11" s="3">
        <v>1</v>
      </c>
    </row>
    <row r="12" spans="1:4" x14ac:dyDescent="0.2">
      <c r="A12" s="3">
        <v>61.9</v>
      </c>
      <c r="B12" s="3">
        <v>0</v>
      </c>
      <c r="C12" s="3">
        <v>26.4</v>
      </c>
      <c r="D12" s="3">
        <v>1</v>
      </c>
    </row>
    <row r="13" spans="1:4" x14ac:dyDescent="0.2">
      <c r="A13" s="3">
        <v>62.2</v>
      </c>
      <c r="B13" s="3">
        <v>0</v>
      </c>
      <c r="C13" s="3">
        <v>10</v>
      </c>
      <c r="D13" s="3">
        <v>1</v>
      </c>
    </row>
    <row r="14" spans="1:4" x14ac:dyDescent="0.2">
      <c r="A14" s="3">
        <v>7.2</v>
      </c>
      <c r="B14" s="3">
        <v>0</v>
      </c>
      <c r="C14" s="3">
        <v>51.2</v>
      </c>
      <c r="D14" s="3">
        <v>1</v>
      </c>
    </row>
    <row r="15" spans="1:4" x14ac:dyDescent="0.2">
      <c r="A15" s="3">
        <v>35.6</v>
      </c>
      <c r="B15" s="3">
        <v>0</v>
      </c>
      <c r="C15" s="3">
        <v>71.099999999999994</v>
      </c>
      <c r="D15" s="3">
        <v>1</v>
      </c>
    </row>
    <row r="16" spans="1:4" x14ac:dyDescent="0.2">
      <c r="A16" s="3">
        <v>65.5</v>
      </c>
      <c r="B16" s="3">
        <v>0</v>
      </c>
      <c r="C16" s="3">
        <v>75.900000000000006</v>
      </c>
      <c r="D16" s="3">
        <v>1</v>
      </c>
    </row>
    <row r="17" spans="1:4" x14ac:dyDescent="0.2">
      <c r="A17" s="3">
        <v>19.2</v>
      </c>
      <c r="B17" s="3">
        <v>0</v>
      </c>
      <c r="C17" s="3">
        <v>83.4</v>
      </c>
      <c r="D17" s="3">
        <v>1</v>
      </c>
    </row>
    <row r="18" spans="1:4" x14ac:dyDescent="0.2">
      <c r="A18" s="3">
        <v>98.3</v>
      </c>
      <c r="B18" s="3">
        <v>0</v>
      </c>
      <c r="C18" s="3">
        <v>54.4</v>
      </c>
      <c r="D18" s="3">
        <v>1</v>
      </c>
    </row>
    <row r="19" spans="1:4" x14ac:dyDescent="0.2">
      <c r="A19" s="3">
        <v>24.9</v>
      </c>
      <c r="B19" s="3">
        <v>0</v>
      </c>
      <c r="C19" s="3">
        <v>27.4</v>
      </c>
      <c r="D19" s="3">
        <v>1</v>
      </c>
    </row>
    <row r="20" spans="1:4" x14ac:dyDescent="0.2">
      <c r="A20" s="3">
        <v>40.5</v>
      </c>
      <c r="B20" s="3">
        <v>0</v>
      </c>
      <c r="C20" s="3">
        <v>10.9</v>
      </c>
      <c r="D20" s="3">
        <v>1</v>
      </c>
    </row>
    <row r="21" spans="1:4" x14ac:dyDescent="0.2">
      <c r="A21" s="3">
        <v>16.600000000000001</v>
      </c>
      <c r="B21" s="3">
        <v>0</v>
      </c>
      <c r="C21" s="3">
        <v>81.099999999999994</v>
      </c>
      <c r="D21" s="3">
        <v>1</v>
      </c>
    </row>
    <row r="22" spans="1:4" x14ac:dyDescent="0.2">
      <c r="A22" s="3">
        <v>74.900000000000006</v>
      </c>
      <c r="B22" s="3">
        <v>0</v>
      </c>
      <c r="C22" s="3">
        <v>77.8</v>
      </c>
      <c r="D22" s="3">
        <v>1</v>
      </c>
    </row>
    <row r="23" spans="1:4" x14ac:dyDescent="0.2">
      <c r="A23" s="3">
        <v>40.299999999999997</v>
      </c>
      <c r="B23" s="3">
        <v>0</v>
      </c>
      <c r="C23" s="3">
        <v>33.4</v>
      </c>
      <c r="D23" s="3">
        <v>1</v>
      </c>
    </row>
    <row r="24" spans="1:4" x14ac:dyDescent="0.2">
      <c r="A24" s="3">
        <v>74.7</v>
      </c>
      <c r="B24" s="3">
        <v>0</v>
      </c>
      <c r="C24" s="3">
        <v>52.1</v>
      </c>
      <c r="D24" s="3">
        <v>1</v>
      </c>
    </row>
    <row r="25" spans="1:4" x14ac:dyDescent="0.2">
      <c r="A25" s="3">
        <v>21.5</v>
      </c>
      <c r="B25" s="3">
        <v>0</v>
      </c>
      <c r="C25" s="3">
        <v>70.2</v>
      </c>
      <c r="D25" s="3">
        <v>1</v>
      </c>
    </row>
    <row r="26" spans="1:4" x14ac:dyDescent="0.2">
      <c r="A26" s="3">
        <v>65.599999999999994</v>
      </c>
      <c r="B26" s="3">
        <v>0</v>
      </c>
      <c r="C26" s="3">
        <v>24.3</v>
      </c>
      <c r="D26" s="3">
        <v>1</v>
      </c>
    </row>
    <row r="27" spans="1:4" x14ac:dyDescent="0.2">
      <c r="A27" s="3">
        <v>21.9</v>
      </c>
      <c r="B27" s="3">
        <v>0</v>
      </c>
      <c r="C27" s="3">
        <v>58.7</v>
      </c>
      <c r="D27" s="3">
        <v>1</v>
      </c>
    </row>
    <row r="28" spans="1:4" x14ac:dyDescent="0.2">
      <c r="A28" s="3">
        <v>99.2</v>
      </c>
      <c r="B28" s="3">
        <v>0</v>
      </c>
      <c r="C28" s="3">
        <v>71.5</v>
      </c>
      <c r="D28" s="3">
        <v>1</v>
      </c>
    </row>
    <row r="29" spans="1:4" x14ac:dyDescent="0.2">
      <c r="A29" s="3">
        <v>76</v>
      </c>
      <c r="B29" s="3">
        <v>0</v>
      </c>
      <c r="C29" s="3">
        <v>60.7</v>
      </c>
      <c r="D29" s="3">
        <v>1</v>
      </c>
    </row>
    <row r="30" spans="1:4" x14ac:dyDescent="0.2">
      <c r="A30" s="3">
        <v>75.3</v>
      </c>
      <c r="B30" s="3">
        <v>0</v>
      </c>
      <c r="C30" s="3">
        <v>93.3</v>
      </c>
      <c r="D30" s="3">
        <v>1</v>
      </c>
    </row>
    <row r="31" spans="1:4" x14ac:dyDescent="0.2">
      <c r="A31" s="3">
        <v>95.3</v>
      </c>
      <c r="B31" s="3">
        <v>0</v>
      </c>
      <c r="C31" s="3">
        <v>10.3</v>
      </c>
      <c r="D31" s="3">
        <v>1</v>
      </c>
    </row>
    <row r="32" spans="1:4" x14ac:dyDescent="0.2">
      <c r="A32" s="3">
        <v>98.1</v>
      </c>
      <c r="B32" s="3">
        <v>0</v>
      </c>
      <c r="C32" s="3">
        <v>86</v>
      </c>
      <c r="D32" s="3">
        <v>1</v>
      </c>
    </row>
    <row r="33" spans="1:4" x14ac:dyDescent="0.2">
      <c r="A33" s="3">
        <v>20.7</v>
      </c>
      <c r="B33" s="3">
        <v>0</v>
      </c>
      <c r="C33" s="3">
        <v>26.4</v>
      </c>
      <c r="D33" s="3">
        <v>1</v>
      </c>
    </row>
    <row r="34" spans="1:4" x14ac:dyDescent="0.2">
      <c r="A34" s="3">
        <v>60.7</v>
      </c>
      <c r="B34" s="3">
        <v>0</v>
      </c>
      <c r="C34" s="3">
        <v>40.799999999999997</v>
      </c>
      <c r="D34" s="3">
        <v>1</v>
      </c>
    </row>
    <row r="35" spans="1:4" x14ac:dyDescent="0.2">
      <c r="A35" s="3">
        <v>71.3</v>
      </c>
      <c r="B35" s="3">
        <v>0</v>
      </c>
      <c r="C35" s="3">
        <v>50.7</v>
      </c>
      <c r="D35" s="3">
        <v>1</v>
      </c>
    </row>
    <row r="36" spans="1:4" x14ac:dyDescent="0.2">
      <c r="A36" s="3">
        <v>79.3</v>
      </c>
      <c r="B36" s="3">
        <v>0</v>
      </c>
      <c r="C36" s="3">
        <v>94</v>
      </c>
      <c r="D36" s="3">
        <v>1</v>
      </c>
    </row>
    <row r="37" spans="1:4" x14ac:dyDescent="0.2">
      <c r="A37" s="3">
        <v>48.9</v>
      </c>
      <c r="B37" s="3">
        <v>0</v>
      </c>
      <c r="C37" s="3">
        <v>72.099999999999994</v>
      </c>
      <c r="D37" s="3">
        <v>1</v>
      </c>
    </row>
    <row r="38" spans="1:4" x14ac:dyDescent="0.2">
      <c r="A38" s="3">
        <v>46.3</v>
      </c>
      <c r="B38" s="3">
        <v>0</v>
      </c>
      <c r="C38" s="3">
        <v>65</v>
      </c>
      <c r="D38" s="3">
        <v>1</v>
      </c>
    </row>
    <row r="39" spans="1:4" x14ac:dyDescent="0.2">
      <c r="A39" s="3">
        <v>91.4</v>
      </c>
      <c r="B39" s="3">
        <v>0</v>
      </c>
      <c r="C39" s="3">
        <v>9.6999999999999993</v>
      </c>
      <c r="D39" s="3">
        <v>1</v>
      </c>
    </row>
    <row r="40" spans="1:4" x14ac:dyDescent="0.2">
      <c r="A40" s="3">
        <v>79.099999999999994</v>
      </c>
      <c r="B40" s="3">
        <v>0</v>
      </c>
      <c r="C40" s="3">
        <v>90.9</v>
      </c>
      <c r="D40" s="3">
        <v>1</v>
      </c>
    </row>
    <row r="41" spans="1:4" x14ac:dyDescent="0.2">
      <c r="A41" s="3">
        <v>10.4</v>
      </c>
      <c r="B41" s="3">
        <v>0</v>
      </c>
      <c r="C41" s="3">
        <v>5.7</v>
      </c>
      <c r="D41" s="3">
        <v>1</v>
      </c>
    </row>
    <row r="42" spans="1:4" x14ac:dyDescent="0.2">
      <c r="A42" s="3">
        <v>42.9</v>
      </c>
      <c r="B42" s="3">
        <v>0</v>
      </c>
      <c r="C42" s="3">
        <v>26.4</v>
      </c>
      <c r="D42" s="3">
        <v>1</v>
      </c>
    </row>
    <row r="43" spans="1:4" x14ac:dyDescent="0.2">
      <c r="A43" s="3">
        <v>92.6</v>
      </c>
      <c r="B43" s="3">
        <v>0</v>
      </c>
      <c r="C43" s="3">
        <v>17.5</v>
      </c>
      <c r="D43" s="3">
        <v>1</v>
      </c>
    </row>
    <row r="44" spans="1:4" x14ac:dyDescent="0.2">
      <c r="A44" s="3">
        <v>49.8</v>
      </c>
      <c r="B44" s="3">
        <v>0</v>
      </c>
      <c r="C44" s="3">
        <v>31.9</v>
      </c>
      <c r="D44" s="3">
        <v>1</v>
      </c>
    </row>
    <row r="45" spans="1:4" x14ac:dyDescent="0.2">
      <c r="A45" s="3">
        <v>6.3</v>
      </c>
      <c r="B45" s="3">
        <v>0</v>
      </c>
      <c r="C45" s="3">
        <v>31.2</v>
      </c>
      <c r="D45" s="3">
        <v>1</v>
      </c>
    </row>
    <row r="46" spans="1:4" x14ac:dyDescent="0.2">
      <c r="A46" s="3">
        <v>9.1999999999999993</v>
      </c>
      <c r="B46" s="3">
        <v>0</v>
      </c>
      <c r="C46" s="3">
        <v>79.8</v>
      </c>
      <c r="D46" s="3">
        <v>1</v>
      </c>
    </row>
    <row r="47" spans="1:4" x14ac:dyDescent="0.2">
      <c r="A47" s="3">
        <v>8.4</v>
      </c>
      <c r="B47" s="3">
        <v>0</v>
      </c>
      <c r="C47" s="3">
        <v>97.6</v>
      </c>
      <c r="D47" s="3">
        <v>1</v>
      </c>
    </row>
    <row r="48" spans="1:4" x14ac:dyDescent="0.2">
      <c r="A48" s="3">
        <v>31.2</v>
      </c>
      <c r="B48" s="3">
        <v>0</v>
      </c>
      <c r="C48" s="3">
        <v>85.3</v>
      </c>
      <c r="D48" s="3">
        <v>1</v>
      </c>
    </row>
    <row r="49" spans="1:4" x14ac:dyDescent="0.2">
      <c r="A49" s="3">
        <v>40.299999999999997</v>
      </c>
      <c r="B49" s="3">
        <v>0</v>
      </c>
      <c r="C49" s="3">
        <v>30.5</v>
      </c>
      <c r="D49" s="3">
        <v>1</v>
      </c>
    </row>
    <row r="50" spans="1:4" x14ac:dyDescent="0.2">
      <c r="A50" s="3">
        <v>45.7</v>
      </c>
      <c r="B50" s="3">
        <v>0</v>
      </c>
      <c r="C50" s="3">
        <v>19.899999999999999</v>
      </c>
      <c r="D50" s="3">
        <v>1</v>
      </c>
    </row>
    <row r="51" spans="1:4" x14ac:dyDescent="0.2">
      <c r="A51" s="3">
        <v>9.4</v>
      </c>
      <c r="B51" s="3">
        <v>0</v>
      </c>
      <c r="C51" s="3">
        <v>86</v>
      </c>
      <c r="D51" s="3">
        <v>1</v>
      </c>
    </row>
    <row r="52" spans="1:4" x14ac:dyDescent="0.2">
      <c r="A52" s="3">
        <v>63.9</v>
      </c>
      <c r="B52" s="3">
        <v>0</v>
      </c>
      <c r="C52" s="3">
        <v>58.4</v>
      </c>
      <c r="D52" s="3">
        <v>1</v>
      </c>
    </row>
    <row r="53" spans="1:4" x14ac:dyDescent="0.2">
      <c r="A53" s="3">
        <v>13.2</v>
      </c>
      <c r="B53" s="3">
        <v>0</v>
      </c>
      <c r="C53" s="3">
        <v>37.9</v>
      </c>
      <c r="D53" s="3">
        <v>1</v>
      </c>
    </row>
    <row r="54" spans="1:4" x14ac:dyDescent="0.2">
      <c r="A54" s="3">
        <v>27.5</v>
      </c>
      <c r="B54" s="3">
        <v>0</v>
      </c>
      <c r="C54" s="3">
        <v>34.9</v>
      </c>
      <c r="D54" s="3">
        <v>1</v>
      </c>
    </row>
    <row r="55" spans="1:4" x14ac:dyDescent="0.2">
      <c r="A55" s="3">
        <v>74.599999999999994</v>
      </c>
      <c r="B55" s="3">
        <v>0</v>
      </c>
      <c r="C55" s="3">
        <v>78.3</v>
      </c>
      <c r="D55" s="3">
        <v>1</v>
      </c>
    </row>
    <row r="56" spans="1:4" x14ac:dyDescent="0.2">
      <c r="A56" s="3">
        <v>17.2</v>
      </c>
      <c r="B56" s="3">
        <v>0</v>
      </c>
      <c r="C56" s="3">
        <v>57.1</v>
      </c>
      <c r="D56" s="3">
        <v>1</v>
      </c>
    </row>
    <row r="57" spans="1:4" x14ac:dyDescent="0.2">
      <c r="A57" s="3">
        <v>88.8</v>
      </c>
      <c r="B57" s="3">
        <v>0</v>
      </c>
      <c r="C57" s="3">
        <v>79.8</v>
      </c>
      <c r="D57" s="3">
        <v>1</v>
      </c>
    </row>
    <row r="58" spans="1:4" x14ac:dyDescent="0.2">
      <c r="A58" s="3">
        <v>42.4</v>
      </c>
      <c r="B58" s="3">
        <v>0</v>
      </c>
      <c r="C58" s="3">
        <v>52</v>
      </c>
      <c r="D58" s="3">
        <v>1</v>
      </c>
    </row>
    <row r="59" spans="1:4" x14ac:dyDescent="0.2">
      <c r="A59" s="3">
        <v>83.6</v>
      </c>
      <c r="B59" s="3">
        <v>0</v>
      </c>
      <c r="C59" s="3">
        <v>98.1</v>
      </c>
      <c r="D59" s="3">
        <v>1</v>
      </c>
    </row>
    <row r="60" spans="1:4" x14ac:dyDescent="0.2">
      <c r="A60" s="3">
        <v>64.3</v>
      </c>
      <c r="B60" s="3">
        <v>0</v>
      </c>
      <c r="C60" s="3">
        <v>18.8</v>
      </c>
      <c r="D60" s="3">
        <v>1</v>
      </c>
    </row>
    <row r="61" spans="1:4" x14ac:dyDescent="0.2">
      <c r="A61" s="3">
        <v>73.900000000000006</v>
      </c>
      <c r="B61" s="3">
        <v>0</v>
      </c>
      <c r="C61" s="3">
        <v>34.299999999999997</v>
      </c>
      <c r="D61" s="3">
        <v>1</v>
      </c>
    </row>
    <row r="62" spans="1:4" x14ac:dyDescent="0.2">
      <c r="A62" s="3">
        <v>23.2</v>
      </c>
      <c r="B62" s="3">
        <v>0</v>
      </c>
      <c r="C62" s="3">
        <v>13.4</v>
      </c>
      <c r="D62" s="3">
        <v>1</v>
      </c>
    </row>
    <row r="63" spans="1:4" x14ac:dyDescent="0.2">
      <c r="A63" s="3">
        <v>37.1</v>
      </c>
      <c r="B63" s="3">
        <v>0</v>
      </c>
      <c r="C63" s="3">
        <v>70</v>
      </c>
      <c r="D63" s="3">
        <v>1</v>
      </c>
    </row>
    <row r="64" spans="1:4" x14ac:dyDescent="0.2">
      <c r="A64" s="3">
        <v>95</v>
      </c>
      <c r="B64" s="3">
        <v>0</v>
      </c>
      <c r="C64" s="3">
        <v>56.8</v>
      </c>
      <c r="D64" s="3">
        <v>1</v>
      </c>
    </row>
    <row r="65" spans="1:4" x14ac:dyDescent="0.2">
      <c r="A65" s="3">
        <v>96.9</v>
      </c>
      <c r="B65" s="3">
        <v>0</v>
      </c>
      <c r="C65" s="3">
        <v>98.1</v>
      </c>
      <c r="D65" s="3">
        <v>1</v>
      </c>
    </row>
    <row r="66" spans="1:4" x14ac:dyDescent="0.2">
      <c r="A66" s="3">
        <v>22.4</v>
      </c>
      <c r="B66" s="3">
        <v>0</v>
      </c>
      <c r="C66" s="3">
        <v>26.6</v>
      </c>
      <c r="D66" s="3">
        <v>1</v>
      </c>
    </row>
    <row r="67" spans="1:4" x14ac:dyDescent="0.2">
      <c r="A67" s="3">
        <v>7.1</v>
      </c>
      <c r="B67" s="3">
        <v>0</v>
      </c>
      <c r="C67" s="3">
        <v>43.4</v>
      </c>
      <c r="D67" s="3">
        <v>1</v>
      </c>
    </row>
    <row r="68" spans="1:4" x14ac:dyDescent="0.2">
      <c r="A68" s="3">
        <v>73.400000000000006</v>
      </c>
      <c r="B68" s="3">
        <v>0</v>
      </c>
      <c r="C68" s="3">
        <v>80.2</v>
      </c>
      <c r="D68" s="3">
        <v>1</v>
      </c>
    </row>
    <row r="69" spans="1:4" x14ac:dyDescent="0.2">
      <c r="A69" s="3">
        <v>44.7</v>
      </c>
      <c r="B69" s="3">
        <v>0</v>
      </c>
      <c r="C69" s="3">
        <v>57.1</v>
      </c>
      <c r="D69" s="3">
        <v>1</v>
      </c>
    </row>
    <row r="70" spans="1:4" x14ac:dyDescent="0.2">
      <c r="A70" s="3">
        <v>56.5</v>
      </c>
      <c r="B70" s="3">
        <v>0</v>
      </c>
      <c r="C70" s="3">
        <v>85.5</v>
      </c>
      <c r="D70" s="3">
        <v>1</v>
      </c>
    </row>
    <row r="71" spans="1:4" x14ac:dyDescent="0.2">
      <c r="A71" s="3">
        <v>63.2</v>
      </c>
      <c r="B71" s="3">
        <v>0</v>
      </c>
      <c r="C71" s="3">
        <v>68.099999999999994</v>
      </c>
      <c r="D71" s="3">
        <v>1</v>
      </c>
    </row>
    <row r="72" spans="1:4" x14ac:dyDescent="0.2">
      <c r="A72" s="3">
        <v>26.5</v>
      </c>
      <c r="B72" s="3">
        <v>0</v>
      </c>
      <c r="C72" s="3">
        <v>32.6</v>
      </c>
      <c r="D72" s="3">
        <v>1</v>
      </c>
    </row>
    <row r="73" spans="1:4" x14ac:dyDescent="0.2">
      <c r="A73" s="3">
        <v>45.7</v>
      </c>
      <c r="B73" s="3">
        <v>0</v>
      </c>
      <c r="C73" s="3">
        <v>79.8</v>
      </c>
      <c r="D73" s="3">
        <v>1</v>
      </c>
    </row>
    <row r="74" spans="1:4" x14ac:dyDescent="0.2">
      <c r="A74" s="3">
        <v>18.399999999999999</v>
      </c>
      <c r="B74" s="3">
        <v>0</v>
      </c>
      <c r="C74" s="3">
        <v>15.6</v>
      </c>
      <c r="D74" s="3">
        <v>1</v>
      </c>
    </row>
    <row r="75" spans="1:4" x14ac:dyDescent="0.2">
      <c r="A75" s="3">
        <v>25.5</v>
      </c>
      <c r="B75" s="3">
        <v>0</v>
      </c>
      <c r="C75" s="3">
        <v>80.400000000000006</v>
      </c>
      <c r="D75" s="3">
        <v>1</v>
      </c>
    </row>
    <row r="76" spans="1:4" x14ac:dyDescent="0.2">
      <c r="A76" s="3">
        <v>14.3</v>
      </c>
      <c r="B76" s="3">
        <v>0</v>
      </c>
      <c r="C76" s="3">
        <v>87.9</v>
      </c>
      <c r="D76" s="3">
        <v>1</v>
      </c>
    </row>
    <row r="77" spans="1:4" x14ac:dyDescent="0.2">
      <c r="A77" s="3">
        <v>86.9</v>
      </c>
      <c r="B77" s="3">
        <v>0</v>
      </c>
      <c r="C77" s="3">
        <v>76.599999999999994</v>
      </c>
      <c r="D77" s="3">
        <v>1</v>
      </c>
    </row>
    <row r="78" spans="1:4" x14ac:dyDescent="0.2">
      <c r="A78" s="3">
        <v>48.7</v>
      </c>
      <c r="B78" s="3">
        <v>0</v>
      </c>
      <c r="C78" s="3">
        <v>67.7</v>
      </c>
      <c r="D78" s="3">
        <v>1</v>
      </c>
    </row>
    <row r="79" spans="1:4" x14ac:dyDescent="0.2">
      <c r="A79" s="3">
        <v>76.2</v>
      </c>
      <c r="B79" s="3">
        <v>0</v>
      </c>
      <c r="C79" s="3">
        <v>29.3</v>
      </c>
      <c r="D79" s="3">
        <v>1</v>
      </c>
    </row>
    <row r="80" spans="1:4" x14ac:dyDescent="0.2">
      <c r="A80" s="3">
        <v>38.799999999999997</v>
      </c>
      <c r="B80" s="3">
        <v>0</v>
      </c>
      <c r="C80" s="3">
        <v>94.9</v>
      </c>
      <c r="D80" s="3">
        <v>1</v>
      </c>
    </row>
    <row r="81" spans="1:4" x14ac:dyDescent="0.2">
      <c r="A81" s="3">
        <v>97.9</v>
      </c>
      <c r="B81" s="3">
        <v>0</v>
      </c>
      <c r="C81" s="3">
        <v>58.2</v>
      </c>
      <c r="D81" s="3">
        <v>1</v>
      </c>
    </row>
    <row r="82" spans="1:4" x14ac:dyDescent="0.2">
      <c r="A82" s="3">
        <v>52.2</v>
      </c>
      <c r="B82" s="3">
        <v>0</v>
      </c>
      <c r="C82" s="3">
        <v>76.3</v>
      </c>
      <c r="D82" s="3">
        <v>1</v>
      </c>
    </row>
    <row r="83" spans="1:4" x14ac:dyDescent="0.2">
      <c r="A83" s="3">
        <v>37.299999999999997</v>
      </c>
      <c r="B83" s="3">
        <v>0</v>
      </c>
      <c r="C83" s="3">
        <v>58</v>
      </c>
      <c r="D83" s="3">
        <v>1</v>
      </c>
    </row>
    <row r="84" spans="1:4" x14ac:dyDescent="0.2">
      <c r="A84" s="3">
        <v>56.8</v>
      </c>
      <c r="B84" s="3">
        <v>0</v>
      </c>
      <c r="C84" s="3">
        <v>57.5</v>
      </c>
      <c r="D84" s="3">
        <v>1</v>
      </c>
    </row>
    <row r="85" spans="1:4" x14ac:dyDescent="0.2">
      <c r="A85" s="3">
        <v>77.099999999999994</v>
      </c>
      <c r="B85" s="3">
        <v>0</v>
      </c>
      <c r="C85" s="3">
        <v>47.9</v>
      </c>
      <c r="D85" s="3">
        <v>1</v>
      </c>
    </row>
    <row r="86" spans="1:4" x14ac:dyDescent="0.2">
      <c r="A86" s="3">
        <v>6.7</v>
      </c>
      <c r="B86" s="3">
        <v>0</v>
      </c>
      <c r="C86" s="3">
        <v>13.9</v>
      </c>
      <c r="D86" s="3">
        <v>1</v>
      </c>
    </row>
    <row r="87" spans="1:4" x14ac:dyDescent="0.2">
      <c r="A87" s="3">
        <v>17</v>
      </c>
      <c r="B87" s="3">
        <v>0</v>
      </c>
      <c r="C87" s="3">
        <v>38.9</v>
      </c>
      <c r="D87" s="3">
        <v>1</v>
      </c>
    </row>
    <row r="88" spans="1:4" x14ac:dyDescent="0.2">
      <c r="A88" s="3">
        <v>20.399999999999999</v>
      </c>
      <c r="B88" s="3">
        <v>0</v>
      </c>
      <c r="C88" s="3">
        <v>77</v>
      </c>
      <c r="D88" s="3">
        <v>1</v>
      </c>
    </row>
    <row r="89" spans="1:4" x14ac:dyDescent="0.2">
      <c r="A89" s="3">
        <v>13.9</v>
      </c>
      <c r="B89" s="3">
        <v>0</v>
      </c>
      <c r="C89" s="3">
        <v>31.3</v>
      </c>
      <c r="D89" s="3">
        <v>1</v>
      </c>
    </row>
    <row r="90" spans="1:4" x14ac:dyDescent="0.2">
      <c r="A90" s="3">
        <v>37.6</v>
      </c>
      <c r="B90" s="3">
        <v>0</v>
      </c>
      <c r="C90" s="3">
        <v>23.6</v>
      </c>
      <c r="D90" s="3">
        <v>1</v>
      </c>
    </row>
    <row r="91" spans="1:4" x14ac:dyDescent="0.2">
      <c r="A91" s="3">
        <v>31.8</v>
      </c>
      <c r="B91" s="3">
        <v>0</v>
      </c>
      <c r="C91" s="3">
        <v>20.8</v>
      </c>
      <c r="D91" s="3">
        <v>1</v>
      </c>
    </row>
    <row r="92" spans="1:4" x14ac:dyDescent="0.2">
      <c r="A92" s="3">
        <v>42.1</v>
      </c>
      <c r="B92" s="3">
        <v>0</v>
      </c>
      <c r="C92" s="3">
        <v>90.2</v>
      </c>
      <c r="D92" s="3">
        <v>1</v>
      </c>
    </row>
    <row r="93" spans="1:4" x14ac:dyDescent="0.2">
      <c r="A93" s="3">
        <v>80.8</v>
      </c>
      <c r="B93" s="3">
        <v>0</v>
      </c>
      <c r="C93" s="3">
        <v>61.8</v>
      </c>
      <c r="D93" s="3">
        <v>1</v>
      </c>
    </row>
    <row r="94" spans="1:4" x14ac:dyDescent="0.2">
      <c r="A94" s="3">
        <v>40.299999999999997</v>
      </c>
      <c r="B94" s="3">
        <v>0</v>
      </c>
      <c r="C94" s="3">
        <v>74.599999999999994</v>
      </c>
      <c r="D94" s="3">
        <v>1</v>
      </c>
    </row>
    <row r="95" spans="1:4" x14ac:dyDescent="0.2">
      <c r="A95" s="3">
        <v>42.8</v>
      </c>
      <c r="B95" s="3">
        <v>0</v>
      </c>
      <c r="C95" s="3">
        <v>96.9</v>
      </c>
      <c r="D95" s="3">
        <v>1</v>
      </c>
    </row>
    <row r="96" spans="1:4" x14ac:dyDescent="0.2">
      <c r="A96" s="3">
        <v>13.9</v>
      </c>
      <c r="B96" s="3">
        <v>0</v>
      </c>
      <c r="C96" s="3">
        <v>86.4</v>
      </c>
      <c r="D96" s="3">
        <v>1</v>
      </c>
    </row>
    <row r="97" spans="1:4" x14ac:dyDescent="0.2">
      <c r="A97" s="3">
        <v>46.9</v>
      </c>
      <c r="B97" s="3">
        <v>0</v>
      </c>
      <c r="C97" s="3">
        <v>16.2</v>
      </c>
      <c r="D97" s="3">
        <v>1</v>
      </c>
    </row>
    <row r="98" spans="1:4" x14ac:dyDescent="0.2">
      <c r="A98" s="3">
        <v>23.6</v>
      </c>
      <c r="B98" s="3">
        <v>0</v>
      </c>
      <c r="C98" s="3">
        <v>35.4</v>
      </c>
      <c r="D98" s="3">
        <v>1</v>
      </c>
    </row>
    <row r="99" spans="1:4" x14ac:dyDescent="0.2">
      <c r="A99" s="3">
        <v>22.7</v>
      </c>
      <c r="B99" s="3">
        <v>0</v>
      </c>
      <c r="C99" s="3">
        <v>98.9</v>
      </c>
      <c r="D99" s="3">
        <v>1</v>
      </c>
    </row>
    <row r="100" spans="1:4" x14ac:dyDescent="0.2">
      <c r="A100" s="3">
        <v>34.700000000000003</v>
      </c>
      <c r="B100" s="3">
        <v>0</v>
      </c>
      <c r="C100" s="3">
        <v>51.1</v>
      </c>
      <c r="D100" s="3">
        <v>1</v>
      </c>
    </row>
    <row r="101" spans="1:4" x14ac:dyDescent="0.2">
      <c r="A101" s="3">
        <v>66.099999999999994</v>
      </c>
      <c r="B101" s="3">
        <v>0</v>
      </c>
      <c r="C101" s="3">
        <v>16.600000000000001</v>
      </c>
      <c r="D101" s="3">
        <v>1</v>
      </c>
    </row>
    <row r="102" spans="1:4" x14ac:dyDescent="0.2">
      <c r="A102" s="3">
        <v>90.2</v>
      </c>
      <c r="B102" s="3">
        <v>0</v>
      </c>
      <c r="C102" s="3">
        <v>99.7</v>
      </c>
      <c r="D102" s="3">
        <v>1</v>
      </c>
    </row>
    <row r="103" spans="1:4" x14ac:dyDescent="0.2">
      <c r="A103" s="3">
        <v>54.4</v>
      </c>
      <c r="B103" s="3">
        <v>0</v>
      </c>
      <c r="C103" s="3">
        <v>67.3</v>
      </c>
      <c r="D103" s="3">
        <v>1</v>
      </c>
    </row>
    <row r="104" spans="1:4" x14ac:dyDescent="0.2">
      <c r="A104" s="3">
        <v>47.5</v>
      </c>
      <c r="B104" s="3">
        <v>0</v>
      </c>
      <c r="C104" s="3">
        <v>13.8</v>
      </c>
      <c r="D104" s="3">
        <v>1</v>
      </c>
    </row>
    <row r="105" spans="1:4" x14ac:dyDescent="0.2">
      <c r="A105" s="3">
        <v>58</v>
      </c>
      <c r="B105" s="3">
        <v>0</v>
      </c>
      <c r="C105" s="3">
        <v>7.8</v>
      </c>
      <c r="D105" s="3">
        <v>1</v>
      </c>
    </row>
    <row r="106" spans="1:4" x14ac:dyDescent="0.2">
      <c r="A106" s="3">
        <v>63.3</v>
      </c>
      <c r="B106" s="3">
        <v>0</v>
      </c>
      <c r="C106" s="3">
        <v>83.2</v>
      </c>
      <c r="D106" s="3">
        <v>1</v>
      </c>
    </row>
    <row r="107" spans="1:4" x14ac:dyDescent="0.2">
      <c r="A107" s="3">
        <v>39.5</v>
      </c>
      <c r="B107" s="3">
        <v>0</v>
      </c>
      <c r="C107" s="3">
        <v>97.5</v>
      </c>
      <c r="D107" s="3">
        <v>1</v>
      </c>
    </row>
    <row r="108" spans="1:4" x14ac:dyDescent="0.2">
      <c r="A108" s="3">
        <v>21</v>
      </c>
      <c r="B108" s="3">
        <v>0</v>
      </c>
      <c r="C108" s="3">
        <v>33.200000000000003</v>
      </c>
      <c r="D108" s="3">
        <v>1</v>
      </c>
    </row>
    <row r="109" spans="1:4" x14ac:dyDescent="0.2">
      <c r="A109" s="3">
        <v>53.2</v>
      </c>
      <c r="B109" s="3">
        <v>0</v>
      </c>
      <c r="C109" s="3">
        <v>92.2</v>
      </c>
      <c r="D109" s="3">
        <v>1</v>
      </c>
    </row>
    <row r="110" spans="1:4" x14ac:dyDescent="0.2">
      <c r="A110" s="3">
        <v>8.1999999999999993</v>
      </c>
      <c r="B110" s="3">
        <v>0</v>
      </c>
      <c r="C110" s="3">
        <v>90.6</v>
      </c>
      <c r="D110" s="3">
        <v>1</v>
      </c>
    </row>
    <row r="111" spans="1:4" x14ac:dyDescent="0.2">
      <c r="A111" s="3">
        <v>39.6</v>
      </c>
      <c r="B111" s="3">
        <v>0</v>
      </c>
      <c r="C111" s="3">
        <v>66.900000000000006</v>
      </c>
      <c r="D111" s="3">
        <v>1</v>
      </c>
    </row>
    <row r="112" spans="1:4" x14ac:dyDescent="0.2">
      <c r="A112" s="3">
        <v>82.9</v>
      </c>
      <c r="B112" s="3">
        <v>0</v>
      </c>
      <c r="C112" s="3">
        <v>88.6</v>
      </c>
      <c r="D112" s="3">
        <v>1</v>
      </c>
    </row>
    <row r="113" spans="1:4" x14ac:dyDescent="0.2">
      <c r="A113" s="3">
        <v>34.799999999999997</v>
      </c>
      <c r="B113" s="3">
        <v>0</v>
      </c>
      <c r="C113" s="3">
        <v>28.2</v>
      </c>
      <c r="D113" s="3">
        <v>1</v>
      </c>
    </row>
    <row r="114" spans="1:4" x14ac:dyDescent="0.2">
      <c r="A114" s="3">
        <v>80.900000000000006</v>
      </c>
      <c r="B114" s="3">
        <v>0</v>
      </c>
      <c r="C114" s="3">
        <v>15.7</v>
      </c>
      <c r="D114" s="3">
        <v>1</v>
      </c>
    </row>
    <row r="115" spans="1:4" x14ac:dyDescent="0.2">
      <c r="A115" s="3">
        <v>75.3</v>
      </c>
      <c r="B115" s="3">
        <v>0</v>
      </c>
      <c r="C115" s="3">
        <v>73.3</v>
      </c>
      <c r="D115" s="3">
        <v>1</v>
      </c>
    </row>
    <row r="116" spans="1:4" x14ac:dyDescent="0.2">
      <c r="A116" s="3">
        <v>73.900000000000006</v>
      </c>
      <c r="B116" s="3">
        <v>0</v>
      </c>
      <c r="C116" s="3">
        <v>91</v>
      </c>
      <c r="D116" s="3">
        <v>1</v>
      </c>
    </row>
    <row r="117" spans="1:4" x14ac:dyDescent="0.2">
      <c r="A117" s="3">
        <v>35.700000000000003</v>
      </c>
      <c r="B117" s="3">
        <v>0</v>
      </c>
      <c r="C117" s="3">
        <v>75.3</v>
      </c>
      <c r="D117" s="3">
        <v>1</v>
      </c>
    </row>
    <row r="118" spans="1:4" x14ac:dyDescent="0.2">
      <c r="A118" s="3">
        <v>98.1</v>
      </c>
      <c r="B118" s="3">
        <v>0</v>
      </c>
      <c r="C118" s="3">
        <v>23.2</v>
      </c>
      <c r="D118" s="3">
        <v>1</v>
      </c>
    </row>
    <row r="119" spans="1:4" x14ac:dyDescent="0.2">
      <c r="A119" s="3">
        <v>17.3</v>
      </c>
      <c r="B119" s="3">
        <v>0</v>
      </c>
      <c r="C119" s="3">
        <v>63.3</v>
      </c>
      <c r="D119" s="3">
        <v>1</v>
      </c>
    </row>
    <row r="120" spans="1:4" x14ac:dyDescent="0.2">
      <c r="A120" s="3">
        <v>70.3</v>
      </c>
      <c r="B120" s="3">
        <v>0</v>
      </c>
      <c r="D120" s="3"/>
    </row>
    <row r="121" spans="1:4" x14ac:dyDescent="0.2">
      <c r="A121" s="3">
        <v>24.9</v>
      </c>
      <c r="B121" s="3">
        <v>0</v>
      </c>
      <c r="D121" s="3"/>
    </row>
    <row r="122" spans="1:4" x14ac:dyDescent="0.2">
      <c r="A122" s="3">
        <v>41</v>
      </c>
      <c r="B122" s="3">
        <v>0</v>
      </c>
      <c r="D122" s="3"/>
    </row>
    <row r="123" spans="1:4" x14ac:dyDescent="0.2">
      <c r="A123" s="3">
        <v>37</v>
      </c>
      <c r="B123" s="3">
        <v>0</v>
      </c>
      <c r="D123" s="3"/>
    </row>
    <row r="124" spans="1:4" x14ac:dyDescent="0.2">
      <c r="A124" s="3">
        <v>15.5</v>
      </c>
      <c r="B124" s="3">
        <v>0</v>
      </c>
      <c r="D124" s="3"/>
    </row>
    <row r="125" spans="1:4" x14ac:dyDescent="0.2">
      <c r="A125" s="3">
        <v>77.2</v>
      </c>
      <c r="B125" s="3">
        <v>0</v>
      </c>
      <c r="D125" s="3"/>
    </row>
    <row r="126" spans="1:4" x14ac:dyDescent="0.2">
      <c r="A126" s="3">
        <v>98.9</v>
      </c>
      <c r="B126" s="3">
        <v>0</v>
      </c>
      <c r="D126" s="3"/>
    </row>
    <row r="127" spans="1:4" x14ac:dyDescent="0.2">
      <c r="A127" s="3">
        <v>34.799999999999997</v>
      </c>
      <c r="B127" s="3">
        <v>0</v>
      </c>
      <c r="D127" s="3"/>
    </row>
    <row r="128" spans="1:4" x14ac:dyDescent="0.2">
      <c r="A128" s="3">
        <v>29.2</v>
      </c>
      <c r="B128" s="3">
        <v>0</v>
      </c>
      <c r="D128" s="3"/>
    </row>
    <row r="129" spans="1:4" x14ac:dyDescent="0.2">
      <c r="A129" s="3">
        <v>82.8</v>
      </c>
      <c r="B129" s="3">
        <v>0</v>
      </c>
      <c r="D129" s="3"/>
    </row>
    <row r="130" spans="1:4" x14ac:dyDescent="0.2">
      <c r="A130" s="3">
        <v>54.9</v>
      </c>
      <c r="B130" s="3">
        <v>0</v>
      </c>
      <c r="D130" s="3"/>
    </row>
    <row r="131" spans="1:4" x14ac:dyDescent="0.2">
      <c r="A131" s="3">
        <v>13.3</v>
      </c>
      <c r="B131" s="3">
        <v>0</v>
      </c>
      <c r="D131" s="3"/>
    </row>
    <row r="132" spans="1:4" x14ac:dyDescent="0.2">
      <c r="A132" s="3">
        <v>44.9</v>
      </c>
      <c r="B132" s="3">
        <v>0</v>
      </c>
      <c r="D132" s="3"/>
    </row>
    <row r="133" spans="1:4" x14ac:dyDescent="0.2">
      <c r="A133" s="3">
        <v>46.4</v>
      </c>
      <c r="B133" s="3">
        <v>0</v>
      </c>
      <c r="D133" s="3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2B06-FED0-114F-91B6-052249115E40}">
  <dimension ref="A1:B133"/>
  <sheetViews>
    <sheetView workbookViewId="0">
      <selection sqref="A1:B133"/>
    </sheetView>
  </sheetViews>
  <sheetFormatPr baseColWidth="10" defaultRowHeight="15" x14ac:dyDescent="0.2"/>
  <sheetData>
    <row r="1" spans="1:2" x14ac:dyDescent="0.2">
      <c r="A1" s="3" t="s">
        <v>71</v>
      </c>
      <c r="B1" s="3" t="s">
        <v>13</v>
      </c>
    </row>
    <row r="2" spans="1:2" x14ac:dyDescent="0.2">
      <c r="A2" s="3">
        <v>75.16</v>
      </c>
      <c r="B2" s="3">
        <v>28.27</v>
      </c>
    </row>
    <row r="3" spans="1:2" x14ac:dyDescent="0.2">
      <c r="A3" s="3">
        <v>118.53</v>
      </c>
      <c r="B3" s="3">
        <v>107.67</v>
      </c>
    </row>
    <row r="4" spans="1:2" x14ac:dyDescent="0.2">
      <c r="A4" s="3">
        <v>94.96</v>
      </c>
      <c r="B4" s="3">
        <v>36.479999999999997</v>
      </c>
    </row>
    <row r="5" spans="1:2" x14ac:dyDescent="0.2">
      <c r="A5" s="3">
        <v>59.3</v>
      </c>
      <c r="B5" s="3">
        <v>61.13</v>
      </c>
    </row>
    <row r="6" spans="1:2" x14ac:dyDescent="0.2">
      <c r="A6" s="3">
        <v>102.92</v>
      </c>
      <c r="B6" s="3">
        <v>97.76</v>
      </c>
    </row>
    <row r="7" spans="1:2" x14ac:dyDescent="0.2">
      <c r="A7" s="3">
        <v>76.91</v>
      </c>
      <c r="B7" s="3">
        <v>68.040000000000006</v>
      </c>
    </row>
    <row r="8" spans="1:2" x14ac:dyDescent="0.2">
      <c r="A8" s="3">
        <v>23.68</v>
      </c>
      <c r="B8" s="3">
        <v>57.67</v>
      </c>
    </row>
    <row r="9" spans="1:2" x14ac:dyDescent="0.2">
      <c r="A9" s="3">
        <v>21.37</v>
      </c>
      <c r="B9" s="3">
        <v>26.35</v>
      </c>
    </row>
    <row r="10" spans="1:2" x14ac:dyDescent="0.2">
      <c r="A10" s="3">
        <v>27.54</v>
      </c>
      <c r="B10" s="3">
        <v>33.39</v>
      </c>
    </row>
    <row r="11" spans="1:2" x14ac:dyDescent="0.2">
      <c r="A11" s="3">
        <v>94.99</v>
      </c>
      <c r="B11" s="3">
        <v>89.17</v>
      </c>
    </row>
    <row r="12" spans="1:2" x14ac:dyDescent="0.2">
      <c r="A12" s="3">
        <v>92.61</v>
      </c>
      <c r="B12" s="3">
        <v>73.430000000000007</v>
      </c>
    </row>
    <row r="13" spans="1:2" x14ac:dyDescent="0.2">
      <c r="A13" s="3">
        <v>95.71</v>
      </c>
      <c r="B13" s="3">
        <v>111.32</v>
      </c>
    </row>
    <row r="14" spans="1:2" x14ac:dyDescent="0.2">
      <c r="A14" s="3">
        <v>57.79</v>
      </c>
      <c r="B14" s="3">
        <v>78.510000000000005</v>
      </c>
    </row>
    <row r="15" spans="1:2" x14ac:dyDescent="0.2">
      <c r="A15" s="3">
        <v>44.11</v>
      </c>
      <c r="B15" s="3">
        <v>47.47</v>
      </c>
    </row>
    <row r="16" spans="1:2" x14ac:dyDescent="0.2">
      <c r="A16" s="3">
        <v>40.5</v>
      </c>
      <c r="B16" s="3">
        <v>40.72</v>
      </c>
    </row>
    <row r="17" spans="1:2" x14ac:dyDescent="0.2">
      <c r="A17" s="3">
        <v>45.14</v>
      </c>
      <c r="B17" s="3">
        <v>24.69</v>
      </c>
    </row>
    <row r="18" spans="1:2" x14ac:dyDescent="0.2">
      <c r="A18" s="3">
        <v>107.82</v>
      </c>
      <c r="B18" s="3">
        <v>46.87</v>
      </c>
    </row>
    <row r="19" spans="1:2" x14ac:dyDescent="0.2">
      <c r="A19" s="3">
        <v>95.7</v>
      </c>
      <c r="B19" s="3">
        <v>103.14</v>
      </c>
    </row>
    <row r="20" spans="1:2" x14ac:dyDescent="0.2">
      <c r="A20" s="3">
        <v>22.22</v>
      </c>
      <c r="B20" s="3">
        <v>101.64</v>
      </c>
    </row>
    <row r="21" spans="1:2" x14ac:dyDescent="0.2">
      <c r="A21" s="3">
        <v>69.819999999999993</v>
      </c>
      <c r="B21" s="3">
        <v>116.8</v>
      </c>
    </row>
    <row r="22" spans="1:2" x14ac:dyDescent="0.2">
      <c r="A22" s="3">
        <v>67.62</v>
      </c>
      <c r="B22" s="3">
        <v>28.84</v>
      </c>
    </row>
    <row r="23" spans="1:2" x14ac:dyDescent="0.2">
      <c r="A23" s="3">
        <v>50.78</v>
      </c>
      <c r="B23" s="3">
        <v>79</v>
      </c>
    </row>
    <row r="24" spans="1:2" x14ac:dyDescent="0.2">
      <c r="A24" s="3">
        <v>99.18</v>
      </c>
      <c r="B24" s="3">
        <v>98.47</v>
      </c>
    </row>
    <row r="25" spans="1:2" x14ac:dyDescent="0.2">
      <c r="A25" s="3">
        <v>68</v>
      </c>
      <c r="B25" s="3">
        <v>100.5</v>
      </c>
    </row>
    <row r="26" spans="1:2" x14ac:dyDescent="0.2">
      <c r="A26" s="3">
        <v>62.05</v>
      </c>
      <c r="B26" s="3">
        <v>83.66</v>
      </c>
    </row>
    <row r="27" spans="1:2" x14ac:dyDescent="0.2">
      <c r="A27" s="3">
        <v>83.94</v>
      </c>
      <c r="B27" s="3">
        <v>75.48</v>
      </c>
    </row>
    <row r="28" spans="1:2" x14ac:dyDescent="0.2">
      <c r="A28" s="3">
        <v>110.32</v>
      </c>
      <c r="B28" s="3">
        <v>74.739999999999995</v>
      </c>
    </row>
    <row r="29" spans="1:2" x14ac:dyDescent="0.2">
      <c r="A29" s="3">
        <v>81.73</v>
      </c>
      <c r="B29" s="3">
        <v>111.05</v>
      </c>
    </row>
    <row r="30" spans="1:2" x14ac:dyDescent="0.2">
      <c r="A30" s="3">
        <v>118.05</v>
      </c>
      <c r="B30" s="3">
        <v>72.36</v>
      </c>
    </row>
    <row r="31" spans="1:2" x14ac:dyDescent="0.2">
      <c r="A31" s="3">
        <v>80.81</v>
      </c>
      <c r="B31" s="3">
        <v>99.65</v>
      </c>
    </row>
    <row r="32" spans="1:2" x14ac:dyDescent="0.2">
      <c r="A32" s="3">
        <v>29.1</v>
      </c>
      <c r="B32" s="3">
        <v>65.930000000000007</v>
      </c>
    </row>
    <row r="33" spans="1:2" x14ac:dyDescent="0.2">
      <c r="A33" s="3">
        <v>92.64</v>
      </c>
      <c r="B33" s="3">
        <v>104.21</v>
      </c>
    </row>
    <row r="34" spans="1:2" x14ac:dyDescent="0.2">
      <c r="A34" s="3">
        <v>65.09</v>
      </c>
      <c r="B34" s="3">
        <v>96.89</v>
      </c>
    </row>
    <row r="35" spans="1:2" x14ac:dyDescent="0.2">
      <c r="A35" s="3">
        <v>49.8</v>
      </c>
      <c r="B35" s="3">
        <v>24.59</v>
      </c>
    </row>
    <row r="36" spans="1:2" x14ac:dyDescent="0.2">
      <c r="A36" s="3">
        <v>89.76</v>
      </c>
      <c r="B36" s="3">
        <v>54.74</v>
      </c>
    </row>
    <row r="37" spans="1:2" x14ac:dyDescent="0.2">
      <c r="A37" s="3">
        <v>26.62</v>
      </c>
      <c r="B37" s="3">
        <v>40.909999999999997</v>
      </c>
    </row>
    <row r="38" spans="1:2" x14ac:dyDescent="0.2">
      <c r="A38" s="3">
        <v>82.08</v>
      </c>
      <c r="B38" s="3">
        <v>77.959999999999994</v>
      </c>
    </row>
    <row r="39" spans="1:2" x14ac:dyDescent="0.2">
      <c r="A39" s="3">
        <v>66.010000000000005</v>
      </c>
      <c r="B39" s="3">
        <v>54.16</v>
      </c>
    </row>
    <row r="40" spans="1:2" x14ac:dyDescent="0.2">
      <c r="A40" s="3">
        <v>78.48</v>
      </c>
      <c r="B40" s="3">
        <v>73.73</v>
      </c>
    </row>
    <row r="41" spans="1:2" x14ac:dyDescent="0.2">
      <c r="A41" s="3">
        <v>89.77</v>
      </c>
      <c r="B41" s="3">
        <v>60.03</v>
      </c>
    </row>
    <row r="42" spans="1:2" x14ac:dyDescent="0.2">
      <c r="A42" s="3">
        <v>61.17</v>
      </c>
      <c r="B42" s="3">
        <v>38.01</v>
      </c>
    </row>
    <row r="43" spans="1:2" x14ac:dyDescent="0.2">
      <c r="A43" s="3">
        <v>107.43</v>
      </c>
      <c r="B43" s="3">
        <v>89.65</v>
      </c>
    </row>
    <row r="44" spans="1:2" x14ac:dyDescent="0.2">
      <c r="A44" s="3">
        <v>71.52</v>
      </c>
      <c r="B44" s="3">
        <v>80.19</v>
      </c>
    </row>
    <row r="45" spans="1:2" x14ac:dyDescent="0.2">
      <c r="A45" s="3">
        <v>117.31</v>
      </c>
      <c r="B45" s="3">
        <v>54.51</v>
      </c>
    </row>
    <row r="46" spans="1:2" x14ac:dyDescent="0.2">
      <c r="A46" s="3">
        <v>42.38</v>
      </c>
      <c r="B46" s="3">
        <v>23.18</v>
      </c>
    </row>
    <row r="47" spans="1:2" x14ac:dyDescent="0.2">
      <c r="A47" s="3">
        <v>102.18</v>
      </c>
      <c r="B47" s="3">
        <v>74.87</v>
      </c>
    </row>
    <row r="48" spans="1:2" x14ac:dyDescent="0.2">
      <c r="A48" s="3">
        <v>54.76</v>
      </c>
      <c r="B48" s="3">
        <v>109.42</v>
      </c>
    </row>
    <row r="49" spans="1:2" x14ac:dyDescent="0.2">
      <c r="A49" s="3">
        <v>73.44</v>
      </c>
      <c r="B49" s="3">
        <v>32.869999999999997</v>
      </c>
    </row>
    <row r="50" spans="1:2" x14ac:dyDescent="0.2">
      <c r="A50" s="3">
        <v>55.6</v>
      </c>
      <c r="B50" s="3">
        <v>53.01</v>
      </c>
    </row>
    <row r="51" spans="1:2" x14ac:dyDescent="0.2">
      <c r="A51" s="3">
        <v>29.23</v>
      </c>
      <c r="B51" s="3">
        <v>52.16</v>
      </c>
    </row>
    <row r="52" spans="1:2" x14ac:dyDescent="0.2">
      <c r="A52" s="3">
        <v>68.11</v>
      </c>
      <c r="B52" s="3">
        <v>88.78</v>
      </c>
    </row>
    <row r="53" spans="1:2" x14ac:dyDescent="0.2">
      <c r="A53" s="3">
        <v>20.260000000000002</v>
      </c>
      <c r="B53" s="3">
        <v>71.17</v>
      </c>
    </row>
    <row r="54" spans="1:2" x14ac:dyDescent="0.2">
      <c r="A54" s="3">
        <v>106.83</v>
      </c>
      <c r="B54" s="3">
        <v>35.700000000000003</v>
      </c>
    </row>
    <row r="55" spans="1:2" x14ac:dyDescent="0.2">
      <c r="A55" s="3">
        <v>28.45</v>
      </c>
      <c r="B55" s="3">
        <v>57.73</v>
      </c>
    </row>
    <row r="56" spans="1:2" x14ac:dyDescent="0.2">
      <c r="A56" s="3">
        <v>118.63</v>
      </c>
      <c r="B56" s="3">
        <v>79.73</v>
      </c>
    </row>
    <row r="57" spans="1:2" x14ac:dyDescent="0.2">
      <c r="A57" s="3">
        <v>73.66</v>
      </c>
      <c r="B57" s="3">
        <v>96</v>
      </c>
    </row>
    <row r="58" spans="1:2" x14ac:dyDescent="0.2">
      <c r="A58" s="3">
        <v>112.4</v>
      </c>
      <c r="B58" s="3">
        <v>92.05</v>
      </c>
    </row>
    <row r="59" spans="1:2" x14ac:dyDescent="0.2">
      <c r="A59" s="3">
        <v>43.61</v>
      </c>
      <c r="B59" s="3">
        <v>26.23</v>
      </c>
    </row>
    <row r="60" spans="1:2" x14ac:dyDescent="0.2">
      <c r="A60" s="3">
        <v>73.13</v>
      </c>
      <c r="B60" s="3">
        <v>34.770000000000003</v>
      </c>
    </row>
    <row r="61" spans="1:2" x14ac:dyDescent="0.2">
      <c r="A61" s="3">
        <v>33.31</v>
      </c>
      <c r="B61" s="3">
        <v>94.96</v>
      </c>
    </row>
    <row r="62" spans="1:2" x14ac:dyDescent="0.2">
      <c r="A62" s="3">
        <v>88.72</v>
      </c>
      <c r="B62" s="3">
        <v>38.229999999999997</v>
      </c>
    </row>
    <row r="63" spans="1:2" x14ac:dyDescent="0.2">
      <c r="A63" s="3">
        <v>104.44</v>
      </c>
      <c r="B63" s="3">
        <v>76.400000000000006</v>
      </c>
    </row>
    <row r="64" spans="1:2" x14ac:dyDescent="0.2">
      <c r="A64" s="3">
        <v>23.05</v>
      </c>
      <c r="B64" s="3">
        <v>104.07</v>
      </c>
    </row>
    <row r="65" spans="1:2" x14ac:dyDescent="0.2">
      <c r="A65" s="3">
        <v>106.72</v>
      </c>
      <c r="B65" s="3">
        <v>28.92</v>
      </c>
    </row>
    <row r="66" spans="1:2" x14ac:dyDescent="0.2">
      <c r="A66" s="3">
        <v>55.41</v>
      </c>
      <c r="B66" s="3">
        <v>73.53</v>
      </c>
    </row>
    <row r="67" spans="1:2" x14ac:dyDescent="0.2">
      <c r="A67" s="3">
        <v>59.72</v>
      </c>
      <c r="B67" s="3">
        <v>43.32</v>
      </c>
    </row>
    <row r="68" spans="1:2" x14ac:dyDescent="0.2">
      <c r="A68" s="3">
        <v>30.49</v>
      </c>
      <c r="B68" s="3">
        <v>67.400000000000006</v>
      </c>
    </row>
    <row r="69" spans="1:2" x14ac:dyDescent="0.2">
      <c r="A69" s="3">
        <v>93.74</v>
      </c>
      <c r="B69" s="3">
        <v>55.51</v>
      </c>
    </row>
    <row r="70" spans="1:2" x14ac:dyDescent="0.2">
      <c r="A70" s="3">
        <v>54.29</v>
      </c>
      <c r="B70" s="3">
        <v>78.42</v>
      </c>
    </row>
    <row r="71" spans="1:2" x14ac:dyDescent="0.2">
      <c r="A71" s="3">
        <v>84.88</v>
      </c>
      <c r="B71" s="3">
        <v>78.650000000000006</v>
      </c>
    </row>
    <row r="72" spans="1:2" x14ac:dyDescent="0.2">
      <c r="A72" s="3">
        <v>67.959999999999994</v>
      </c>
      <c r="B72" s="3">
        <v>44.44</v>
      </c>
    </row>
    <row r="73" spans="1:2" x14ac:dyDescent="0.2">
      <c r="A73" s="3">
        <v>93.68</v>
      </c>
      <c r="B73" s="3">
        <v>69.819999999999993</v>
      </c>
    </row>
    <row r="74" spans="1:2" x14ac:dyDescent="0.2">
      <c r="A74" s="3">
        <v>75.77</v>
      </c>
      <c r="B74" s="3">
        <v>53.03</v>
      </c>
    </row>
    <row r="75" spans="1:2" x14ac:dyDescent="0.2">
      <c r="A75" s="3">
        <v>76.45</v>
      </c>
      <c r="B75" s="3">
        <v>42.53</v>
      </c>
    </row>
    <row r="76" spans="1:2" x14ac:dyDescent="0.2">
      <c r="A76" s="3">
        <v>57.88</v>
      </c>
      <c r="B76" s="3">
        <v>105.08</v>
      </c>
    </row>
    <row r="77" spans="1:2" x14ac:dyDescent="0.2">
      <c r="A77" s="3">
        <v>53.74</v>
      </c>
      <c r="B77" s="3">
        <v>25.57</v>
      </c>
    </row>
    <row r="78" spans="1:2" x14ac:dyDescent="0.2">
      <c r="A78" s="3">
        <v>109.96</v>
      </c>
      <c r="B78" s="3">
        <v>21.82</v>
      </c>
    </row>
    <row r="79" spans="1:2" x14ac:dyDescent="0.2">
      <c r="A79" s="3">
        <v>80.760000000000005</v>
      </c>
      <c r="B79" s="3">
        <v>119.73</v>
      </c>
    </row>
    <row r="80" spans="1:2" x14ac:dyDescent="0.2">
      <c r="A80" s="3">
        <v>113.37</v>
      </c>
      <c r="B80" s="3">
        <v>109.66</v>
      </c>
    </row>
    <row r="81" spans="1:2" x14ac:dyDescent="0.2">
      <c r="A81" s="3">
        <v>20.75</v>
      </c>
      <c r="B81" s="3">
        <v>77.599999999999994</v>
      </c>
    </row>
    <row r="82" spans="1:2" x14ac:dyDescent="0.2">
      <c r="A82" s="3">
        <v>56.54</v>
      </c>
      <c r="B82" s="3">
        <v>111.74</v>
      </c>
    </row>
    <row r="83" spans="1:2" x14ac:dyDescent="0.2">
      <c r="A83" s="3">
        <v>68.78</v>
      </c>
      <c r="B83" s="3">
        <v>20.53</v>
      </c>
    </row>
    <row r="84" spans="1:2" x14ac:dyDescent="0.2">
      <c r="A84" s="3">
        <v>28.79</v>
      </c>
      <c r="B84" s="3">
        <v>117.51</v>
      </c>
    </row>
    <row r="85" spans="1:2" x14ac:dyDescent="0.2">
      <c r="A85" s="3">
        <v>100.59</v>
      </c>
      <c r="B85" s="3">
        <v>103.86</v>
      </c>
    </row>
    <row r="86" spans="1:2" x14ac:dyDescent="0.2">
      <c r="A86" s="3">
        <v>104.23</v>
      </c>
      <c r="B86" s="3">
        <v>72.98</v>
      </c>
    </row>
    <row r="87" spans="1:2" x14ac:dyDescent="0.2">
      <c r="A87" s="3">
        <v>25.16</v>
      </c>
      <c r="B87" s="3">
        <v>90.72</v>
      </c>
    </row>
    <row r="88" spans="1:2" x14ac:dyDescent="0.2">
      <c r="A88" s="3">
        <v>89.7</v>
      </c>
      <c r="B88" s="3">
        <v>96.78</v>
      </c>
    </row>
    <row r="89" spans="1:2" x14ac:dyDescent="0.2">
      <c r="A89" s="3">
        <v>69.069999999999993</v>
      </c>
      <c r="B89" s="3">
        <v>28.73</v>
      </c>
    </row>
    <row r="90" spans="1:2" x14ac:dyDescent="0.2">
      <c r="A90" s="3">
        <v>92.29</v>
      </c>
      <c r="B90" s="3">
        <v>52.06</v>
      </c>
    </row>
    <row r="91" spans="1:2" x14ac:dyDescent="0.2">
      <c r="A91" s="3">
        <v>102.09</v>
      </c>
      <c r="B91" s="3">
        <v>74.89</v>
      </c>
    </row>
    <row r="92" spans="1:2" x14ac:dyDescent="0.2">
      <c r="A92" s="3">
        <v>91.85</v>
      </c>
      <c r="B92" s="3">
        <v>28.79</v>
      </c>
    </row>
    <row r="93" spans="1:2" x14ac:dyDescent="0.2">
      <c r="A93" s="3">
        <v>73.5</v>
      </c>
      <c r="B93" s="3">
        <v>31.67</v>
      </c>
    </row>
    <row r="94" spans="1:2" x14ac:dyDescent="0.2">
      <c r="A94" s="3">
        <v>67.66</v>
      </c>
      <c r="B94" s="3">
        <v>99.43</v>
      </c>
    </row>
    <row r="95" spans="1:2" x14ac:dyDescent="0.2">
      <c r="A95" s="3">
        <v>40.51</v>
      </c>
      <c r="B95" s="3">
        <v>60.85</v>
      </c>
    </row>
    <row r="96" spans="1:2" x14ac:dyDescent="0.2">
      <c r="A96" s="3">
        <v>116.8</v>
      </c>
      <c r="B96" s="3">
        <v>113.29</v>
      </c>
    </row>
    <row r="97" spans="1:2" x14ac:dyDescent="0.2">
      <c r="A97" s="3">
        <v>91.1</v>
      </c>
      <c r="B97" s="3">
        <v>119.09</v>
      </c>
    </row>
    <row r="98" spans="1:2" x14ac:dyDescent="0.2">
      <c r="A98" s="3">
        <v>39.950000000000003</v>
      </c>
      <c r="B98" s="3">
        <v>57.92</v>
      </c>
    </row>
    <row r="99" spans="1:2" x14ac:dyDescent="0.2">
      <c r="A99" s="3">
        <v>93.62</v>
      </c>
      <c r="B99" s="3">
        <v>112.64</v>
      </c>
    </row>
    <row r="100" spans="1:2" x14ac:dyDescent="0.2">
      <c r="A100" s="3">
        <v>70.61</v>
      </c>
      <c r="B100" s="3">
        <v>92.16</v>
      </c>
    </row>
    <row r="101" spans="1:2" x14ac:dyDescent="0.2">
      <c r="A101" s="3">
        <v>113.2</v>
      </c>
      <c r="B101" s="3">
        <v>24.81</v>
      </c>
    </row>
    <row r="102" spans="1:2" x14ac:dyDescent="0.2">
      <c r="A102" s="3">
        <v>79.39</v>
      </c>
      <c r="B102" s="3">
        <v>95.05</v>
      </c>
    </row>
    <row r="103" spans="1:2" x14ac:dyDescent="0.2">
      <c r="A103" s="3">
        <v>56.92</v>
      </c>
      <c r="B103" s="3">
        <v>102.51</v>
      </c>
    </row>
    <row r="104" spans="1:2" x14ac:dyDescent="0.2">
      <c r="A104" s="3">
        <v>65.430000000000007</v>
      </c>
      <c r="B104" s="3">
        <v>83.38</v>
      </c>
    </row>
    <row r="105" spans="1:2" x14ac:dyDescent="0.2">
      <c r="A105" s="3">
        <v>74.86</v>
      </c>
      <c r="B105" s="3">
        <v>110.79</v>
      </c>
    </row>
    <row r="106" spans="1:2" x14ac:dyDescent="0.2">
      <c r="A106" s="3">
        <v>40.17</v>
      </c>
      <c r="B106" s="3">
        <v>51.62</v>
      </c>
    </row>
    <row r="107" spans="1:2" x14ac:dyDescent="0.2">
      <c r="A107" s="3">
        <v>88.46</v>
      </c>
      <c r="B107" s="3">
        <v>65.19</v>
      </c>
    </row>
    <row r="108" spans="1:2" x14ac:dyDescent="0.2">
      <c r="A108" s="3">
        <v>33.880000000000003</v>
      </c>
      <c r="B108" s="3">
        <v>109.97</v>
      </c>
    </row>
    <row r="109" spans="1:2" x14ac:dyDescent="0.2">
      <c r="A109" s="3">
        <v>20.27</v>
      </c>
      <c r="B109" s="3">
        <v>82.41</v>
      </c>
    </row>
    <row r="110" spans="1:2" x14ac:dyDescent="0.2">
      <c r="A110" s="3">
        <v>67.319999999999993</v>
      </c>
      <c r="B110" s="3">
        <v>55.54</v>
      </c>
    </row>
    <row r="111" spans="1:2" x14ac:dyDescent="0.2">
      <c r="A111" s="3">
        <v>80.61</v>
      </c>
      <c r="B111" s="3">
        <v>59.15</v>
      </c>
    </row>
    <row r="112" spans="1:2" x14ac:dyDescent="0.2">
      <c r="A112" s="3">
        <v>30.67</v>
      </c>
      <c r="B112" s="3">
        <v>74.28</v>
      </c>
    </row>
    <row r="113" spans="1:2" x14ac:dyDescent="0.2">
      <c r="A113" s="3">
        <v>105.07</v>
      </c>
      <c r="B113" s="3">
        <v>53.28</v>
      </c>
    </row>
    <row r="114" spans="1:2" x14ac:dyDescent="0.2">
      <c r="A114" s="3">
        <v>94.6</v>
      </c>
      <c r="B114" s="3">
        <v>93.05</v>
      </c>
    </row>
    <row r="115" spans="1:2" x14ac:dyDescent="0.2">
      <c r="A115" s="3">
        <v>40.5</v>
      </c>
      <c r="B115" s="3">
        <v>36.67</v>
      </c>
    </row>
    <row r="116" spans="1:2" x14ac:dyDescent="0.2">
      <c r="A116" s="3">
        <v>98.15</v>
      </c>
      <c r="B116" s="3">
        <v>69.540000000000006</v>
      </c>
    </row>
    <row r="117" spans="1:2" x14ac:dyDescent="0.2">
      <c r="A117" s="3">
        <v>102.79</v>
      </c>
      <c r="B117" s="3">
        <v>94.15</v>
      </c>
    </row>
    <row r="118" spans="1:2" x14ac:dyDescent="0.2">
      <c r="A118" s="3">
        <v>99.95</v>
      </c>
      <c r="B118" s="3">
        <v>77.319999999999993</v>
      </c>
    </row>
    <row r="119" spans="1:2" x14ac:dyDescent="0.2">
      <c r="A119" s="3">
        <v>38.64</v>
      </c>
      <c r="B119" s="3">
        <v>119.77</v>
      </c>
    </row>
    <row r="120" spans="1:2" x14ac:dyDescent="0.2">
      <c r="A120" s="3">
        <v>43.57</v>
      </c>
    </row>
    <row r="121" spans="1:2" x14ac:dyDescent="0.2">
      <c r="A121" s="3">
        <v>78.83</v>
      </c>
    </row>
    <row r="122" spans="1:2" x14ac:dyDescent="0.2">
      <c r="A122" s="3">
        <v>88.3</v>
      </c>
    </row>
    <row r="123" spans="1:2" x14ac:dyDescent="0.2">
      <c r="A123" s="3">
        <v>91.38</v>
      </c>
    </row>
    <row r="124" spans="1:2" x14ac:dyDescent="0.2">
      <c r="A124" s="3">
        <v>73.98</v>
      </c>
    </row>
    <row r="125" spans="1:2" x14ac:dyDescent="0.2">
      <c r="A125" s="3">
        <v>63.87</v>
      </c>
    </row>
    <row r="126" spans="1:2" x14ac:dyDescent="0.2">
      <c r="A126" s="3">
        <v>77.75</v>
      </c>
    </row>
    <row r="127" spans="1:2" x14ac:dyDescent="0.2">
      <c r="A127" s="3">
        <v>73.19</v>
      </c>
    </row>
    <row r="128" spans="1:2" x14ac:dyDescent="0.2">
      <c r="A128" s="3">
        <v>26.66</v>
      </c>
    </row>
    <row r="129" spans="1:1" x14ac:dyDescent="0.2">
      <c r="A129" s="3">
        <v>42.9</v>
      </c>
    </row>
    <row r="130" spans="1:1" x14ac:dyDescent="0.2">
      <c r="A130" s="3">
        <v>63.15</v>
      </c>
    </row>
    <row r="131" spans="1:1" x14ac:dyDescent="0.2">
      <c r="A131" s="3">
        <v>89.37</v>
      </c>
    </row>
    <row r="132" spans="1:1" x14ac:dyDescent="0.2">
      <c r="A132" s="3">
        <v>107.86</v>
      </c>
    </row>
    <row r="133" spans="1:1" x14ac:dyDescent="0.2">
      <c r="A133" s="3">
        <v>95.24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1C9F-29CC-2E4C-ADB1-7909FFA5E947}">
  <dimension ref="A1:B133"/>
  <sheetViews>
    <sheetView workbookViewId="0">
      <selection sqref="A1:B133"/>
    </sheetView>
  </sheetViews>
  <sheetFormatPr baseColWidth="10" defaultRowHeight="15" x14ac:dyDescent="0.2"/>
  <sheetData>
    <row r="1" spans="1:2" x14ac:dyDescent="0.2">
      <c r="A1" s="3" t="s">
        <v>71</v>
      </c>
      <c r="B1" s="3" t="s">
        <v>13</v>
      </c>
    </row>
    <row r="2" spans="1:2" x14ac:dyDescent="0.2">
      <c r="A2" s="3">
        <v>1</v>
      </c>
      <c r="B2" s="3">
        <v>2</v>
      </c>
    </row>
    <row r="3" spans="1:2" x14ac:dyDescent="0.2">
      <c r="A3" s="3">
        <v>3</v>
      </c>
      <c r="B3" s="3">
        <v>1</v>
      </c>
    </row>
    <row r="4" spans="1:2" x14ac:dyDescent="0.2">
      <c r="A4" s="3">
        <v>5</v>
      </c>
      <c r="B4" s="3">
        <v>1</v>
      </c>
    </row>
    <row r="5" spans="1:2" x14ac:dyDescent="0.2">
      <c r="A5" s="3">
        <v>1</v>
      </c>
      <c r="B5" s="3">
        <v>3</v>
      </c>
    </row>
    <row r="6" spans="1:2" x14ac:dyDescent="0.2">
      <c r="A6" s="3">
        <v>3</v>
      </c>
      <c r="B6" s="3">
        <v>2</v>
      </c>
    </row>
    <row r="7" spans="1:2" x14ac:dyDescent="0.2">
      <c r="A7" s="3">
        <v>0</v>
      </c>
      <c r="B7" s="3">
        <v>2</v>
      </c>
    </row>
    <row r="8" spans="1:2" x14ac:dyDescent="0.2">
      <c r="A8" s="3">
        <v>1</v>
      </c>
      <c r="B8" s="3">
        <v>0</v>
      </c>
    </row>
    <row r="9" spans="1:2" x14ac:dyDescent="0.2">
      <c r="A9" s="3">
        <v>3</v>
      </c>
      <c r="B9" s="3">
        <v>1</v>
      </c>
    </row>
    <row r="10" spans="1:2" x14ac:dyDescent="0.2">
      <c r="A10" s="3">
        <v>2</v>
      </c>
      <c r="B10" s="3">
        <v>3</v>
      </c>
    </row>
    <row r="11" spans="1:2" x14ac:dyDescent="0.2">
      <c r="A11" s="3">
        <v>4</v>
      </c>
      <c r="B11" s="3">
        <v>6</v>
      </c>
    </row>
    <row r="12" spans="1:2" x14ac:dyDescent="0.2">
      <c r="A12" s="3">
        <v>1</v>
      </c>
      <c r="B12" s="3">
        <v>3</v>
      </c>
    </row>
    <row r="13" spans="1:2" x14ac:dyDescent="0.2">
      <c r="A13" s="3">
        <v>1</v>
      </c>
      <c r="B13" s="3">
        <v>1</v>
      </c>
    </row>
    <row r="14" spans="1:2" x14ac:dyDescent="0.2">
      <c r="A14" s="3">
        <v>4</v>
      </c>
      <c r="B14" s="3">
        <v>0</v>
      </c>
    </row>
    <row r="15" spans="1:2" x14ac:dyDescent="0.2">
      <c r="A15" s="3">
        <v>1</v>
      </c>
      <c r="B15" s="3">
        <v>1</v>
      </c>
    </row>
    <row r="16" spans="1:2" x14ac:dyDescent="0.2">
      <c r="A16" s="3">
        <v>2</v>
      </c>
      <c r="B16" s="3">
        <v>2</v>
      </c>
    </row>
    <row r="17" spans="1:2" x14ac:dyDescent="0.2">
      <c r="A17" s="3">
        <v>1</v>
      </c>
      <c r="B17" s="3">
        <v>5</v>
      </c>
    </row>
    <row r="18" spans="1:2" x14ac:dyDescent="0.2">
      <c r="A18" s="3">
        <v>2</v>
      </c>
      <c r="B18" s="3">
        <v>0</v>
      </c>
    </row>
    <row r="19" spans="1:2" x14ac:dyDescent="0.2">
      <c r="A19" s="3">
        <v>4</v>
      </c>
      <c r="B19" s="3">
        <v>2</v>
      </c>
    </row>
    <row r="20" spans="1:2" x14ac:dyDescent="0.2">
      <c r="A20" s="3">
        <v>1</v>
      </c>
      <c r="B20" s="3">
        <v>3</v>
      </c>
    </row>
    <row r="21" spans="1:2" x14ac:dyDescent="0.2">
      <c r="A21" s="3">
        <v>1</v>
      </c>
      <c r="B21" s="3">
        <v>0</v>
      </c>
    </row>
    <row r="22" spans="1:2" x14ac:dyDescent="0.2">
      <c r="A22" s="3">
        <v>3</v>
      </c>
      <c r="B22" s="3">
        <v>2</v>
      </c>
    </row>
    <row r="23" spans="1:2" x14ac:dyDescent="0.2">
      <c r="A23" s="3">
        <v>2</v>
      </c>
      <c r="B23" s="3">
        <v>5</v>
      </c>
    </row>
    <row r="24" spans="1:2" x14ac:dyDescent="0.2">
      <c r="A24" s="3">
        <v>4</v>
      </c>
      <c r="B24" s="3">
        <v>1</v>
      </c>
    </row>
    <row r="25" spans="1:2" x14ac:dyDescent="0.2">
      <c r="A25" s="3">
        <v>4</v>
      </c>
      <c r="B25" s="3">
        <v>2</v>
      </c>
    </row>
    <row r="26" spans="1:2" x14ac:dyDescent="0.2">
      <c r="A26" s="3">
        <v>0</v>
      </c>
      <c r="B26" s="3">
        <v>1</v>
      </c>
    </row>
    <row r="27" spans="1:2" x14ac:dyDescent="0.2">
      <c r="A27" s="3">
        <v>3</v>
      </c>
      <c r="B27" s="3">
        <v>1</v>
      </c>
    </row>
    <row r="28" spans="1:2" x14ac:dyDescent="0.2">
      <c r="A28" s="3">
        <v>3</v>
      </c>
      <c r="B28" s="3">
        <v>2</v>
      </c>
    </row>
    <row r="29" spans="1:2" x14ac:dyDescent="0.2">
      <c r="A29" s="3">
        <v>1</v>
      </c>
      <c r="B29" s="3">
        <v>3</v>
      </c>
    </row>
    <row r="30" spans="1:2" x14ac:dyDescent="0.2">
      <c r="A30" s="3">
        <v>2</v>
      </c>
      <c r="B30" s="3">
        <v>3</v>
      </c>
    </row>
    <row r="31" spans="1:2" x14ac:dyDescent="0.2">
      <c r="A31" s="3">
        <v>1</v>
      </c>
      <c r="B31" s="3">
        <v>0</v>
      </c>
    </row>
    <row r="32" spans="1:2" x14ac:dyDescent="0.2">
      <c r="A32" s="3">
        <v>3</v>
      </c>
      <c r="B32" s="3">
        <v>1</v>
      </c>
    </row>
    <row r="33" spans="1:2" x14ac:dyDescent="0.2">
      <c r="A33" s="3">
        <v>5</v>
      </c>
      <c r="B33" s="3">
        <v>3</v>
      </c>
    </row>
    <row r="34" spans="1:2" x14ac:dyDescent="0.2">
      <c r="A34" s="3">
        <v>3</v>
      </c>
      <c r="B34" s="3">
        <v>0</v>
      </c>
    </row>
    <row r="35" spans="1:2" x14ac:dyDescent="0.2">
      <c r="A35" s="3">
        <v>3</v>
      </c>
      <c r="B35" s="3">
        <v>1</v>
      </c>
    </row>
    <row r="36" spans="1:2" x14ac:dyDescent="0.2">
      <c r="A36" s="3">
        <v>2</v>
      </c>
      <c r="B36" s="3">
        <v>2</v>
      </c>
    </row>
    <row r="37" spans="1:2" x14ac:dyDescent="0.2">
      <c r="A37" s="3">
        <v>2</v>
      </c>
      <c r="B37" s="3">
        <v>2</v>
      </c>
    </row>
    <row r="38" spans="1:2" x14ac:dyDescent="0.2">
      <c r="A38" s="3">
        <v>3</v>
      </c>
      <c r="B38" s="3">
        <v>1</v>
      </c>
    </row>
    <row r="39" spans="1:2" x14ac:dyDescent="0.2">
      <c r="A39" s="3">
        <v>3</v>
      </c>
      <c r="B39" s="3">
        <v>3</v>
      </c>
    </row>
    <row r="40" spans="1:2" x14ac:dyDescent="0.2">
      <c r="A40" s="3">
        <v>3</v>
      </c>
      <c r="B40" s="3">
        <v>2</v>
      </c>
    </row>
    <row r="41" spans="1:2" x14ac:dyDescent="0.2">
      <c r="A41" s="3">
        <v>1</v>
      </c>
      <c r="B41" s="3">
        <v>1</v>
      </c>
    </row>
    <row r="42" spans="1:2" x14ac:dyDescent="0.2">
      <c r="A42" s="3">
        <v>0</v>
      </c>
      <c r="B42" s="3">
        <v>2</v>
      </c>
    </row>
    <row r="43" spans="1:2" x14ac:dyDescent="0.2">
      <c r="A43" s="3">
        <v>3</v>
      </c>
      <c r="B43" s="3">
        <v>0</v>
      </c>
    </row>
    <row r="44" spans="1:2" x14ac:dyDescent="0.2">
      <c r="A44" s="3">
        <v>1</v>
      </c>
      <c r="B44" s="3">
        <v>2</v>
      </c>
    </row>
    <row r="45" spans="1:2" x14ac:dyDescent="0.2">
      <c r="A45" s="3">
        <v>3</v>
      </c>
      <c r="B45" s="3">
        <v>1</v>
      </c>
    </row>
    <row r="46" spans="1:2" x14ac:dyDescent="0.2">
      <c r="A46" s="3">
        <v>0</v>
      </c>
      <c r="B46" s="3">
        <v>2</v>
      </c>
    </row>
    <row r="47" spans="1:2" x14ac:dyDescent="0.2">
      <c r="A47" s="3">
        <v>0</v>
      </c>
      <c r="B47" s="3">
        <v>2</v>
      </c>
    </row>
    <row r="48" spans="1:2" x14ac:dyDescent="0.2">
      <c r="A48" s="3">
        <v>1</v>
      </c>
      <c r="B48" s="3">
        <v>0</v>
      </c>
    </row>
    <row r="49" spans="1:2" x14ac:dyDescent="0.2">
      <c r="A49" s="3">
        <v>3</v>
      </c>
      <c r="B49" s="3">
        <v>6</v>
      </c>
    </row>
    <row r="50" spans="1:2" x14ac:dyDescent="0.2">
      <c r="A50" s="3">
        <v>3</v>
      </c>
      <c r="B50" s="3">
        <v>1</v>
      </c>
    </row>
    <row r="51" spans="1:2" x14ac:dyDescent="0.2">
      <c r="A51" s="3">
        <v>0</v>
      </c>
      <c r="B51" s="3">
        <v>4</v>
      </c>
    </row>
    <row r="52" spans="1:2" x14ac:dyDescent="0.2">
      <c r="A52" s="3">
        <v>1</v>
      </c>
      <c r="B52" s="3">
        <v>6</v>
      </c>
    </row>
    <row r="53" spans="1:2" x14ac:dyDescent="0.2">
      <c r="A53" s="3">
        <v>3</v>
      </c>
      <c r="B53" s="3">
        <v>2</v>
      </c>
    </row>
    <row r="54" spans="1:2" x14ac:dyDescent="0.2">
      <c r="A54" s="3">
        <v>0</v>
      </c>
      <c r="B54" s="3">
        <v>2</v>
      </c>
    </row>
    <row r="55" spans="1:2" x14ac:dyDescent="0.2">
      <c r="A55" s="3">
        <v>1</v>
      </c>
      <c r="B55" s="3">
        <v>2</v>
      </c>
    </row>
    <row r="56" spans="1:2" x14ac:dyDescent="0.2">
      <c r="A56" s="3">
        <v>4</v>
      </c>
      <c r="B56" s="3">
        <v>3</v>
      </c>
    </row>
    <row r="57" spans="1:2" x14ac:dyDescent="0.2">
      <c r="A57" s="3">
        <v>1</v>
      </c>
      <c r="B57" s="3">
        <v>4</v>
      </c>
    </row>
    <row r="58" spans="1:2" x14ac:dyDescent="0.2">
      <c r="A58" s="3">
        <v>1</v>
      </c>
      <c r="B58" s="3">
        <v>1</v>
      </c>
    </row>
    <row r="59" spans="1:2" x14ac:dyDescent="0.2">
      <c r="A59" s="3">
        <v>3</v>
      </c>
      <c r="B59" s="3">
        <v>1</v>
      </c>
    </row>
    <row r="60" spans="1:2" x14ac:dyDescent="0.2">
      <c r="A60" s="3">
        <v>3</v>
      </c>
      <c r="B60" s="3">
        <v>4</v>
      </c>
    </row>
    <row r="61" spans="1:2" x14ac:dyDescent="0.2">
      <c r="A61" s="3">
        <v>0</v>
      </c>
      <c r="B61" s="3">
        <v>2</v>
      </c>
    </row>
    <row r="62" spans="1:2" x14ac:dyDescent="0.2">
      <c r="A62" s="3">
        <v>4</v>
      </c>
      <c r="B62" s="3">
        <v>3</v>
      </c>
    </row>
    <row r="63" spans="1:2" x14ac:dyDescent="0.2">
      <c r="A63" s="3">
        <v>0</v>
      </c>
      <c r="B63" s="3">
        <v>3</v>
      </c>
    </row>
    <row r="64" spans="1:2" x14ac:dyDescent="0.2">
      <c r="A64" s="3">
        <v>2</v>
      </c>
      <c r="B64" s="3">
        <v>2</v>
      </c>
    </row>
    <row r="65" spans="1:2" x14ac:dyDescent="0.2">
      <c r="A65" s="3">
        <v>2</v>
      </c>
      <c r="B65" s="3">
        <v>1</v>
      </c>
    </row>
    <row r="66" spans="1:2" x14ac:dyDescent="0.2">
      <c r="A66" s="3">
        <v>3</v>
      </c>
      <c r="B66" s="3">
        <v>2</v>
      </c>
    </row>
    <row r="67" spans="1:2" x14ac:dyDescent="0.2">
      <c r="A67" s="3">
        <v>0</v>
      </c>
      <c r="B67" s="3">
        <v>1</v>
      </c>
    </row>
    <row r="68" spans="1:2" x14ac:dyDescent="0.2">
      <c r="A68" s="3">
        <v>4</v>
      </c>
      <c r="B68" s="3">
        <v>1</v>
      </c>
    </row>
    <row r="69" spans="1:2" x14ac:dyDescent="0.2">
      <c r="A69" s="3">
        <v>1</v>
      </c>
      <c r="B69" s="3">
        <v>2</v>
      </c>
    </row>
    <row r="70" spans="1:2" x14ac:dyDescent="0.2">
      <c r="A70" s="3">
        <v>1</v>
      </c>
      <c r="B70" s="3">
        <v>1</v>
      </c>
    </row>
    <row r="71" spans="1:2" x14ac:dyDescent="0.2">
      <c r="A71" s="3">
        <v>1</v>
      </c>
      <c r="B71" s="3">
        <v>2</v>
      </c>
    </row>
    <row r="72" spans="1:2" x14ac:dyDescent="0.2">
      <c r="A72" s="3">
        <v>3</v>
      </c>
      <c r="B72" s="3">
        <v>3</v>
      </c>
    </row>
    <row r="73" spans="1:2" x14ac:dyDescent="0.2">
      <c r="A73" s="3">
        <v>3</v>
      </c>
      <c r="B73" s="3">
        <v>2</v>
      </c>
    </row>
    <row r="74" spans="1:2" x14ac:dyDescent="0.2">
      <c r="A74" s="3">
        <v>3</v>
      </c>
      <c r="B74" s="3">
        <v>3</v>
      </c>
    </row>
    <row r="75" spans="1:2" x14ac:dyDescent="0.2">
      <c r="A75" s="3">
        <v>2</v>
      </c>
      <c r="B75" s="3">
        <v>0</v>
      </c>
    </row>
    <row r="76" spans="1:2" x14ac:dyDescent="0.2">
      <c r="A76" s="3">
        <v>2</v>
      </c>
      <c r="B76" s="3">
        <v>0</v>
      </c>
    </row>
    <row r="77" spans="1:2" x14ac:dyDescent="0.2">
      <c r="A77" s="3">
        <v>2</v>
      </c>
      <c r="B77" s="3">
        <v>0</v>
      </c>
    </row>
    <row r="78" spans="1:2" x14ac:dyDescent="0.2">
      <c r="A78" s="3">
        <v>2</v>
      </c>
      <c r="B78" s="3">
        <v>1</v>
      </c>
    </row>
    <row r="79" spans="1:2" x14ac:dyDescent="0.2">
      <c r="A79" s="3">
        <v>1</v>
      </c>
      <c r="B79" s="3">
        <v>4</v>
      </c>
    </row>
    <row r="80" spans="1:2" x14ac:dyDescent="0.2">
      <c r="A80" s="3">
        <v>3</v>
      </c>
      <c r="B80" s="3">
        <v>3</v>
      </c>
    </row>
    <row r="81" spans="1:2" x14ac:dyDescent="0.2">
      <c r="A81" s="3">
        <v>3</v>
      </c>
      <c r="B81" s="3">
        <v>2</v>
      </c>
    </row>
    <row r="82" spans="1:2" x14ac:dyDescent="0.2">
      <c r="A82" s="3">
        <v>1</v>
      </c>
      <c r="B82" s="3">
        <v>4</v>
      </c>
    </row>
    <row r="83" spans="1:2" x14ac:dyDescent="0.2">
      <c r="A83" s="3">
        <v>3</v>
      </c>
      <c r="B83" s="3">
        <v>2</v>
      </c>
    </row>
    <row r="84" spans="1:2" x14ac:dyDescent="0.2">
      <c r="A84" s="3">
        <v>3</v>
      </c>
      <c r="B84" s="3">
        <v>0</v>
      </c>
    </row>
    <row r="85" spans="1:2" x14ac:dyDescent="0.2">
      <c r="A85" s="3">
        <v>1</v>
      </c>
      <c r="B85" s="3">
        <v>0</v>
      </c>
    </row>
    <row r="86" spans="1:2" x14ac:dyDescent="0.2">
      <c r="A86" s="3">
        <v>0</v>
      </c>
      <c r="B86" s="3">
        <v>1</v>
      </c>
    </row>
    <row r="87" spans="1:2" x14ac:dyDescent="0.2">
      <c r="A87" s="3">
        <v>1</v>
      </c>
      <c r="B87" s="3">
        <v>1</v>
      </c>
    </row>
    <row r="88" spans="1:2" x14ac:dyDescent="0.2">
      <c r="A88" s="3">
        <v>1</v>
      </c>
      <c r="B88" s="3">
        <v>3</v>
      </c>
    </row>
    <row r="89" spans="1:2" x14ac:dyDescent="0.2">
      <c r="A89" s="3">
        <v>1</v>
      </c>
      <c r="B89" s="3">
        <v>1</v>
      </c>
    </row>
    <row r="90" spans="1:2" x14ac:dyDescent="0.2">
      <c r="A90" s="3">
        <v>5</v>
      </c>
      <c r="B90" s="3">
        <v>1</v>
      </c>
    </row>
    <row r="91" spans="1:2" x14ac:dyDescent="0.2">
      <c r="A91" s="3">
        <v>1</v>
      </c>
      <c r="B91" s="3">
        <v>2</v>
      </c>
    </row>
    <row r="92" spans="1:2" x14ac:dyDescent="0.2">
      <c r="A92" s="3">
        <v>5</v>
      </c>
      <c r="B92" s="3">
        <v>3</v>
      </c>
    </row>
    <row r="93" spans="1:2" x14ac:dyDescent="0.2">
      <c r="A93" s="3">
        <v>0</v>
      </c>
      <c r="B93" s="3">
        <v>1</v>
      </c>
    </row>
    <row r="94" spans="1:2" x14ac:dyDescent="0.2">
      <c r="A94" s="3">
        <v>2</v>
      </c>
      <c r="B94" s="3">
        <v>3</v>
      </c>
    </row>
    <row r="95" spans="1:2" x14ac:dyDescent="0.2">
      <c r="A95" s="3">
        <v>1</v>
      </c>
      <c r="B95" s="3">
        <v>2</v>
      </c>
    </row>
    <row r="96" spans="1:2" x14ac:dyDescent="0.2">
      <c r="A96" s="3">
        <v>4</v>
      </c>
      <c r="B96" s="3">
        <v>3</v>
      </c>
    </row>
    <row r="97" spans="1:2" x14ac:dyDescent="0.2">
      <c r="A97" s="3">
        <v>0</v>
      </c>
      <c r="B97" s="3">
        <v>1</v>
      </c>
    </row>
    <row r="98" spans="1:2" x14ac:dyDescent="0.2">
      <c r="A98" s="3">
        <v>0</v>
      </c>
      <c r="B98" s="3">
        <v>2</v>
      </c>
    </row>
    <row r="99" spans="1:2" x14ac:dyDescent="0.2">
      <c r="A99" s="3">
        <v>2</v>
      </c>
      <c r="B99" s="3">
        <v>0</v>
      </c>
    </row>
    <row r="100" spans="1:2" x14ac:dyDescent="0.2">
      <c r="A100" s="3">
        <v>2</v>
      </c>
      <c r="B100" s="3">
        <v>3</v>
      </c>
    </row>
    <row r="101" spans="1:2" x14ac:dyDescent="0.2">
      <c r="A101" s="3">
        <v>3</v>
      </c>
      <c r="B101" s="3">
        <v>0</v>
      </c>
    </row>
    <row r="102" spans="1:2" x14ac:dyDescent="0.2">
      <c r="A102" s="3">
        <v>1</v>
      </c>
      <c r="B102" s="3">
        <v>2</v>
      </c>
    </row>
    <row r="103" spans="1:2" x14ac:dyDescent="0.2">
      <c r="A103" s="3">
        <v>4</v>
      </c>
      <c r="B103" s="3">
        <v>3</v>
      </c>
    </row>
    <row r="104" spans="1:2" x14ac:dyDescent="0.2">
      <c r="A104" s="3">
        <v>2</v>
      </c>
      <c r="B104" s="3">
        <v>0</v>
      </c>
    </row>
    <row r="105" spans="1:2" x14ac:dyDescent="0.2">
      <c r="A105" s="3">
        <v>1</v>
      </c>
      <c r="B105" s="3">
        <v>3</v>
      </c>
    </row>
    <row r="106" spans="1:2" x14ac:dyDescent="0.2">
      <c r="A106" s="3">
        <v>3</v>
      </c>
      <c r="B106" s="3">
        <v>0</v>
      </c>
    </row>
    <row r="107" spans="1:2" x14ac:dyDescent="0.2">
      <c r="A107" s="3">
        <v>1</v>
      </c>
      <c r="B107" s="3">
        <v>0</v>
      </c>
    </row>
    <row r="108" spans="1:2" x14ac:dyDescent="0.2">
      <c r="A108" s="3">
        <v>0</v>
      </c>
      <c r="B108" s="3">
        <v>1</v>
      </c>
    </row>
    <row r="109" spans="1:2" x14ac:dyDescent="0.2">
      <c r="A109" s="3">
        <v>0</v>
      </c>
      <c r="B109" s="3">
        <v>2</v>
      </c>
    </row>
    <row r="110" spans="1:2" x14ac:dyDescent="0.2">
      <c r="A110" s="3">
        <v>2</v>
      </c>
      <c r="B110" s="3">
        <v>2</v>
      </c>
    </row>
    <row r="111" spans="1:2" x14ac:dyDescent="0.2">
      <c r="A111" s="3">
        <v>1</v>
      </c>
      <c r="B111" s="3">
        <v>3</v>
      </c>
    </row>
    <row r="112" spans="1:2" x14ac:dyDescent="0.2">
      <c r="A112" s="3">
        <v>4</v>
      </c>
      <c r="B112" s="3">
        <v>1</v>
      </c>
    </row>
    <row r="113" spans="1:2" x14ac:dyDescent="0.2">
      <c r="A113" s="3">
        <v>0</v>
      </c>
      <c r="B113" s="3">
        <v>2</v>
      </c>
    </row>
    <row r="114" spans="1:2" x14ac:dyDescent="0.2">
      <c r="A114" s="3">
        <v>3</v>
      </c>
      <c r="B114" s="3">
        <v>2</v>
      </c>
    </row>
    <row r="115" spans="1:2" x14ac:dyDescent="0.2">
      <c r="A115" s="3">
        <v>3</v>
      </c>
      <c r="B115" s="3">
        <v>3</v>
      </c>
    </row>
    <row r="116" spans="1:2" x14ac:dyDescent="0.2">
      <c r="A116" s="3">
        <v>2</v>
      </c>
      <c r="B116" s="3">
        <v>2</v>
      </c>
    </row>
    <row r="117" spans="1:2" x14ac:dyDescent="0.2">
      <c r="A117" s="3">
        <v>5</v>
      </c>
      <c r="B117" s="3">
        <v>3</v>
      </c>
    </row>
    <row r="118" spans="1:2" x14ac:dyDescent="0.2">
      <c r="A118" s="3">
        <v>1</v>
      </c>
      <c r="B118" s="3">
        <v>3</v>
      </c>
    </row>
    <row r="119" spans="1:2" x14ac:dyDescent="0.2">
      <c r="A119" s="3">
        <v>2</v>
      </c>
      <c r="B119" s="3">
        <v>3</v>
      </c>
    </row>
    <row r="120" spans="1:2" x14ac:dyDescent="0.2">
      <c r="A120" s="3">
        <v>1</v>
      </c>
    </row>
    <row r="121" spans="1:2" x14ac:dyDescent="0.2">
      <c r="A121" s="3">
        <v>1</v>
      </c>
    </row>
    <row r="122" spans="1:2" x14ac:dyDescent="0.2">
      <c r="A122" s="3">
        <v>4</v>
      </c>
    </row>
    <row r="123" spans="1:2" x14ac:dyDescent="0.2">
      <c r="A123" s="3">
        <v>0</v>
      </c>
    </row>
    <row r="124" spans="1:2" x14ac:dyDescent="0.2">
      <c r="A124" s="3">
        <v>1</v>
      </c>
    </row>
    <row r="125" spans="1:2" x14ac:dyDescent="0.2">
      <c r="A125" s="3">
        <v>3</v>
      </c>
    </row>
    <row r="126" spans="1:2" x14ac:dyDescent="0.2">
      <c r="A126" s="3">
        <v>4</v>
      </c>
    </row>
    <row r="127" spans="1:2" x14ac:dyDescent="0.2">
      <c r="A127" s="3">
        <v>0</v>
      </c>
    </row>
    <row r="128" spans="1:2" x14ac:dyDescent="0.2">
      <c r="A128" s="3">
        <v>2</v>
      </c>
    </row>
    <row r="129" spans="1:1" x14ac:dyDescent="0.2">
      <c r="A129" s="3">
        <v>2</v>
      </c>
    </row>
    <row r="130" spans="1:1" x14ac:dyDescent="0.2">
      <c r="A130" s="3">
        <v>2</v>
      </c>
    </row>
    <row r="131" spans="1:1" x14ac:dyDescent="0.2">
      <c r="A131" s="3">
        <v>1</v>
      </c>
    </row>
    <row r="132" spans="1:1" x14ac:dyDescent="0.2">
      <c r="A132" s="3">
        <v>4</v>
      </c>
    </row>
    <row r="133" spans="1:1" x14ac:dyDescent="0.2">
      <c r="A133" s="3">
        <v>5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C1D29-7D4D-BD4C-9021-1C22A3647682}">
  <dimension ref="A1:B133"/>
  <sheetViews>
    <sheetView workbookViewId="0">
      <selection sqref="A1:B133"/>
    </sheetView>
  </sheetViews>
  <sheetFormatPr baseColWidth="10" defaultRowHeight="15" x14ac:dyDescent="0.2"/>
  <sheetData>
    <row r="1" spans="1:2" x14ac:dyDescent="0.2">
      <c r="A1" s="3" t="s">
        <v>71</v>
      </c>
      <c r="B1" s="3" t="s">
        <v>13</v>
      </c>
    </row>
    <row r="2" spans="1:2" x14ac:dyDescent="0.2">
      <c r="A2" s="3">
        <v>41.6</v>
      </c>
      <c r="B2" s="3">
        <v>52.7</v>
      </c>
    </row>
    <row r="3" spans="1:2" x14ac:dyDescent="0.2">
      <c r="A3" s="3">
        <v>68</v>
      </c>
      <c r="B3" s="3">
        <v>16.8</v>
      </c>
    </row>
    <row r="4" spans="1:2" x14ac:dyDescent="0.2">
      <c r="A4" s="3">
        <v>21.9</v>
      </c>
      <c r="B4" s="3">
        <v>66.099999999999994</v>
      </c>
    </row>
    <row r="5" spans="1:2" x14ac:dyDescent="0.2">
      <c r="A5" s="3">
        <v>7.8</v>
      </c>
      <c r="B5" s="3">
        <v>79.099999999999994</v>
      </c>
    </row>
    <row r="6" spans="1:2" x14ac:dyDescent="0.2">
      <c r="A6" s="3">
        <v>20.9</v>
      </c>
      <c r="B6" s="3">
        <v>25.6</v>
      </c>
    </row>
    <row r="7" spans="1:2" x14ac:dyDescent="0.2">
      <c r="A7" s="3">
        <v>22.2</v>
      </c>
      <c r="B7" s="3">
        <v>18.100000000000001</v>
      </c>
    </row>
    <row r="8" spans="1:2" x14ac:dyDescent="0.2">
      <c r="A8" s="3">
        <v>43.2</v>
      </c>
      <c r="B8" s="3">
        <v>5.2</v>
      </c>
    </row>
    <row r="9" spans="1:2" x14ac:dyDescent="0.2">
      <c r="A9" s="3">
        <v>53.5</v>
      </c>
      <c r="B9" s="3">
        <v>41.8</v>
      </c>
    </row>
    <row r="10" spans="1:2" x14ac:dyDescent="0.2">
      <c r="A10" s="3">
        <v>73.7</v>
      </c>
      <c r="B10" s="3">
        <v>88.1</v>
      </c>
    </row>
    <row r="11" spans="1:2" x14ac:dyDescent="0.2">
      <c r="A11" s="3">
        <v>71.8</v>
      </c>
      <c r="B11" s="3">
        <v>14.9</v>
      </c>
    </row>
    <row r="12" spans="1:2" x14ac:dyDescent="0.2">
      <c r="A12" s="3">
        <v>61.9</v>
      </c>
      <c r="B12" s="3">
        <v>26.4</v>
      </c>
    </row>
    <row r="13" spans="1:2" x14ac:dyDescent="0.2">
      <c r="A13" s="3">
        <v>62.2</v>
      </c>
      <c r="B13" s="3">
        <v>10</v>
      </c>
    </row>
    <row r="14" spans="1:2" x14ac:dyDescent="0.2">
      <c r="A14" s="3">
        <v>7.2</v>
      </c>
      <c r="B14" s="3">
        <v>51.2</v>
      </c>
    </row>
    <row r="15" spans="1:2" x14ac:dyDescent="0.2">
      <c r="A15" s="3">
        <v>35.6</v>
      </c>
      <c r="B15" s="3">
        <v>71.099999999999994</v>
      </c>
    </row>
    <row r="16" spans="1:2" x14ac:dyDescent="0.2">
      <c r="A16" s="3">
        <v>65.5</v>
      </c>
      <c r="B16" s="3">
        <v>75.900000000000006</v>
      </c>
    </row>
    <row r="17" spans="1:2" x14ac:dyDescent="0.2">
      <c r="A17" s="3">
        <v>19.2</v>
      </c>
      <c r="B17" s="3">
        <v>83.4</v>
      </c>
    </row>
    <row r="18" spans="1:2" x14ac:dyDescent="0.2">
      <c r="A18" s="3">
        <v>98.3</v>
      </c>
      <c r="B18" s="3">
        <v>54.4</v>
      </c>
    </row>
    <row r="19" spans="1:2" x14ac:dyDescent="0.2">
      <c r="A19" s="3">
        <v>24.9</v>
      </c>
      <c r="B19" s="3">
        <v>27.4</v>
      </c>
    </row>
    <row r="20" spans="1:2" x14ac:dyDescent="0.2">
      <c r="A20" s="3">
        <v>40.5</v>
      </c>
      <c r="B20" s="3">
        <v>10.9</v>
      </c>
    </row>
    <row r="21" spans="1:2" x14ac:dyDescent="0.2">
      <c r="A21" s="3">
        <v>16.600000000000001</v>
      </c>
      <c r="B21" s="3">
        <v>81.099999999999994</v>
      </c>
    </row>
    <row r="22" spans="1:2" x14ac:dyDescent="0.2">
      <c r="A22" s="3">
        <v>74.900000000000006</v>
      </c>
      <c r="B22" s="3">
        <v>77.8</v>
      </c>
    </row>
    <row r="23" spans="1:2" x14ac:dyDescent="0.2">
      <c r="A23" s="3">
        <v>40.299999999999997</v>
      </c>
      <c r="B23" s="3">
        <v>33.4</v>
      </c>
    </row>
    <row r="24" spans="1:2" x14ac:dyDescent="0.2">
      <c r="A24" s="3">
        <v>74.7</v>
      </c>
      <c r="B24" s="3">
        <v>52.1</v>
      </c>
    </row>
    <row r="25" spans="1:2" x14ac:dyDescent="0.2">
      <c r="A25" s="3">
        <v>21.5</v>
      </c>
      <c r="B25" s="3">
        <v>70.2</v>
      </c>
    </row>
    <row r="26" spans="1:2" x14ac:dyDescent="0.2">
      <c r="A26" s="3">
        <v>65.599999999999994</v>
      </c>
      <c r="B26" s="3">
        <v>24.3</v>
      </c>
    </row>
    <row r="27" spans="1:2" x14ac:dyDescent="0.2">
      <c r="A27" s="3">
        <v>21.9</v>
      </c>
      <c r="B27" s="3">
        <v>58.7</v>
      </c>
    </row>
    <row r="28" spans="1:2" x14ac:dyDescent="0.2">
      <c r="A28" s="3">
        <v>99.2</v>
      </c>
      <c r="B28" s="3">
        <v>71.5</v>
      </c>
    </row>
    <row r="29" spans="1:2" x14ac:dyDescent="0.2">
      <c r="A29" s="3">
        <v>76</v>
      </c>
      <c r="B29" s="3">
        <v>60.7</v>
      </c>
    </row>
    <row r="30" spans="1:2" x14ac:dyDescent="0.2">
      <c r="A30" s="3">
        <v>75.3</v>
      </c>
      <c r="B30" s="3">
        <v>93.3</v>
      </c>
    </row>
    <row r="31" spans="1:2" x14ac:dyDescent="0.2">
      <c r="A31" s="3">
        <v>95.3</v>
      </c>
      <c r="B31" s="3">
        <v>10.3</v>
      </c>
    </row>
    <row r="32" spans="1:2" x14ac:dyDescent="0.2">
      <c r="A32" s="3">
        <v>98.1</v>
      </c>
      <c r="B32" s="3">
        <v>86</v>
      </c>
    </row>
    <row r="33" spans="1:2" x14ac:dyDescent="0.2">
      <c r="A33" s="3">
        <v>20.7</v>
      </c>
      <c r="B33" s="3">
        <v>26.4</v>
      </c>
    </row>
    <row r="34" spans="1:2" x14ac:dyDescent="0.2">
      <c r="A34" s="3">
        <v>60.7</v>
      </c>
      <c r="B34" s="3">
        <v>40.799999999999997</v>
      </c>
    </row>
    <row r="35" spans="1:2" x14ac:dyDescent="0.2">
      <c r="A35" s="3">
        <v>71.3</v>
      </c>
      <c r="B35" s="3">
        <v>50.7</v>
      </c>
    </row>
    <row r="36" spans="1:2" x14ac:dyDescent="0.2">
      <c r="A36" s="3">
        <v>79.3</v>
      </c>
      <c r="B36" s="3">
        <v>94</v>
      </c>
    </row>
    <row r="37" spans="1:2" x14ac:dyDescent="0.2">
      <c r="A37" s="3">
        <v>48.9</v>
      </c>
      <c r="B37" s="3">
        <v>72.099999999999994</v>
      </c>
    </row>
    <row r="38" spans="1:2" x14ac:dyDescent="0.2">
      <c r="A38" s="3">
        <v>46.3</v>
      </c>
      <c r="B38" s="3">
        <v>65</v>
      </c>
    </row>
    <row r="39" spans="1:2" x14ac:dyDescent="0.2">
      <c r="A39" s="3">
        <v>91.4</v>
      </c>
      <c r="B39" s="3">
        <v>9.6999999999999993</v>
      </c>
    </row>
    <row r="40" spans="1:2" x14ac:dyDescent="0.2">
      <c r="A40" s="3">
        <v>79.099999999999994</v>
      </c>
      <c r="B40" s="3">
        <v>90.9</v>
      </c>
    </row>
    <row r="41" spans="1:2" x14ac:dyDescent="0.2">
      <c r="A41" s="3">
        <v>10.4</v>
      </c>
      <c r="B41" s="3">
        <v>5.7</v>
      </c>
    </row>
    <row r="42" spans="1:2" x14ac:dyDescent="0.2">
      <c r="A42" s="3">
        <v>42.9</v>
      </c>
      <c r="B42" s="3">
        <v>26.4</v>
      </c>
    </row>
    <row r="43" spans="1:2" x14ac:dyDescent="0.2">
      <c r="A43" s="3">
        <v>92.6</v>
      </c>
      <c r="B43" s="3">
        <v>17.5</v>
      </c>
    </row>
    <row r="44" spans="1:2" x14ac:dyDescent="0.2">
      <c r="A44" s="3">
        <v>49.8</v>
      </c>
      <c r="B44" s="3">
        <v>31.9</v>
      </c>
    </row>
    <row r="45" spans="1:2" x14ac:dyDescent="0.2">
      <c r="A45" s="3">
        <v>6.3</v>
      </c>
      <c r="B45" s="3">
        <v>31.2</v>
      </c>
    </row>
    <row r="46" spans="1:2" x14ac:dyDescent="0.2">
      <c r="A46" s="3">
        <v>9.1999999999999993</v>
      </c>
      <c r="B46" s="3">
        <v>79.8</v>
      </c>
    </row>
    <row r="47" spans="1:2" x14ac:dyDescent="0.2">
      <c r="A47" s="3">
        <v>8.4</v>
      </c>
      <c r="B47" s="3">
        <v>97.6</v>
      </c>
    </row>
    <row r="48" spans="1:2" x14ac:dyDescent="0.2">
      <c r="A48" s="3">
        <v>31.2</v>
      </c>
      <c r="B48" s="3">
        <v>85.3</v>
      </c>
    </row>
    <row r="49" spans="1:2" x14ac:dyDescent="0.2">
      <c r="A49" s="3">
        <v>40.299999999999997</v>
      </c>
      <c r="B49" s="3">
        <v>30.5</v>
      </c>
    </row>
    <row r="50" spans="1:2" x14ac:dyDescent="0.2">
      <c r="A50" s="3">
        <v>45.7</v>
      </c>
      <c r="B50" s="3">
        <v>19.899999999999999</v>
      </c>
    </row>
    <row r="51" spans="1:2" x14ac:dyDescent="0.2">
      <c r="A51" s="3">
        <v>9.4</v>
      </c>
      <c r="B51" s="3">
        <v>86</v>
      </c>
    </row>
    <row r="52" spans="1:2" x14ac:dyDescent="0.2">
      <c r="A52" s="3">
        <v>63.9</v>
      </c>
      <c r="B52" s="3">
        <v>58.4</v>
      </c>
    </row>
    <row r="53" spans="1:2" x14ac:dyDescent="0.2">
      <c r="A53" s="3">
        <v>13.2</v>
      </c>
      <c r="B53" s="3">
        <v>37.9</v>
      </c>
    </row>
    <row r="54" spans="1:2" x14ac:dyDescent="0.2">
      <c r="A54" s="3">
        <v>27.5</v>
      </c>
      <c r="B54" s="3">
        <v>34.9</v>
      </c>
    </row>
    <row r="55" spans="1:2" x14ac:dyDescent="0.2">
      <c r="A55" s="3">
        <v>74.599999999999994</v>
      </c>
      <c r="B55" s="3">
        <v>78.3</v>
      </c>
    </row>
    <row r="56" spans="1:2" x14ac:dyDescent="0.2">
      <c r="A56" s="3">
        <v>17.2</v>
      </c>
      <c r="B56" s="3">
        <v>57.1</v>
      </c>
    </row>
    <row r="57" spans="1:2" x14ac:dyDescent="0.2">
      <c r="A57" s="3">
        <v>88.8</v>
      </c>
      <c r="B57" s="3">
        <v>79.8</v>
      </c>
    </row>
    <row r="58" spans="1:2" x14ac:dyDescent="0.2">
      <c r="A58" s="3">
        <v>42.4</v>
      </c>
      <c r="B58" s="3">
        <v>52</v>
      </c>
    </row>
    <row r="59" spans="1:2" x14ac:dyDescent="0.2">
      <c r="A59" s="3">
        <v>83.6</v>
      </c>
      <c r="B59" s="3">
        <v>98.1</v>
      </c>
    </row>
    <row r="60" spans="1:2" x14ac:dyDescent="0.2">
      <c r="A60" s="3">
        <v>64.3</v>
      </c>
      <c r="B60" s="3">
        <v>18.8</v>
      </c>
    </row>
    <row r="61" spans="1:2" x14ac:dyDescent="0.2">
      <c r="A61" s="3">
        <v>73.900000000000006</v>
      </c>
      <c r="B61" s="3">
        <v>34.299999999999997</v>
      </c>
    </row>
    <row r="62" spans="1:2" x14ac:dyDescent="0.2">
      <c r="A62" s="3">
        <v>23.2</v>
      </c>
      <c r="B62" s="3">
        <v>13.4</v>
      </c>
    </row>
    <row r="63" spans="1:2" x14ac:dyDescent="0.2">
      <c r="A63" s="3">
        <v>37.1</v>
      </c>
      <c r="B63" s="3">
        <v>70</v>
      </c>
    </row>
    <row r="64" spans="1:2" x14ac:dyDescent="0.2">
      <c r="A64" s="3">
        <v>95</v>
      </c>
      <c r="B64" s="3">
        <v>56.8</v>
      </c>
    </row>
    <row r="65" spans="1:2" x14ac:dyDescent="0.2">
      <c r="A65" s="3">
        <v>96.9</v>
      </c>
      <c r="B65" s="3">
        <v>98.1</v>
      </c>
    </row>
    <row r="66" spans="1:2" x14ac:dyDescent="0.2">
      <c r="A66" s="3">
        <v>22.4</v>
      </c>
      <c r="B66" s="3">
        <v>26.6</v>
      </c>
    </row>
    <row r="67" spans="1:2" x14ac:dyDescent="0.2">
      <c r="A67" s="3">
        <v>7.1</v>
      </c>
      <c r="B67" s="3">
        <v>43.4</v>
      </c>
    </row>
    <row r="68" spans="1:2" x14ac:dyDescent="0.2">
      <c r="A68" s="3">
        <v>73.400000000000006</v>
      </c>
      <c r="B68" s="3">
        <v>80.2</v>
      </c>
    </row>
    <row r="69" spans="1:2" x14ac:dyDescent="0.2">
      <c r="A69" s="3">
        <v>44.7</v>
      </c>
      <c r="B69" s="3">
        <v>57.1</v>
      </c>
    </row>
    <row r="70" spans="1:2" x14ac:dyDescent="0.2">
      <c r="A70" s="3">
        <v>56.5</v>
      </c>
      <c r="B70" s="3">
        <v>85.5</v>
      </c>
    </row>
    <row r="71" spans="1:2" x14ac:dyDescent="0.2">
      <c r="A71" s="3">
        <v>63.2</v>
      </c>
      <c r="B71" s="3">
        <v>68.099999999999994</v>
      </c>
    </row>
    <row r="72" spans="1:2" x14ac:dyDescent="0.2">
      <c r="A72" s="3">
        <v>26.5</v>
      </c>
      <c r="B72" s="3">
        <v>32.6</v>
      </c>
    </row>
    <row r="73" spans="1:2" x14ac:dyDescent="0.2">
      <c r="A73" s="3">
        <v>45.7</v>
      </c>
      <c r="B73" s="3">
        <v>79.8</v>
      </c>
    </row>
    <row r="74" spans="1:2" x14ac:dyDescent="0.2">
      <c r="A74" s="3">
        <v>18.399999999999999</v>
      </c>
      <c r="B74" s="3">
        <v>15.6</v>
      </c>
    </row>
    <row r="75" spans="1:2" x14ac:dyDescent="0.2">
      <c r="A75" s="3">
        <v>25.5</v>
      </c>
      <c r="B75" s="3">
        <v>80.400000000000006</v>
      </c>
    </row>
    <row r="76" spans="1:2" x14ac:dyDescent="0.2">
      <c r="A76" s="3">
        <v>14.3</v>
      </c>
      <c r="B76" s="3">
        <v>87.9</v>
      </c>
    </row>
    <row r="77" spans="1:2" x14ac:dyDescent="0.2">
      <c r="A77" s="3">
        <v>86.9</v>
      </c>
      <c r="B77" s="3">
        <v>76.599999999999994</v>
      </c>
    </row>
    <row r="78" spans="1:2" x14ac:dyDescent="0.2">
      <c r="A78" s="3">
        <v>48.7</v>
      </c>
      <c r="B78" s="3">
        <v>67.7</v>
      </c>
    </row>
    <row r="79" spans="1:2" x14ac:dyDescent="0.2">
      <c r="A79" s="3">
        <v>76.2</v>
      </c>
      <c r="B79" s="3">
        <v>29.3</v>
      </c>
    </row>
    <row r="80" spans="1:2" x14ac:dyDescent="0.2">
      <c r="A80" s="3">
        <v>38.799999999999997</v>
      </c>
      <c r="B80" s="3">
        <v>94.9</v>
      </c>
    </row>
    <row r="81" spans="1:2" x14ac:dyDescent="0.2">
      <c r="A81" s="3">
        <v>97.9</v>
      </c>
      <c r="B81" s="3">
        <v>58.2</v>
      </c>
    </row>
    <row r="82" spans="1:2" x14ac:dyDescent="0.2">
      <c r="A82" s="3">
        <v>52.2</v>
      </c>
      <c r="B82" s="3">
        <v>76.3</v>
      </c>
    </row>
    <row r="83" spans="1:2" x14ac:dyDescent="0.2">
      <c r="A83" s="3">
        <v>37.299999999999997</v>
      </c>
      <c r="B83" s="3">
        <v>58</v>
      </c>
    </row>
    <row r="84" spans="1:2" x14ac:dyDescent="0.2">
      <c r="A84" s="3">
        <v>56.8</v>
      </c>
      <c r="B84" s="3">
        <v>57.5</v>
      </c>
    </row>
    <row r="85" spans="1:2" x14ac:dyDescent="0.2">
      <c r="A85" s="3">
        <v>77.099999999999994</v>
      </c>
      <c r="B85" s="3">
        <v>47.9</v>
      </c>
    </row>
    <row r="86" spans="1:2" x14ac:dyDescent="0.2">
      <c r="A86" s="3">
        <v>6.7</v>
      </c>
      <c r="B86" s="3">
        <v>13.9</v>
      </c>
    </row>
    <row r="87" spans="1:2" x14ac:dyDescent="0.2">
      <c r="A87" s="3">
        <v>17</v>
      </c>
      <c r="B87" s="3">
        <v>38.9</v>
      </c>
    </row>
    <row r="88" spans="1:2" x14ac:dyDescent="0.2">
      <c r="A88" s="3">
        <v>20.399999999999999</v>
      </c>
      <c r="B88" s="3">
        <v>77</v>
      </c>
    </row>
    <row r="89" spans="1:2" x14ac:dyDescent="0.2">
      <c r="A89" s="3">
        <v>13.9</v>
      </c>
      <c r="B89" s="3">
        <v>31.3</v>
      </c>
    </row>
    <row r="90" spans="1:2" x14ac:dyDescent="0.2">
      <c r="A90" s="3">
        <v>37.6</v>
      </c>
      <c r="B90" s="3">
        <v>23.6</v>
      </c>
    </row>
    <row r="91" spans="1:2" x14ac:dyDescent="0.2">
      <c r="A91" s="3">
        <v>31.8</v>
      </c>
      <c r="B91" s="3">
        <v>20.8</v>
      </c>
    </row>
    <row r="92" spans="1:2" x14ac:dyDescent="0.2">
      <c r="A92" s="3">
        <v>42.1</v>
      </c>
      <c r="B92" s="3">
        <v>90.2</v>
      </c>
    </row>
    <row r="93" spans="1:2" x14ac:dyDescent="0.2">
      <c r="A93" s="3">
        <v>80.8</v>
      </c>
      <c r="B93" s="3">
        <v>61.8</v>
      </c>
    </row>
    <row r="94" spans="1:2" x14ac:dyDescent="0.2">
      <c r="A94" s="3">
        <v>40.299999999999997</v>
      </c>
      <c r="B94" s="3">
        <v>74.599999999999994</v>
      </c>
    </row>
    <row r="95" spans="1:2" x14ac:dyDescent="0.2">
      <c r="A95" s="3">
        <v>42.8</v>
      </c>
      <c r="B95" s="3">
        <v>96.9</v>
      </c>
    </row>
    <row r="96" spans="1:2" x14ac:dyDescent="0.2">
      <c r="A96" s="3">
        <v>13.9</v>
      </c>
      <c r="B96" s="3">
        <v>86.4</v>
      </c>
    </row>
    <row r="97" spans="1:2" x14ac:dyDescent="0.2">
      <c r="A97" s="3">
        <v>46.9</v>
      </c>
      <c r="B97" s="3">
        <v>16.2</v>
      </c>
    </row>
    <row r="98" spans="1:2" x14ac:dyDescent="0.2">
      <c r="A98" s="3">
        <v>23.6</v>
      </c>
      <c r="B98" s="3">
        <v>35.4</v>
      </c>
    </row>
    <row r="99" spans="1:2" x14ac:dyDescent="0.2">
      <c r="A99" s="3">
        <v>22.7</v>
      </c>
      <c r="B99" s="3">
        <v>98.9</v>
      </c>
    </row>
    <row r="100" spans="1:2" x14ac:dyDescent="0.2">
      <c r="A100" s="3">
        <v>34.700000000000003</v>
      </c>
      <c r="B100" s="3">
        <v>51.1</v>
      </c>
    </row>
    <row r="101" spans="1:2" x14ac:dyDescent="0.2">
      <c r="A101" s="3">
        <v>66.099999999999994</v>
      </c>
      <c r="B101" s="3">
        <v>16.600000000000001</v>
      </c>
    </row>
    <row r="102" spans="1:2" x14ac:dyDescent="0.2">
      <c r="A102" s="3">
        <v>90.2</v>
      </c>
      <c r="B102" s="3">
        <v>99.7</v>
      </c>
    </row>
    <row r="103" spans="1:2" x14ac:dyDescent="0.2">
      <c r="A103" s="3">
        <v>54.4</v>
      </c>
      <c r="B103" s="3">
        <v>67.3</v>
      </c>
    </row>
    <row r="104" spans="1:2" x14ac:dyDescent="0.2">
      <c r="A104" s="3">
        <v>47.5</v>
      </c>
      <c r="B104" s="3">
        <v>13.8</v>
      </c>
    </row>
    <row r="105" spans="1:2" x14ac:dyDescent="0.2">
      <c r="A105" s="3">
        <v>58</v>
      </c>
      <c r="B105" s="3">
        <v>7.8</v>
      </c>
    </row>
    <row r="106" spans="1:2" x14ac:dyDescent="0.2">
      <c r="A106" s="3">
        <v>63.3</v>
      </c>
      <c r="B106" s="3">
        <v>83.2</v>
      </c>
    </row>
    <row r="107" spans="1:2" x14ac:dyDescent="0.2">
      <c r="A107" s="3">
        <v>39.5</v>
      </c>
      <c r="B107" s="3">
        <v>97.5</v>
      </c>
    </row>
    <row r="108" spans="1:2" x14ac:dyDescent="0.2">
      <c r="A108" s="3">
        <v>21</v>
      </c>
      <c r="B108" s="3">
        <v>33.200000000000003</v>
      </c>
    </row>
    <row r="109" spans="1:2" x14ac:dyDescent="0.2">
      <c r="A109" s="3">
        <v>53.2</v>
      </c>
      <c r="B109" s="3">
        <v>92.2</v>
      </c>
    </row>
    <row r="110" spans="1:2" x14ac:dyDescent="0.2">
      <c r="A110" s="3">
        <v>8.1999999999999993</v>
      </c>
      <c r="B110" s="3">
        <v>90.6</v>
      </c>
    </row>
    <row r="111" spans="1:2" x14ac:dyDescent="0.2">
      <c r="A111" s="3">
        <v>39.6</v>
      </c>
      <c r="B111" s="3">
        <v>66.900000000000006</v>
      </c>
    </row>
    <row r="112" spans="1:2" x14ac:dyDescent="0.2">
      <c r="A112" s="3">
        <v>82.9</v>
      </c>
      <c r="B112" s="3">
        <v>88.6</v>
      </c>
    </row>
    <row r="113" spans="1:2" x14ac:dyDescent="0.2">
      <c r="A113" s="3">
        <v>34.799999999999997</v>
      </c>
      <c r="B113" s="3">
        <v>28.2</v>
      </c>
    </row>
    <row r="114" spans="1:2" x14ac:dyDescent="0.2">
      <c r="A114" s="3">
        <v>80.900000000000006</v>
      </c>
      <c r="B114" s="3">
        <v>15.7</v>
      </c>
    </row>
    <row r="115" spans="1:2" x14ac:dyDescent="0.2">
      <c r="A115" s="3">
        <v>75.3</v>
      </c>
      <c r="B115" s="3">
        <v>73.3</v>
      </c>
    </row>
    <row r="116" spans="1:2" x14ac:dyDescent="0.2">
      <c r="A116" s="3">
        <v>73.900000000000006</v>
      </c>
      <c r="B116" s="3">
        <v>91</v>
      </c>
    </row>
    <row r="117" spans="1:2" x14ac:dyDescent="0.2">
      <c r="A117" s="3">
        <v>35.700000000000003</v>
      </c>
      <c r="B117" s="3">
        <v>75.3</v>
      </c>
    </row>
    <row r="118" spans="1:2" x14ac:dyDescent="0.2">
      <c r="A118" s="3">
        <v>98.1</v>
      </c>
      <c r="B118" s="3">
        <v>23.2</v>
      </c>
    </row>
    <row r="119" spans="1:2" x14ac:dyDescent="0.2">
      <c r="A119" s="3">
        <v>17.3</v>
      </c>
      <c r="B119" s="3">
        <v>63.3</v>
      </c>
    </row>
    <row r="120" spans="1:2" x14ac:dyDescent="0.2">
      <c r="A120" s="3">
        <v>70.3</v>
      </c>
    </row>
    <row r="121" spans="1:2" x14ac:dyDescent="0.2">
      <c r="A121" s="3">
        <v>24.9</v>
      </c>
    </row>
    <row r="122" spans="1:2" x14ac:dyDescent="0.2">
      <c r="A122" s="3">
        <v>41</v>
      </c>
    </row>
    <row r="123" spans="1:2" x14ac:dyDescent="0.2">
      <c r="A123" s="3">
        <v>37</v>
      </c>
    </row>
    <row r="124" spans="1:2" x14ac:dyDescent="0.2">
      <c r="A124" s="3">
        <v>15.5</v>
      </c>
    </row>
    <row r="125" spans="1:2" x14ac:dyDescent="0.2">
      <c r="A125" s="3">
        <v>77.2</v>
      </c>
    </row>
    <row r="126" spans="1:2" x14ac:dyDescent="0.2">
      <c r="A126" s="3">
        <v>98.9</v>
      </c>
    </row>
    <row r="127" spans="1:2" x14ac:dyDescent="0.2">
      <c r="A127" s="3">
        <v>34.799999999999997</v>
      </c>
    </row>
    <row r="128" spans="1:2" x14ac:dyDescent="0.2">
      <c r="A128" s="3">
        <v>29.2</v>
      </c>
    </row>
    <row r="129" spans="1:1" x14ac:dyDescent="0.2">
      <c r="A129" s="3">
        <v>82.8</v>
      </c>
    </row>
    <row r="130" spans="1:1" x14ac:dyDescent="0.2">
      <c r="A130" s="3">
        <v>54.9</v>
      </c>
    </row>
    <row r="131" spans="1:1" x14ac:dyDescent="0.2">
      <c r="A131" s="3">
        <v>13.3</v>
      </c>
    </row>
    <row r="132" spans="1:1" x14ac:dyDescent="0.2">
      <c r="A132" s="3">
        <v>44.9</v>
      </c>
    </row>
    <row r="133" spans="1:1" x14ac:dyDescent="0.2">
      <c r="A133" s="3">
        <v>46.4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76D8-7CC3-4E44-BCC5-3B5952A49234}">
  <dimension ref="A1:B133"/>
  <sheetViews>
    <sheetView workbookViewId="0">
      <selection sqref="A1:B133"/>
    </sheetView>
  </sheetViews>
  <sheetFormatPr baseColWidth="10" defaultRowHeight="15" x14ac:dyDescent="0.2"/>
  <sheetData>
    <row r="1" spans="1:2" x14ac:dyDescent="0.2">
      <c r="A1" s="3" t="s">
        <v>80</v>
      </c>
      <c r="B1" s="3" t="s">
        <v>13</v>
      </c>
    </row>
    <row r="2" spans="1:2" x14ac:dyDescent="0.2">
      <c r="A2" s="3">
        <v>5</v>
      </c>
      <c r="B2" s="3">
        <v>6</v>
      </c>
    </row>
    <row r="3" spans="1:2" x14ac:dyDescent="0.2">
      <c r="A3" s="3">
        <v>2</v>
      </c>
      <c r="B3" s="3">
        <v>1</v>
      </c>
    </row>
    <row r="4" spans="1:2" x14ac:dyDescent="0.2">
      <c r="A4" s="3">
        <v>8</v>
      </c>
      <c r="B4" s="3">
        <v>3</v>
      </c>
    </row>
    <row r="5" spans="1:2" x14ac:dyDescent="0.2">
      <c r="A5" s="3">
        <v>8</v>
      </c>
      <c r="B5" s="3">
        <v>1</v>
      </c>
    </row>
    <row r="6" spans="1:2" x14ac:dyDescent="0.2">
      <c r="A6" s="3">
        <v>7</v>
      </c>
      <c r="B6" s="3">
        <v>4</v>
      </c>
    </row>
    <row r="7" spans="1:2" x14ac:dyDescent="0.2">
      <c r="A7" s="3">
        <v>6</v>
      </c>
      <c r="B7" s="3">
        <v>2</v>
      </c>
    </row>
    <row r="8" spans="1:2" x14ac:dyDescent="0.2">
      <c r="A8" s="3">
        <v>4</v>
      </c>
      <c r="B8" s="3">
        <v>3</v>
      </c>
    </row>
    <row r="9" spans="1:2" x14ac:dyDescent="0.2">
      <c r="A9" s="3">
        <v>8</v>
      </c>
      <c r="B9" s="3">
        <v>9</v>
      </c>
    </row>
    <row r="10" spans="1:2" x14ac:dyDescent="0.2">
      <c r="A10" s="3">
        <v>7</v>
      </c>
      <c r="B10" s="3">
        <v>1</v>
      </c>
    </row>
    <row r="11" spans="1:2" x14ac:dyDescent="0.2">
      <c r="A11" s="3">
        <v>4</v>
      </c>
      <c r="B11" s="3">
        <v>7</v>
      </c>
    </row>
    <row r="12" spans="1:2" x14ac:dyDescent="0.2">
      <c r="A12" s="3">
        <v>6</v>
      </c>
      <c r="B12" s="3">
        <v>3</v>
      </c>
    </row>
    <row r="13" spans="1:2" x14ac:dyDescent="0.2">
      <c r="A13" s="3">
        <v>5</v>
      </c>
      <c r="B13" s="3">
        <v>10</v>
      </c>
    </row>
    <row r="14" spans="1:2" x14ac:dyDescent="0.2">
      <c r="A14" s="3">
        <v>3</v>
      </c>
      <c r="B14" s="3">
        <v>9</v>
      </c>
    </row>
    <row r="15" spans="1:2" x14ac:dyDescent="0.2">
      <c r="A15" s="3">
        <v>9</v>
      </c>
      <c r="B15" s="3">
        <v>4</v>
      </c>
    </row>
    <row r="16" spans="1:2" x14ac:dyDescent="0.2">
      <c r="A16" s="3">
        <v>5</v>
      </c>
      <c r="B16" s="3">
        <v>4</v>
      </c>
    </row>
    <row r="17" spans="1:2" x14ac:dyDescent="0.2">
      <c r="A17" s="3">
        <v>5</v>
      </c>
      <c r="B17" s="3">
        <v>9</v>
      </c>
    </row>
    <row r="18" spans="1:2" x14ac:dyDescent="0.2">
      <c r="A18" s="3">
        <v>1</v>
      </c>
      <c r="B18" s="3">
        <v>3</v>
      </c>
    </row>
    <row r="19" spans="1:2" x14ac:dyDescent="0.2">
      <c r="A19" s="3">
        <v>7</v>
      </c>
      <c r="B19" s="3">
        <v>6</v>
      </c>
    </row>
    <row r="20" spans="1:2" x14ac:dyDescent="0.2">
      <c r="A20" s="3">
        <v>2</v>
      </c>
      <c r="B20" s="3">
        <v>2</v>
      </c>
    </row>
    <row r="21" spans="1:2" x14ac:dyDescent="0.2">
      <c r="A21" s="3">
        <v>3</v>
      </c>
      <c r="B21" s="3">
        <v>8</v>
      </c>
    </row>
    <row r="22" spans="1:2" x14ac:dyDescent="0.2">
      <c r="A22" s="3">
        <v>1</v>
      </c>
      <c r="B22" s="3">
        <v>6</v>
      </c>
    </row>
    <row r="23" spans="1:2" x14ac:dyDescent="0.2">
      <c r="A23" s="3">
        <v>7</v>
      </c>
      <c r="B23" s="3">
        <v>5</v>
      </c>
    </row>
    <row r="24" spans="1:2" x14ac:dyDescent="0.2">
      <c r="A24" s="3">
        <v>4</v>
      </c>
      <c r="B24" s="3">
        <v>3</v>
      </c>
    </row>
    <row r="25" spans="1:2" x14ac:dyDescent="0.2">
      <c r="A25" s="3">
        <v>8</v>
      </c>
      <c r="B25" s="3">
        <v>1</v>
      </c>
    </row>
    <row r="26" spans="1:2" x14ac:dyDescent="0.2">
      <c r="A26" s="3">
        <v>3</v>
      </c>
      <c r="B26" s="3">
        <v>6</v>
      </c>
    </row>
    <row r="27" spans="1:2" x14ac:dyDescent="0.2">
      <c r="A27" s="3">
        <v>4</v>
      </c>
      <c r="B27" s="3">
        <v>7</v>
      </c>
    </row>
    <row r="28" spans="1:2" x14ac:dyDescent="0.2">
      <c r="A28" s="3">
        <v>9</v>
      </c>
      <c r="B28" s="3">
        <v>3</v>
      </c>
    </row>
    <row r="29" spans="1:2" x14ac:dyDescent="0.2">
      <c r="A29" s="3">
        <v>8</v>
      </c>
      <c r="B29" s="3">
        <v>3</v>
      </c>
    </row>
    <row r="30" spans="1:2" x14ac:dyDescent="0.2">
      <c r="A30" s="3">
        <v>8</v>
      </c>
      <c r="B30" s="3">
        <v>3</v>
      </c>
    </row>
    <row r="31" spans="1:2" x14ac:dyDescent="0.2">
      <c r="A31" s="3">
        <v>10</v>
      </c>
      <c r="B31" s="3">
        <v>4</v>
      </c>
    </row>
    <row r="32" spans="1:2" x14ac:dyDescent="0.2">
      <c r="A32" s="3">
        <v>6</v>
      </c>
      <c r="B32" s="3">
        <v>7</v>
      </c>
    </row>
    <row r="33" spans="1:2" x14ac:dyDescent="0.2">
      <c r="A33" s="3">
        <v>9</v>
      </c>
      <c r="B33" s="3">
        <v>9</v>
      </c>
    </row>
    <row r="34" spans="1:2" x14ac:dyDescent="0.2">
      <c r="A34" s="3">
        <v>3</v>
      </c>
      <c r="B34" s="3">
        <v>7</v>
      </c>
    </row>
    <row r="35" spans="1:2" x14ac:dyDescent="0.2">
      <c r="A35" s="3">
        <v>10</v>
      </c>
      <c r="B35" s="3">
        <v>3</v>
      </c>
    </row>
    <row r="36" spans="1:2" x14ac:dyDescent="0.2">
      <c r="A36" s="3">
        <v>9</v>
      </c>
      <c r="B36" s="3">
        <v>8</v>
      </c>
    </row>
    <row r="37" spans="1:2" x14ac:dyDescent="0.2">
      <c r="A37" s="3">
        <v>9</v>
      </c>
      <c r="B37" s="3">
        <v>6</v>
      </c>
    </row>
    <row r="38" spans="1:2" x14ac:dyDescent="0.2">
      <c r="A38" s="3">
        <v>4</v>
      </c>
      <c r="B38" s="3">
        <v>5</v>
      </c>
    </row>
    <row r="39" spans="1:2" x14ac:dyDescent="0.2">
      <c r="A39" s="3">
        <v>1</v>
      </c>
      <c r="B39" s="3">
        <v>4</v>
      </c>
    </row>
    <row r="40" spans="1:2" x14ac:dyDescent="0.2">
      <c r="A40" s="3">
        <v>9</v>
      </c>
      <c r="B40" s="3">
        <v>8</v>
      </c>
    </row>
    <row r="41" spans="1:2" x14ac:dyDescent="0.2">
      <c r="A41" s="3">
        <v>8</v>
      </c>
      <c r="B41" s="3">
        <v>1</v>
      </c>
    </row>
    <row r="42" spans="1:2" x14ac:dyDescent="0.2">
      <c r="A42" s="3">
        <v>5</v>
      </c>
      <c r="B42" s="3">
        <v>4</v>
      </c>
    </row>
    <row r="43" spans="1:2" x14ac:dyDescent="0.2">
      <c r="A43" s="3">
        <v>3</v>
      </c>
      <c r="B43" s="3">
        <v>9</v>
      </c>
    </row>
    <row r="44" spans="1:2" x14ac:dyDescent="0.2">
      <c r="A44" s="3">
        <v>9</v>
      </c>
      <c r="B44" s="3">
        <v>4</v>
      </c>
    </row>
    <row r="45" spans="1:2" x14ac:dyDescent="0.2">
      <c r="A45" s="3">
        <v>9</v>
      </c>
      <c r="B45" s="3">
        <v>2</v>
      </c>
    </row>
    <row r="46" spans="1:2" x14ac:dyDescent="0.2">
      <c r="A46" s="3">
        <v>4</v>
      </c>
      <c r="B46" s="3">
        <v>6</v>
      </c>
    </row>
    <row r="47" spans="1:2" x14ac:dyDescent="0.2">
      <c r="A47" s="3">
        <v>8</v>
      </c>
      <c r="B47" s="3">
        <v>9</v>
      </c>
    </row>
    <row r="48" spans="1:2" x14ac:dyDescent="0.2">
      <c r="A48" s="3">
        <v>9</v>
      </c>
      <c r="B48" s="3">
        <v>1</v>
      </c>
    </row>
    <row r="49" spans="1:2" x14ac:dyDescent="0.2">
      <c r="A49" s="3">
        <v>8</v>
      </c>
      <c r="B49" s="3">
        <v>3</v>
      </c>
    </row>
    <row r="50" spans="1:2" x14ac:dyDescent="0.2">
      <c r="A50" s="3">
        <v>7</v>
      </c>
      <c r="B50" s="3">
        <v>2</v>
      </c>
    </row>
    <row r="51" spans="1:2" x14ac:dyDescent="0.2">
      <c r="A51" s="3">
        <v>5</v>
      </c>
      <c r="B51" s="3">
        <v>5</v>
      </c>
    </row>
    <row r="52" spans="1:2" x14ac:dyDescent="0.2">
      <c r="A52" s="3">
        <v>5</v>
      </c>
      <c r="B52" s="3">
        <v>4</v>
      </c>
    </row>
    <row r="53" spans="1:2" x14ac:dyDescent="0.2">
      <c r="A53" s="3">
        <v>5</v>
      </c>
      <c r="B53" s="3">
        <v>5</v>
      </c>
    </row>
    <row r="54" spans="1:2" x14ac:dyDescent="0.2">
      <c r="A54" s="3">
        <v>9</v>
      </c>
      <c r="B54" s="3">
        <v>3</v>
      </c>
    </row>
    <row r="55" spans="1:2" x14ac:dyDescent="0.2">
      <c r="A55" s="3">
        <v>9</v>
      </c>
      <c r="B55" s="3">
        <v>1</v>
      </c>
    </row>
    <row r="56" spans="1:2" x14ac:dyDescent="0.2">
      <c r="A56" s="3">
        <v>3</v>
      </c>
      <c r="B56" s="3">
        <v>4</v>
      </c>
    </row>
    <row r="57" spans="1:2" x14ac:dyDescent="0.2">
      <c r="A57" s="3">
        <v>1</v>
      </c>
      <c r="B57" s="3">
        <v>1</v>
      </c>
    </row>
    <row r="58" spans="1:2" x14ac:dyDescent="0.2">
      <c r="A58" s="3">
        <v>2</v>
      </c>
      <c r="B58" s="3">
        <v>7</v>
      </c>
    </row>
    <row r="59" spans="1:2" x14ac:dyDescent="0.2">
      <c r="A59" s="3">
        <v>8</v>
      </c>
      <c r="B59" s="3">
        <v>8</v>
      </c>
    </row>
    <row r="60" spans="1:2" x14ac:dyDescent="0.2">
      <c r="A60" s="3">
        <v>8</v>
      </c>
      <c r="B60" s="3">
        <v>6</v>
      </c>
    </row>
    <row r="61" spans="1:2" x14ac:dyDescent="0.2">
      <c r="A61" s="3">
        <v>9</v>
      </c>
      <c r="B61" s="3">
        <v>4</v>
      </c>
    </row>
    <row r="62" spans="1:2" x14ac:dyDescent="0.2">
      <c r="A62" s="3">
        <v>3</v>
      </c>
      <c r="B62" s="3">
        <v>9</v>
      </c>
    </row>
    <row r="63" spans="1:2" x14ac:dyDescent="0.2">
      <c r="A63" s="3">
        <v>10</v>
      </c>
      <c r="B63" s="3">
        <v>3</v>
      </c>
    </row>
    <row r="64" spans="1:2" x14ac:dyDescent="0.2">
      <c r="A64" s="3">
        <v>6</v>
      </c>
      <c r="B64" s="3">
        <v>4</v>
      </c>
    </row>
    <row r="65" spans="1:2" x14ac:dyDescent="0.2">
      <c r="A65" s="3">
        <v>8</v>
      </c>
      <c r="B65" s="3">
        <v>7</v>
      </c>
    </row>
    <row r="66" spans="1:2" x14ac:dyDescent="0.2">
      <c r="A66" s="3">
        <v>5</v>
      </c>
      <c r="B66" s="3">
        <v>7</v>
      </c>
    </row>
    <row r="67" spans="1:2" x14ac:dyDescent="0.2">
      <c r="A67" s="3">
        <v>3</v>
      </c>
      <c r="B67" s="3">
        <v>4</v>
      </c>
    </row>
    <row r="68" spans="1:2" x14ac:dyDescent="0.2">
      <c r="A68" s="3">
        <v>6</v>
      </c>
      <c r="B68" s="3">
        <v>3</v>
      </c>
    </row>
    <row r="69" spans="1:2" x14ac:dyDescent="0.2">
      <c r="A69" s="3">
        <v>4</v>
      </c>
      <c r="B69" s="3">
        <v>6</v>
      </c>
    </row>
    <row r="70" spans="1:2" x14ac:dyDescent="0.2">
      <c r="A70" s="3">
        <v>6</v>
      </c>
      <c r="B70" s="3">
        <v>2</v>
      </c>
    </row>
    <row r="71" spans="1:2" x14ac:dyDescent="0.2">
      <c r="A71" s="3">
        <v>2</v>
      </c>
      <c r="B71" s="3">
        <v>1</v>
      </c>
    </row>
    <row r="72" spans="1:2" x14ac:dyDescent="0.2">
      <c r="A72" s="3">
        <v>8</v>
      </c>
      <c r="B72" s="3">
        <v>9</v>
      </c>
    </row>
    <row r="73" spans="1:2" x14ac:dyDescent="0.2">
      <c r="A73" s="3">
        <v>7</v>
      </c>
      <c r="B73" s="3">
        <v>2</v>
      </c>
    </row>
    <row r="74" spans="1:2" x14ac:dyDescent="0.2">
      <c r="A74" s="3">
        <v>9</v>
      </c>
      <c r="B74" s="3">
        <v>1</v>
      </c>
    </row>
    <row r="75" spans="1:2" x14ac:dyDescent="0.2">
      <c r="A75" s="3">
        <v>8</v>
      </c>
      <c r="B75" s="3">
        <v>8</v>
      </c>
    </row>
    <row r="76" spans="1:2" x14ac:dyDescent="0.2">
      <c r="A76" s="3">
        <v>7</v>
      </c>
      <c r="B76" s="3">
        <v>1</v>
      </c>
    </row>
    <row r="77" spans="1:2" x14ac:dyDescent="0.2">
      <c r="A77" s="3">
        <v>6</v>
      </c>
      <c r="B77" s="3">
        <v>3</v>
      </c>
    </row>
    <row r="78" spans="1:2" x14ac:dyDescent="0.2">
      <c r="A78" s="3">
        <v>6</v>
      </c>
      <c r="B78" s="3">
        <v>4</v>
      </c>
    </row>
    <row r="79" spans="1:2" x14ac:dyDescent="0.2">
      <c r="A79" s="3">
        <v>6</v>
      </c>
      <c r="B79" s="3">
        <v>1</v>
      </c>
    </row>
    <row r="80" spans="1:2" x14ac:dyDescent="0.2">
      <c r="A80" s="3">
        <v>6</v>
      </c>
      <c r="B80" s="3">
        <v>6</v>
      </c>
    </row>
    <row r="81" spans="1:2" x14ac:dyDescent="0.2">
      <c r="A81" s="3">
        <v>10</v>
      </c>
      <c r="B81" s="3">
        <v>1</v>
      </c>
    </row>
    <row r="82" spans="1:2" x14ac:dyDescent="0.2">
      <c r="A82" s="3">
        <v>3</v>
      </c>
      <c r="B82" s="3">
        <v>1</v>
      </c>
    </row>
    <row r="83" spans="1:2" x14ac:dyDescent="0.2">
      <c r="A83" s="3">
        <v>10</v>
      </c>
      <c r="B83" s="3">
        <v>8</v>
      </c>
    </row>
    <row r="84" spans="1:2" x14ac:dyDescent="0.2">
      <c r="A84" s="3">
        <v>9</v>
      </c>
      <c r="B84" s="3">
        <v>4</v>
      </c>
    </row>
    <row r="85" spans="1:2" x14ac:dyDescent="0.2">
      <c r="A85" s="3">
        <v>1</v>
      </c>
      <c r="B85" s="3">
        <v>10</v>
      </c>
    </row>
    <row r="86" spans="1:2" x14ac:dyDescent="0.2">
      <c r="A86" s="3">
        <v>8</v>
      </c>
      <c r="B86" s="3">
        <v>1</v>
      </c>
    </row>
    <row r="87" spans="1:2" x14ac:dyDescent="0.2">
      <c r="A87" s="3">
        <v>3</v>
      </c>
      <c r="B87" s="3">
        <v>9</v>
      </c>
    </row>
    <row r="88" spans="1:2" x14ac:dyDescent="0.2">
      <c r="A88" s="3">
        <v>8</v>
      </c>
      <c r="B88" s="3">
        <v>1</v>
      </c>
    </row>
    <row r="89" spans="1:2" x14ac:dyDescent="0.2">
      <c r="A89" s="3">
        <v>1</v>
      </c>
      <c r="B89" s="3">
        <v>8</v>
      </c>
    </row>
    <row r="90" spans="1:2" x14ac:dyDescent="0.2">
      <c r="A90" s="3">
        <v>10</v>
      </c>
      <c r="B90" s="3">
        <v>7</v>
      </c>
    </row>
    <row r="91" spans="1:2" x14ac:dyDescent="0.2">
      <c r="A91" s="3">
        <v>7</v>
      </c>
      <c r="B91" s="3">
        <v>1</v>
      </c>
    </row>
    <row r="92" spans="1:2" x14ac:dyDescent="0.2">
      <c r="A92" s="3">
        <v>5</v>
      </c>
      <c r="B92" s="3">
        <v>8</v>
      </c>
    </row>
    <row r="93" spans="1:2" x14ac:dyDescent="0.2">
      <c r="A93" s="3">
        <v>5</v>
      </c>
      <c r="B93" s="3">
        <v>1</v>
      </c>
    </row>
    <row r="94" spans="1:2" x14ac:dyDescent="0.2">
      <c r="A94" s="3">
        <v>1</v>
      </c>
      <c r="B94" s="3">
        <v>10</v>
      </c>
    </row>
    <row r="95" spans="1:2" x14ac:dyDescent="0.2">
      <c r="A95" s="3">
        <v>6</v>
      </c>
      <c r="B95" s="3">
        <v>7</v>
      </c>
    </row>
    <row r="96" spans="1:2" x14ac:dyDescent="0.2">
      <c r="A96" s="3">
        <v>9</v>
      </c>
      <c r="B96" s="3">
        <v>7</v>
      </c>
    </row>
    <row r="97" spans="1:2" x14ac:dyDescent="0.2">
      <c r="A97" s="3">
        <v>9</v>
      </c>
      <c r="B97" s="3">
        <v>1</v>
      </c>
    </row>
    <row r="98" spans="1:2" x14ac:dyDescent="0.2">
      <c r="A98" s="3">
        <v>8</v>
      </c>
      <c r="B98" s="3">
        <v>2</v>
      </c>
    </row>
    <row r="99" spans="1:2" x14ac:dyDescent="0.2">
      <c r="A99" s="3">
        <v>5</v>
      </c>
      <c r="B99" s="3">
        <v>2</v>
      </c>
    </row>
    <row r="100" spans="1:2" x14ac:dyDescent="0.2">
      <c r="A100" s="3">
        <v>5</v>
      </c>
      <c r="B100" s="3">
        <v>2</v>
      </c>
    </row>
    <row r="101" spans="1:2" x14ac:dyDescent="0.2">
      <c r="A101" s="3">
        <v>3</v>
      </c>
      <c r="B101" s="3">
        <v>4</v>
      </c>
    </row>
    <row r="102" spans="1:2" x14ac:dyDescent="0.2">
      <c r="A102" s="3">
        <v>7</v>
      </c>
      <c r="B102" s="3">
        <v>2</v>
      </c>
    </row>
    <row r="103" spans="1:2" x14ac:dyDescent="0.2">
      <c r="A103" s="3">
        <v>9</v>
      </c>
      <c r="B103" s="3">
        <v>3</v>
      </c>
    </row>
    <row r="104" spans="1:2" x14ac:dyDescent="0.2">
      <c r="A104" s="3">
        <v>7</v>
      </c>
      <c r="B104" s="3">
        <v>1</v>
      </c>
    </row>
    <row r="105" spans="1:2" x14ac:dyDescent="0.2">
      <c r="A105" s="3">
        <v>3</v>
      </c>
      <c r="B105" s="3">
        <v>1</v>
      </c>
    </row>
    <row r="106" spans="1:2" x14ac:dyDescent="0.2">
      <c r="A106" s="3">
        <v>8</v>
      </c>
      <c r="B106" s="3">
        <v>10</v>
      </c>
    </row>
    <row r="107" spans="1:2" x14ac:dyDescent="0.2">
      <c r="A107" s="3">
        <v>3</v>
      </c>
      <c r="B107" s="3">
        <v>7</v>
      </c>
    </row>
    <row r="108" spans="1:2" x14ac:dyDescent="0.2">
      <c r="A108" s="3">
        <v>8</v>
      </c>
      <c r="B108" s="3">
        <v>9</v>
      </c>
    </row>
    <row r="109" spans="1:2" x14ac:dyDescent="0.2">
      <c r="A109" s="3">
        <v>5</v>
      </c>
      <c r="B109" s="3">
        <v>10</v>
      </c>
    </row>
    <row r="110" spans="1:2" x14ac:dyDescent="0.2">
      <c r="A110" s="3">
        <v>10</v>
      </c>
      <c r="B110" s="3">
        <v>2</v>
      </c>
    </row>
    <row r="111" spans="1:2" x14ac:dyDescent="0.2">
      <c r="A111" s="3">
        <v>7</v>
      </c>
      <c r="B111" s="3">
        <v>3</v>
      </c>
    </row>
    <row r="112" spans="1:2" x14ac:dyDescent="0.2">
      <c r="A112" s="3">
        <v>5</v>
      </c>
      <c r="B112" s="3">
        <v>7</v>
      </c>
    </row>
    <row r="113" spans="1:2" x14ac:dyDescent="0.2">
      <c r="A113" s="3">
        <v>8</v>
      </c>
      <c r="B113" s="3">
        <v>4</v>
      </c>
    </row>
    <row r="114" spans="1:2" x14ac:dyDescent="0.2">
      <c r="A114" s="3">
        <v>9</v>
      </c>
      <c r="B114" s="3">
        <v>6</v>
      </c>
    </row>
    <row r="115" spans="1:2" x14ac:dyDescent="0.2">
      <c r="A115" s="3">
        <v>4</v>
      </c>
      <c r="B115" s="3">
        <v>2</v>
      </c>
    </row>
    <row r="116" spans="1:2" x14ac:dyDescent="0.2">
      <c r="A116" s="3">
        <v>1</v>
      </c>
      <c r="B116" s="3">
        <v>3</v>
      </c>
    </row>
    <row r="117" spans="1:2" x14ac:dyDescent="0.2">
      <c r="A117" s="3">
        <v>4</v>
      </c>
      <c r="B117" s="3">
        <v>8</v>
      </c>
    </row>
    <row r="118" spans="1:2" x14ac:dyDescent="0.2">
      <c r="A118" s="3">
        <v>5</v>
      </c>
      <c r="B118" s="3">
        <v>2</v>
      </c>
    </row>
    <row r="119" spans="1:2" x14ac:dyDescent="0.2">
      <c r="A119" s="3">
        <v>8</v>
      </c>
      <c r="B119" s="3">
        <v>1</v>
      </c>
    </row>
    <row r="120" spans="1:2" x14ac:dyDescent="0.2">
      <c r="A120" s="3">
        <v>4</v>
      </c>
    </row>
    <row r="121" spans="1:2" x14ac:dyDescent="0.2">
      <c r="A121" s="3">
        <v>3</v>
      </c>
    </row>
    <row r="122" spans="1:2" x14ac:dyDescent="0.2">
      <c r="A122" s="3">
        <v>9</v>
      </c>
    </row>
    <row r="123" spans="1:2" x14ac:dyDescent="0.2">
      <c r="A123" s="3">
        <v>2</v>
      </c>
    </row>
    <row r="124" spans="1:2" x14ac:dyDescent="0.2">
      <c r="A124" s="3">
        <v>2</v>
      </c>
    </row>
    <row r="125" spans="1:2" x14ac:dyDescent="0.2">
      <c r="A125" s="3">
        <v>3</v>
      </c>
    </row>
    <row r="126" spans="1:2" x14ac:dyDescent="0.2">
      <c r="A126" s="3">
        <v>10</v>
      </c>
    </row>
    <row r="127" spans="1:2" x14ac:dyDescent="0.2">
      <c r="A127" s="3">
        <v>6</v>
      </c>
    </row>
    <row r="128" spans="1:2" x14ac:dyDescent="0.2">
      <c r="A128" s="3">
        <v>9</v>
      </c>
    </row>
    <row r="129" spans="1:1" x14ac:dyDescent="0.2">
      <c r="A129" s="3">
        <v>9</v>
      </c>
    </row>
    <row r="130" spans="1:1" x14ac:dyDescent="0.2">
      <c r="A130" s="3">
        <v>3</v>
      </c>
    </row>
    <row r="131" spans="1:1" x14ac:dyDescent="0.2">
      <c r="A131" s="3">
        <v>5</v>
      </c>
    </row>
    <row r="132" spans="1:1" x14ac:dyDescent="0.2">
      <c r="A132" s="3">
        <v>6</v>
      </c>
    </row>
    <row r="133" spans="1:1" x14ac:dyDescent="0.2">
      <c r="A133" s="3">
        <v>9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13FA8-720C-C847-A407-F3E6FFCD65EB}">
  <dimension ref="A1:L133"/>
  <sheetViews>
    <sheetView workbookViewId="0">
      <selection sqref="A1:B133"/>
    </sheetView>
  </sheetViews>
  <sheetFormatPr baseColWidth="10" defaultRowHeight="15" x14ac:dyDescent="0.2"/>
  <sheetData>
    <row r="1" spans="1:12" x14ac:dyDescent="0.2">
      <c r="A1" s="3" t="s">
        <v>5</v>
      </c>
      <c r="B1" s="3" t="s">
        <v>6</v>
      </c>
      <c r="C1" s="3" t="s">
        <v>14</v>
      </c>
      <c r="D1" s="3" t="s">
        <v>7</v>
      </c>
      <c r="E1" s="3" t="s">
        <v>8</v>
      </c>
      <c r="F1" s="3" t="s">
        <v>17</v>
      </c>
      <c r="G1" s="3" t="s">
        <v>21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</row>
    <row r="2" spans="1:12" x14ac:dyDescent="0.2">
      <c r="A2" s="3">
        <v>3</v>
      </c>
      <c r="B2" s="3">
        <v>46</v>
      </c>
      <c r="C2" s="3" t="s">
        <v>15</v>
      </c>
      <c r="D2" s="3">
        <v>62</v>
      </c>
      <c r="E2" s="3">
        <v>75.16</v>
      </c>
      <c r="F2" s="3" t="s">
        <v>20</v>
      </c>
      <c r="G2" s="3" t="s">
        <v>22</v>
      </c>
      <c r="H2" s="3">
        <v>1</v>
      </c>
      <c r="I2" s="3">
        <v>41.6</v>
      </c>
      <c r="J2" s="3">
        <v>5</v>
      </c>
      <c r="K2" s="3">
        <v>4646.87</v>
      </c>
      <c r="L2" s="3">
        <v>0</v>
      </c>
    </row>
    <row r="3" spans="1:12" x14ac:dyDescent="0.2">
      <c r="A3" s="3">
        <v>8</v>
      </c>
      <c r="B3" s="3">
        <v>56</v>
      </c>
      <c r="C3" s="3" t="s">
        <v>16</v>
      </c>
      <c r="D3" s="3">
        <v>52</v>
      </c>
      <c r="E3" s="3">
        <v>118.53</v>
      </c>
      <c r="F3" s="3" t="s">
        <v>20</v>
      </c>
      <c r="G3" s="3" t="s">
        <v>24</v>
      </c>
      <c r="H3" s="3">
        <v>3</v>
      </c>
      <c r="I3" s="3">
        <v>68</v>
      </c>
      <c r="J3" s="3">
        <v>2</v>
      </c>
      <c r="K3" s="3">
        <v>5970.23</v>
      </c>
      <c r="L3" s="3">
        <v>0</v>
      </c>
    </row>
    <row r="4" spans="1:12" x14ac:dyDescent="0.2">
      <c r="A4" s="3">
        <v>10</v>
      </c>
      <c r="B4" s="3">
        <v>40</v>
      </c>
      <c r="C4" s="3" t="s">
        <v>15</v>
      </c>
      <c r="D4" s="3">
        <v>70</v>
      </c>
      <c r="E4" s="3">
        <v>94.96</v>
      </c>
      <c r="F4" s="3" t="s">
        <v>20</v>
      </c>
      <c r="G4" s="3" t="s">
        <v>23</v>
      </c>
      <c r="H4" s="3">
        <v>5</v>
      </c>
      <c r="I4" s="3">
        <v>21.9</v>
      </c>
      <c r="J4" s="3">
        <v>8</v>
      </c>
      <c r="K4" s="3">
        <v>6849.66</v>
      </c>
      <c r="L4" s="3">
        <v>0</v>
      </c>
    </row>
    <row r="5" spans="1:12" x14ac:dyDescent="0.2">
      <c r="A5" s="3">
        <v>11</v>
      </c>
      <c r="B5" s="3">
        <v>28</v>
      </c>
      <c r="C5" s="3" t="s">
        <v>16</v>
      </c>
      <c r="D5" s="3">
        <v>15</v>
      </c>
      <c r="E5" s="3">
        <v>59.3</v>
      </c>
      <c r="F5" s="3" t="s">
        <v>20</v>
      </c>
      <c r="G5" s="3" t="s">
        <v>22</v>
      </c>
      <c r="H5" s="3">
        <v>1</v>
      </c>
      <c r="I5" s="3">
        <v>7.8</v>
      </c>
      <c r="J5" s="3">
        <v>8</v>
      </c>
      <c r="K5" s="3">
        <v>950.98</v>
      </c>
      <c r="L5" s="3">
        <v>0</v>
      </c>
    </row>
    <row r="6" spans="1:12" x14ac:dyDescent="0.2">
      <c r="A6" s="3">
        <v>12</v>
      </c>
      <c r="B6" s="3">
        <v>28</v>
      </c>
      <c r="C6" s="3" t="s">
        <v>15</v>
      </c>
      <c r="D6" s="3">
        <v>54</v>
      </c>
      <c r="E6" s="3">
        <v>102.92</v>
      </c>
      <c r="F6" s="3" t="s">
        <v>18</v>
      </c>
      <c r="G6" s="3" t="s">
        <v>22</v>
      </c>
      <c r="H6" s="3">
        <v>3</v>
      </c>
      <c r="I6" s="3">
        <v>20.9</v>
      </c>
      <c r="J6" s="3">
        <v>7</v>
      </c>
      <c r="K6" s="3">
        <v>5771.64</v>
      </c>
      <c r="L6" s="3">
        <v>0</v>
      </c>
    </row>
    <row r="7" spans="1:12" x14ac:dyDescent="0.2">
      <c r="A7" s="3">
        <v>13</v>
      </c>
      <c r="B7" s="3">
        <v>41</v>
      </c>
      <c r="C7" s="3" t="s">
        <v>15</v>
      </c>
      <c r="D7" s="3">
        <v>60</v>
      </c>
      <c r="E7" s="3">
        <v>76.91</v>
      </c>
      <c r="F7" s="3" t="s">
        <v>20</v>
      </c>
      <c r="G7" s="3" t="s">
        <v>24</v>
      </c>
      <c r="H7" s="3">
        <v>0</v>
      </c>
      <c r="I7" s="3">
        <v>22.2</v>
      </c>
      <c r="J7" s="3">
        <v>6</v>
      </c>
      <c r="K7" s="3">
        <v>4549.93</v>
      </c>
      <c r="L7" s="3">
        <v>0</v>
      </c>
    </row>
    <row r="8" spans="1:12" x14ac:dyDescent="0.2">
      <c r="A8" s="3">
        <v>15</v>
      </c>
      <c r="B8" s="3">
        <v>57</v>
      </c>
      <c r="C8" s="3" t="s">
        <v>16</v>
      </c>
      <c r="D8" s="3">
        <v>53</v>
      </c>
      <c r="E8" s="3">
        <v>23.68</v>
      </c>
      <c r="F8" s="3" t="s">
        <v>20</v>
      </c>
      <c r="G8" s="3" t="s">
        <v>24</v>
      </c>
      <c r="H8" s="3">
        <v>1</v>
      </c>
      <c r="I8" s="3">
        <v>43.2</v>
      </c>
      <c r="J8" s="3">
        <v>4</v>
      </c>
      <c r="K8" s="3">
        <v>1198.6600000000001</v>
      </c>
      <c r="L8" s="3">
        <v>0</v>
      </c>
    </row>
    <row r="9" spans="1:12" x14ac:dyDescent="0.2">
      <c r="A9" s="3">
        <v>17</v>
      </c>
      <c r="B9" s="3">
        <v>20</v>
      </c>
      <c r="C9" s="3" t="s">
        <v>15</v>
      </c>
      <c r="D9" s="3">
        <v>5</v>
      </c>
      <c r="E9" s="3">
        <v>21.37</v>
      </c>
      <c r="F9" s="3" t="s">
        <v>18</v>
      </c>
      <c r="G9" s="3" t="s">
        <v>24</v>
      </c>
      <c r="H9" s="3">
        <v>3</v>
      </c>
      <c r="I9" s="3">
        <v>53.5</v>
      </c>
      <c r="J9" s="3">
        <v>8</v>
      </c>
      <c r="K9" s="3">
        <v>113.03</v>
      </c>
      <c r="L9" s="3">
        <v>0</v>
      </c>
    </row>
    <row r="10" spans="1:12" x14ac:dyDescent="0.2">
      <c r="A10" s="3">
        <v>18</v>
      </c>
      <c r="B10" s="3">
        <v>39</v>
      </c>
      <c r="C10" s="3" t="s">
        <v>16</v>
      </c>
      <c r="D10" s="3">
        <v>68</v>
      </c>
      <c r="E10" s="3">
        <v>27.54</v>
      </c>
      <c r="F10" s="3" t="s">
        <v>20</v>
      </c>
      <c r="G10" s="3" t="s">
        <v>23</v>
      </c>
      <c r="H10" s="3">
        <v>2</v>
      </c>
      <c r="I10" s="3">
        <v>73.7</v>
      </c>
      <c r="J10" s="3">
        <v>7</v>
      </c>
      <c r="K10" s="3">
        <v>1852.65</v>
      </c>
      <c r="L10" s="3">
        <v>0</v>
      </c>
    </row>
    <row r="11" spans="1:12" x14ac:dyDescent="0.2">
      <c r="A11" s="3">
        <v>21</v>
      </c>
      <c r="B11" s="3">
        <v>61</v>
      </c>
      <c r="C11" s="3" t="s">
        <v>15</v>
      </c>
      <c r="D11" s="3">
        <v>55</v>
      </c>
      <c r="E11" s="3">
        <v>94.99</v>
      </c>
      <c r="F11" s="3" t="s">
        <v>18</v>
      </c>
      <c r="G11" s="3" t="s">
        <v>24</v>
      </c>
      <c r="H11" s="3">
        <v>4</v>
      </c>
      <c r="I11" s="3">
        <v>71.8</v>
      </c>
      <c r="J11" s="3">
        <v>4</v>
      </c>
      <c r="K11" s="3">
        <v>5598.06</v>
      </c>
      <c r="L11" s="3">
        <v>0</v>
      </c>
    </row>
    <row r="12" spans="1:12" x14ac:dyDescent="0.2">
      <c r="A12" s="3">
        <v>24</v>
      </c>
      <c r="B12" s="3">
        <v>19</v>
      </c>
      <c r="C12" s="3" t="s">
        <v>16</v>
      </c>
      <c r="D12" s="3">
        <v>16</v>
      </c>
      <c r="E12" s="3">
        <v>92.61</v>
      </c>
      <c r="F12" s="3" t="s">
        <v>19</v>
      </c>
      <c r="G12" s="3" t="s">
        <v>22</v>
      </c>
      <c r="H12" s="3">
        <v>1</v>
      </c>
      <c r="I12" s="3">
        <v>61.9</v>
      </c>
      <c r="J12" s="3">
        <v>6</v>
      </c>
      <c r="K12" s="3">
        <v>1428.08</v>
      </c>
      <c r="L12" s="3">
        <v>0</v>
      </c>
    </row>
    <row r="13" spans="1:12" x14ac:dyDescent="0.2">
      <c r="A13" s="3">
        <v>25</v>
      </c>
      <c r="B13" s="3">
        <v>38</v>
      </c>
      <c r="C13" s="3" t="s">
        <v>15</v>
      </c>
      <c r="D13" s="3">
        <v>13</v>
      </c>
      <c r="E13" s="3">
        <v>95.71</v>
      </c>
      <c r="F13" s="3" t="s">
        <v>20</v>
      </c>
      <c r="G13" s="3" t="s">
        <v>24</v>
      </c>
      <c r="H13" s="3">
        <v>1</v>
      </c>
      <c r="I13" s="3">
        <v>62.2</v>
      </c>
      <c r="J13" s="3">
        <v>5</v>
      </c>
      <c r="K13" s="3">
        <v>1264.68</v>
      </c>
      <c r="L13" s="3">
        <v>0</v>
      </c>
    </row>
    <row r="14" spans="1:12" x14ac:dyDescent="0.2">
      <c r="A14" s="3">
        <v>26</v>
      </c>
      <c r="B14" s="3">
        <v>50</v>
      </c>
      <c r="C14" s="3" t="s">
        <v>15</v>
      </c>
      <c r="D14" s="3">
        <v>30</v>
      </c>
      <c r="E14" s="3">
        <v>57.79</v>
      </c>
      <c r="F14" s="3" t="s">
        <v>20</v>
      </c>
      <c r="G14" s="3" t="s">
        <v>22</v>
      </c>
      <c r="H14" s="3">
        <v>4</v>
      </c>
      <c r="I14" s="3">
        <v>7.2</v>
      </c>
      <c r="J14" s="3">
        <v>3</v>
      </c>
      <c r="K14" s="3">
        <v>1689.03</v>
      </c>
      <c r="L14" s="3">
        <v>0</v>
      </c>
    </row>
    <row r="15" spans="1:12" x14ac:dyDescent="0.2">
      <c r="A15" s="3">
        <v>27</v>
      </c>
      <c r="B15" s="3">
        <v>29</v>
      </c>
      <c r="C15" s="3" t="s">
        <v>16</v>
      </c>
      <c r="D15" s="3">
        <v>19</v>
      </c>
      <c r="E15" s="3">
        <v>44.11</v>
      </c>
      <c r="F15" s="3" t="s">
        <v>20</v>
      </c>
      <c r="G15" s="3" t="s">
        <v>24</v>
      </c>
      <c r="H15" s="3">
        <v>1</v>
      </c>
      <c r="I15" s="3">
        <v>35.6</v>
      </c>
      <c r="J15" s="3">
        <v>9</v>
      </c>
      <c r="K15" s="3">
        <v>855.03</v>
      </c>
      <c r="L15" s="3">
        <v>0</v>
      </c>
    </row>
    <row r="16" spans="1:12" x14ac:dyDescent="0.2">
      <c r="A16" s="3">
        <v>28</v>
      </c>
      <c r="B16" s="3">
        <v>39</v>
      </c>
      <c r="C16" s="3" t="s">
        <v>15</v>
      </c>
      <c r="D16" s="3">
        <v>17</v>
      </c>
      <c r="E16" s="3">
        <v>40.5</v>
      </c>
      <c r="F16" s="3" t="s">
        <v>20</v>
      </c>
      <c r="G16" s="3" t="s">
        <v>24</v>
      </c>
      <c r="H16" s="3">
        <v>2</v>
      </c>
      <c r="I16" s="3">
        <v>65.5</v>
      </c>
      <c r="J16" s="3">
        <v>5</v>
      </c>
      <c r="K16" s="3">
        <v>716.81</v>
      </c>
      <c r="L16" s="3">
        <v>0</v>
      </c>
    </row>
    <row r="17" spans="1:12" x14ac:dyDescent="0.2">
      <c r="A17" s="3">
        <v>29</v>
      </c>
      <c r="B17" s="3">
        <v>61</v>
      </c>
      <c r="C17" s="3" t="s">
        <v>16</v>
      </c>
      <c r="D17" s="3">
        <v>63</v>
      </c>
      <c r="E17" s="3">
        <v>45.14</v>
      </c>
      <c r="F17" s="3" t="s">
        <v>18</v>
      </c>
      <c r="G17" s="3" t="s">
        <v>22</v>
      </c>
      <c r="H17" s="3">
        <v>1</v>
      </c>
      <c r="I17" s="3">
        <v>19.2</v>
      </c>
      <c r="J17" s="3">
        <v>5</v>
      </c>
      <c r="K17" s="3">
        <v>2950.98</v>
      </c>
      <c r="L17" s="3">
        <v>0</v>
      </c>
    </row>
    <row r="18" spans="1:12" x14ac:dyDescent="0.2">
      <c r="A18" s="3">
        <v>32</v>
      </c>
      <c r="B18" s="3">
        <v>44</v>
      </c>
      <c r="C18" s="3" t="s">
        <v>15</v>
      </c>
      <c r="D18" s="3">
        <v>55</v>
      </c>
      <c r="E18" s="3">
        <v>107.82</v>
      </c>
      <c r="F18" s="3" t="s">
        <v>20</v>
      </c>
      <c r="G18" s="3" t="s">
        <v>24</v>
      </c>
      <c r="H18" s="3">
        <v>2</v>
      </c>
      <c r="I18" s="3">
        <v>98.3</v>
      </c>
      <c r="J18" s="3">
        <v>1</v>
      </c>
      <c r="K18" s="3">
        <v>5847.71</v>
      </c>
      <c r="L18" s="3">
        <v>0</v>
      </c>
    </row>
    <row r="19" spans="1:12" x14ac:dyDescent="0.2">
      <c r="A19" s="3">
        <v>33</v>
      </c>
      <c r="B19" s="3">
        <v>59</v>
      </c>
      <c r="C19" s="3" t="s">
        <v>16</v>
      </c>
      <c r="D19" s="3">
        <v>62</v>
      </c>
      <c r="E19" s="3">
        <v>95.7</v>
      </c>
      <c r="F19" s="3" t="s">
        <v>20</v>
      </c>
      <c r="G19" s="3" t="s">
        <v>23</v>
      </c>
      <c r="H19" s="3">
        <v>4</v>
      </c>
      <c r="I19" s="3">
        <v>24.9</v>
      </c>
      <c r="J19" s="3">
        <v>7</v>
      </c>
      <c r="K19" s="3">
        <v>5509.27</v>
      </c>
      <c r="L19" s="3">
        <v>0</v>
      </c>
    </row>
    <row r="20" spans="1:12" x14ac:dyDescent="0.2">
      <c r="A20" s="3">
        <v>36</v>
      </c>
      <c r="B20" s="3">
        <v>32</v>
      </c>
      <c r="C20" s="3" t="s">
        <v>16</v>
      </c>
      <c r="D20" s="3">
        <v>12</v>
      </c>
      <c r="E20" s="3">
        <v>22.22</v>
      </c>
      <c r="F20" s="3" t="s">
        <v>20</v>
      </c>
      <c r="G20" s="3" t="s">
        <v>24</v>
      </c>
      <c r="H20" s="3">
        <v>1</v>
      </c>
      <c r="I20" s="3">
        <v>40.5</v>
      </c>
      <c r="J20" s="3">
        <v>2</v>
      </c>
      <c r="K20" s="3">
        <v>248.21</v>
      </c>
      <c r="L20" s="3">
        <v>0</v>
      </c>
    </row>
    <row r="21" spans="1:12" x14ac:dyDescent="0.2">
      <c r="A21" s="3">
        <v>37</v>
      </c>
      <c r="B21" s="3">
        <v>64</v>
      </c>
      <c r="C21" s="3" t="s">
        <v>16</v>
      </c>
      <c r="D21" s="3">
        <v>1</v>
      </c>
      <c r="E21" s="3">
        <v>69.819999999999993</v>
      </c>
      <c r="F21" s="3" t="s">
        <v>19</v>
      </c>
      <c r="G21" s="3" t="s">
        <v>23</v>
      </c>
      <c r="H21" s="3">
        <v>1</v>
      </c>
      <c r="I21" s="3">
        <v>16.600000000000001</v>
      </c>
      <c r="J21" s="3">
        <v>3</v>
      </c>
      <c r="K21" s="3">
        <v>63.19</v>
      </c>
      <c r="L21" s="3">
        <v>0</v>
      </c>
    </row>
    <row r="22" spans="1:12" x14ac:dyDescent="0.2">
      <c r="A22" s="3">
        <v>38</v>
      </c>
      <c r="B22" s="3">
        <v>68</v>
      </c>
      <c r="C22" s="3" t="s">
        <v>15</v>
      </c>
      <c r="D22" s="3">
        <v>58</v>
      </c>
      <c r="E22" s="3">
        <v>67.62</v>
      </c>
      <c r="F22" s="3" t="s">
        <v>18</v>
      </c>
      <c r="G22" s="3" t="s">
        <v>22</v>
      </c>
      <c r="H22" s="3">
        <v>3</v>
      </c>
      <c r="I22" s="3">
        <v>74.900000000000006</v>
      </c>
      <c r="J22" s="3">
        <v>1</v>
      </c>
      <c r="K22" s="3">
        <v>4036.34</v>
      </c>
      <c r="L22" s="3">
        <v>0</v>
      </c>
    </row>
    <row r="23" spans="1:12" x14ac:dyDescent="0.2">
      <c r="A23" s="3">
        <v>40</v>
      </c>
      <c r="B23" s="3">
        <v>69</v>
      </c>
      <c r="C23" s="3" t="s">
        <v>16</v>
      </c>
      <c r="D23" s="3">
        <v>34</v>
      </c>
      <c r="E23" s="3">
        <v>50.78</v>
      </c>
      <c r="F23" s="3" t="s">
        <v>18</v>
      </c>
      <c r="G23" s="3" t="s">
        <v>23</v>
      </c>
      <c r="H23" s="3">
        <v>2</v>
      </c>
      <c r="I23" s="3">
        <v>40.299999999999997</v>
      </c>
      <c r="J23" s="3">
        <v>7</v>
      </c>
      <c r="K23" s="3">
        <v>1671.48</v>
      </c>
      <c r="L23" s="3">
        <v>0</v>
      </c>
    </row>
    <row r="24" spans="1:12" x14ac:dyDescent="0.2">
      <c r="A24" s="3">
        <v>44</v>
      </c>
      <c r="B24" s="3">
        <v>24</v>
      </c>
      <c r="C24" s="3" t="s">
        <v>15</v>
      </c>
      <c r="D24" s="3">
        <v>61</v>
      </c>
      <c r="E24" s="3">
        <v>99.18</v>
      </c>
      <c r="F24" s="3" t="s">
        <v>20</v>
      </c>
      <c r="G24" s="3" t="s">
        <v>24</v>
      </c>
      <c r="H24" s="3">
        <v>4</v>
      </c>
      <c r="I24" s="3">
        <v>74.7</v>
      </c>
      <c r="J24" s="3">
        <v>4</v>
      </c>
      <c r="K24" s="3">
        <v>6264.3</v>
      </c>
      <c r="L24" s="3">
        <v>0</v>
      </c>
    </row>
    <row r="25" spans="1:12" x14ac:dyDescent="0.2">
      <c r="A25" s="3">
        <v>46</v>
      </c>
      <c r="B25" s="3">
        <v>26</v>
      </c>
      <c r="C25" s="3" t="s">
        <v>16</v>
      </c>
      <c r="D25" s="3">
        <v>63</v>
      </c>
      <c r="E25" s="3">
        <v>68</v>
      </c>
      <c r="F25" s="3" t="s">
        <v>18</v>
      </c>
      <c r="G25" s="3" t="s">
        <v>24</v>
      </c>
      <c r="H25" s="3">
        <v>4</v>
      </c>
      <c r="I25" s="3">
        <v>21.5</v>
      </c>
      <c r="J25" s="3">
        <v>8</v>
      </c>
      <c r="K25" s="3">
        <v>4167.9799999999996</v>
      </c>
      <c r="L25" s="3">
        <v>0</v>
      </c>
    </row>
    <row r="26" spans="1:12" x14ac:dyDescent="0.2">
      <c r="A26" s="3">
        <v>47</v>
      </c>
      <c r="B26" s="3">
        <v>56</v>
      </c>
      <c r="C26" s="3" t="s">
        <v>16</v>
      </c>
      <c r="D26" s="3">
        <v>69</v>
      </c>
      <c r="E26" s="3">
        <v>62.05</v>
      </c>
      <c r="F26" s="3" t="s">
        <v>19</v>
      </c>
      <c r="G26" s="3" t="s">
        <v>23</v>
      </c>
      <c r="H26" s="3">
        <v>0</v>
      </c>
      <c r="I26" s="3">
        <v>65.599999999999994</v>
      </c>
      <c r="J26" s="3">
        <v>3</v>
      </c>
      <c r="K26" s="3">
        <v>4039.88</v>
      </c>
      <c r="L26" s="3">
        <v>0</v>
      </c>
    </row>
    <row r="27" spans="1:12" x14ac:dyDescent="0.2">
      <c r="A27" s="3">
        <v>49</v>
      </c>
      <c r="B27" s="3">
        <v>21</v>
      </c>
      <c r="C27" s="3" t="s">
        <v>15</v>
      </c>
      <c r="D27" s="3">
        <v>67</v>
      </c>
      <c r="E27" s="3">
        <v>83.94</v>
      </c>
      <c r="F27" s="3" t="s">
        <v>20</v>
      </c>
      <c r="G27" s="3" t="s">
        <v>22</v>
      </c>
      <c r="H27" s="3">
        <v>3</v>
      </c>
      <c r="I27" s="3">
        <v>21.9</v>
      </c>
      <c r="J27" s="3">
        <v>4</v>
      </c>
      <c r="K27" s="3">
        <v>5572.24</v>
      </c>
      <c r="L27" s="3">
        <v>0</v>
      </c>
    </row>
    <row r="28" spans="1:12" x14ac:dyDescent="0.2">
      <c r="A28" s="3">
        <v>51</v>
      </c>
      <c r="B28" s="3">
        <v>31</v>
      </c>
      <c r="C28" s="3" t="s">
        <v>15</v>
      </c>
      <c r="D28" s="3">
        <v>16</v>
      </c>
      <c r="E28" s="3">
        <v>110.32</v>
      </c>
      <c r="F28" s="3" t="s">
        <v>20</v>
      </c>
      <c r="G28" s="3" t="s">
        <v>23</v>
      </c>
      <c r="H28" s="3">
        <v>3</v>
      </c>
      <c r="I28" s="3">
        <v>99.2</v>
      </c>
      <c r="J28" s="3">
        <v>9</v>
      </c>
      <c r="K28" s="3">
        <v>1638.23</v>
      </c>
      <c r="L28" s="3">
        <v>0</v>
      </c>
    </row>
    <row r="29" spans="1:12" x14ac:dyDescent="0.2">
      <c r="A29" s="3">
        <v>52</v>
      </c>
      <c r="B29" s="3">
        <v>67</v>
      </c>
      <c r="C29" s="3" t="s">
        <v>16</v>
      </c>
      <c r="D29" s="3">
        <v>51</v>
      </c>
      <c r="E29" s="3">
        <v>81.73</v>
      </c>
      <c r="F29" s="3" t="s">
        <v>18</v>
      </c>
      <c r="G29" s="3" t="s">
        <v>22</v>
      </c>
      <c r="H29" s="3">
        <v>1</v>
      </c>
      <c r="I29" s="3">
        <v>76</v>
      </c>
      <c r="J29" s="3">
        <v>8</v>
      </c>
      <c r="K29" s="3">
        <v>4156.22</v>
      </c>
      <c r="L29" s="3">
        <v>0</v>
      </c>
    </row>
    <row r="30" spans="1:12" x14ac:dyDescent="0.2">
      <c r="A30" s="3">
        <v>53</v>
      </c>
      <c r="B30" s="3">
        <v>26</v>
      </c>
      <c r="C30" s="3" t="s">
        <v>15</v>
      </c>
      <c r="D30" s="3">
        <v>57</v>
      </c>
      <c r="E30" s="3">
        <v>118.05</v>
      </c>
      <c r="F30" s="3" t="s">
        <v>20</v>
      </c>
      <c r="G30" s="3" t="s">
        <v>23</v>
      </c>
      <c r="H30" s="3">
        <v>2</v>
      </c>
      <c r="I30" s="3">
        <v>75.3</v>
      </c>
      <c r="J30" s="3">
        <v>8</v>
      </c>
      <c r="K30" s="3">
        <v>6093.02</v>
      </c>
      <c r="L30" s="3">
        <v>0</v>
      </c>
    </row>
    <row r="31" spans="1:12" x14ac:dyDescent="0.2">
      <c r="A31" s="3">
        <v>54</v>
      </c>
      <c r="B31" s="3">
        <v>43</v>
      </c>
      <c r="C31" s="3" t="s">
        <v>15</v>
      </c>
      <c r="D31" s="3">
        <v>29</v>
      </c>
      <c r="E31" s="3">
        <v>80.81</v>
      </c>
      <c r="F31" s="3" t="s">
        <v>20</v>
      </c>
      <c r="G31" s="3" t="s">
        <v>23</v>
      </c>
      <c r="H31" s="3">
        <v>1</v>
      </c>
      <c r="I31" s="3">
        <v>95.3</v>
      </c>
      <c r="J31" s="3">
        <v>10</v>
      </c>
      <c r="K31" s="3">
        <v>2346.0500000000002</v>
      </c>
      <c r="L31" s="3">
        <v>0</v>
      </c>
    </row>
    <row r="32" spans="1:12" x14ac:dyDescent="0.2">
      <c r="A32" s="3">
        <v>57</v>
      </c>
      <c r="B32" s="3">
        <v>45</v>
      </c>
      <c r="C32" s="3" t="s">
        <v>16</v>
      </c>
      <c r="D32" s="3">
        <v>62</v>
      </c>
      <c r="E32" s="3">
        <v>29.1</v>
      </c>
      <c r="F32" s="3" t="s">
        <v>20</v>
      </c>
      <c r="G32" s="3" t="s">
        <v>22</v>
      </c>
      <c r="H32" s="3">
        <v>3</v>
      </c>
      <c r="I32" s="3">
        <v>98.1</v>
      </c>
      <c r="J32" s="3">
        <v>6</v>
      </c>
      <c r="K32" s="3">
        <v>1637.85</v>
      </c>
      <c r="L32" s="3">
        <v>0</v>
      </c>
    </row>
    <row r="33" spans="1:12" x14ac:dyDescent="0.2">
      <c r="A33" s="3">
        <v>58</v>
      </c>
      <c r="B33" s="3">
        <v>64</v>
      </c>
      <c r="C33" s="3" t="s">
        <v>15</v>
      </c>
      <c r="D33" s="3">
        <v>69</v>
      </c>
      <c r="E33" s="3">
        <v>92.64</v>
      </c>
      <c r="F33" s="3" t="s">
        <v>18</v>
      </c>
      <c r="G33" s="3" t="s">
        <v>24</v>
      </c>
      <c r="H33" s="3">
        <v>5</v>
      </c>
      <c r="I33" s="3">
        <v>20.7</v>
      </c>
      <c r="J33" s="3">
        <v>9</v>
      </c>
      <c r="K33" s="3">
        <v>5792.52</v>
      </c>
      <c r="L33" s="3">
        <v>0</v>
      </c>
    </row>
    <row r="34" spans="1:12" x14ac:dyDescent="0.2">
      <c r="A34" s="3">
        <v>60</v>
      </c>
      <c r="B34" s="3">
        <v>61</v>
      </c>
      <c r="C34" s="3" t="s">
        <v>15</v>
      </c>
      <c r="D34" s="3">
        <v>48</v>
      </c>
      <c r="E34" s="3">
        <v>65.09</v>
      </c>
      <c r="F34" s="3" t="s">
        <v>18</v>
      </c>
      <c r="G34" s="3" t="s">
        <v>22</v>
      </c>
      <c r="H34" s="3">
        <v>3</v>
      </c>
      <c r="I34" s="3">
        <v>60.7</v>
      </c>
      <c r="J34" s="3">
        <v>3</v>
      </c>
      <c r="K34" s="3">
        <v>2911.88</v>
      </c>
      <c r="L34" s="3">
        <v>0</v>
      </c>
    </row>
    <row r="35" spans="1:12" x14ac:dyDescent="0.2">
      <c r="A35" s="3">
        <v>62</v>
      </c>
      <c r="B35" s="3">
        <v>64</v>
      </c>
      <c r="C35" s="3" t="s">
        <v>16</v>
      </c>
      <c r="D35" s="3">
        <v>33</v>
      </c>
      <c r="E35" s="3">
        <v>49.8</v>
      </c>
      <c r="F35" s="3" t="s">
        <v>20</v>
      </c>
      <c r="G35" s="3" t="s">
        <v>22</v>
      </c>
      <c r="H35" s="3">
        <v>3</v>
      </c>
      <c r="I35" s="3">
        <v>71.3</v>
      </c>
      <c r="J35" s="3">
        <v>10</v>
      </c>
      <c r="K35" s="3">
        <v>1727.61</v>
      </c>
      <c r="L35" s="3">
        <v>0</v>
      </c>
    </row>
    <row r="36" spans="1:12" x14ac:dyDescent="0.2">
      <c r="A36" s="3">
        <v>64</v>
      </c>
      <c r="B36" s="3">
        <v>31</v>
      </c>
      <c r="C36" s="3" t="s">
        <v>16</v>
      </c>
      <c r="D36" s="3">
        <v>10</v>
      </c>
      <c r="E36" s="3">
        <v>89.76</v>
      </c>
      <c r="F36" s="3" t="s">
        <v>19</v>
      </c>
      <c r="G36" s="3" t="s">
        <v>24</v>
      </c>
      <c r="H36" s="3">
        <v>2</v>
      </c>
      <c r="I36" s="3">
        <v>79.3</v>
      </c>
      <c r="J36" s="3">
        <v>9</v>
      </c>
      <c r="K36" s="3">
        <v>859.77</v>
      </c>
      <c r="L36" s="3">
        <v>0</v>
      </c>
    </row>
    <row r="37" spans="1:12" x14ac:dyDescent="0.2">
      <c r="A37" s="3">
        <v>69</v>
      </c>
      <c r="B37" s="3">
        <v>21</v>
      </c>
      <c r="C37" s="3" t="s">
        <v>16</v>
      </c>
      <c r="D37" s="3">
        <v>19</v>
      </c>
      <c r="E37" s="3">
        <v>26.62</v>
      </c>
      <c r="F37" s="3" t="s">
        <v>20</v>
      </c>
      <c r="G37" s="3" t="s">
        <v>24</v>
      </c>
      <c r="H37" s="3">
        <v>2</v>
      </c>
      <c r="I37" s="3">
        <v>48.9</v>
      </c>
      <c r="J37" s="3">
        <v>9</v>
      </c>
      <c r="K37" s="3">
        <v>545.07000000000005</v>
      </c>
      <c r="L37" s="3">
        <v>0</v>
      </c>
    </row>
    <row r="38" spans="1:12" x14ac:dyDescent="0.2">
      <c r="A38" s="3">
        <v>71</v>
      </c>
      <c r="B38" s="3">
        <v>23</v>
      </c>
      <c r="C38" s="3" t="s">
        <v>15</v>
      </c>
      <c r="D38" s="3">
        <v>1</v>
      </c>
      <c r="E38" s="3">
        <v>82.08</v>
      </c>
      <c r="F38" s="3" t="s">
        <v>19</v>
      </c>
      <c r="G38" s="3" t="s">
        <v>22</v>
      </c>
      <c r="H38" s="3">
        <v>3</v>
      </c>
      <c r="I38" s="3">
        <v>46.3</v>
      </c>
      <c r="J38" s="3">
        <v>4</v>
      </c>
      <c r="K38" s="3">
        <v>87.44</v>
      </c>
      <c r="L38" s="3">
        <v>0</v>
      </c>
    </row>
    <row r="39" spans="1:12" x14ac:dyDescent="0.2">
      <c r="A39" s="3">
        <v>77</v>
      </c>
      <c r="B39" s="3">
        <v>61</v>
      </c>
      <c r="C39" s="3" t="s">
        <v>16</v>
      </c>
      <c r="D39" s="3">
        <v>32</v>
      </c>
      <c r="E39" s="3">
        <v>66.010000000000005</v>
      </c>
      <c r="F39" s="3" t="s">
        <v>18</v>
      </c>
      <c r="G39" s="3" t="s">
        <v>23</v>
      </c>
      <c r="H39" s="3">
        <v>3</v>
      </c>
      <c r="I39" s="3">
        <v>91.4</v>
      </c>
      <c r="J39" s="3">
        <v>1</v>
      </c>
      <c r="K39" s="3">
        <v>2044.89</v>
      </c>
      <c r="L39" s="3">
        <v>0</v>
      </c>
    </row>
    <row r="40" spans="1:12" x14ac:dyDescent="0.2">
      <c r="A40" s="3">
        <v>78</v>
      </c>
      <c r="B40" s="3">
        <v>51</v>
      </c>
      <c r="C40" s="3" t="s">
        <v>15</v>
      </c>
      <c r="D40" s="3">
        <v>24</v>
      </c>
      <c r="E40" s="3">
        <v>78.48</v>
      </c>
      <c r="F40" s="3" t="s">
        <v>20</v>
      </c>
      <c r="G40" s="3" t="s">
        <v>23</v>
      </c>
      <c r="H40" s="3">
        <v>3</v>
      </c>
      <c r="I40" s="3">
        <v>79.099999999999994</v>
      </c>
      <c r="J40" s="3">
        <v>9</v>
      </c>
      <c r="K40" s="3">
        <v>1899.12</v>
      </c>
      <c r="L40" s="3">
        <v>0</v>
      </c>
    </row>
    <row r="41" spans="1:12" x14ac:dyDescent="0.2">
      <c r="A41" s="3">
        <v>80</v>
      </c>
      <c r="B41" s="3">
        <v>53</v>
      </c>
      <c r="C41" s="3" t="s">
        <v>16</v>
      </c>
      <c r="D41" s="3">
        <v>50</v>
      </c>
      <c r="E41" s="3">
        <v>89.77</v>
      </c>
      <c r="F41" s="3" t="s">
        <v>20</v>
      </c>
      <c r="G41" s="3" t="s">
        <v>23</v>
      </c>
      <c r="H41" s="3">
        <v>1</v>
      </c>
      <c r="I41" s="3">
        <v>10.4</v>
      </c>
      <c r="J41" s="3">
        <v>8</v>
      </c>
      <c r="K41" s="3">
        <v>4536.72</v>
      </c>
      <c r="L41" s="3">
        <v>0</v>
      </c>
    </row>
    <row r="42" spans="1:12" x14ac:dyDescent="0.2">
      <c r="A42" s="3">
        <v>83</v>
      </c>
      <c r="B42" s="3">
        <v>65</v>
      </c>
      <c r="C42" s="3" t="s">
        <v>15</v>
      </c>
      <c r="D42" s="3">
        <v>33</v>
      </c>
      <c r="E42" s="3">
        <v>61.17</v>
      </c>
      <c r="F42" s="3" t="s">
        <v>20</v>
      </c>
      <c r="G42" s="3" t="s">
        <v>23</v>
      </c>
      <c r="H42" s="3">
        <v>0</v>
      </c>
      <c r="I42" s="3">
        <v>42.9</v>
      </c>
      <c r="J42" s="3">
        <v>5</v>
      </c>
      <c r="K42" s="3">
        <v>2153.31</v>
      </c>
      <c r="L42" s="3">
        <v>0</v>
      </c>
    </row>
    <row r="43" spans="1:12" x14ac:dyDescent="0.2">
      <c r="A43" s="3">
        <v>84</v>
      </c>
      <c r="B43" s="3">
        <v>32</v>
      </c>
      <c r="C43" s="3" t="s">
        <v>15</v>
      </c>
      <c r="D43" s="3">
        <v>61</v>
      </c>
      <c r="E43" s="3">
        <v>107.43</v>
      </c>
      <c r="F43" s="3" t="s">
        <v>20</v>
      </c>
      <c r="G43" s="3" t="s">
        <v>24</v>
      </c>
      <c r="H43" s="3">
        <v>3</v>
      </c>
      <c r="I43" s="3">
        <v>92.6</v>
      </c>
      <c r="J43" s="3">
        <v>3</v>
      </c>
      <c r="K43" s="3">
        <v>6475.17</v>
      </c>
      <c r="L43" s="3">
        <v>0</v>
      </c>
    </row>
    <row r="44" spans="1:12" x14ac:dyDescent="0.2">
      <c r="A44" s="3">
        <v>85</v>
      </c>
      <c r="B44" s="3">
        <v>25</v>
      </c>
      <c r="C44" s="3" t="s">
        <v>15</v>
      </c>
      <c r="D44" s="3">
        <v>51</v>
      </c>
      <c r="E44" s="3">
        <v>71.52</v>
      </c>
      <c r="F44" s="3" t="s">
        <v>19</v>
      </c>
      <c r="G44" s="3" t="s">
        <v>24</v>
      </c>
      <c r="H44" s="3">
        <v>1</v>
      </c>
      <c r="I44" s="3">
        <v>49.8</v>
      </c>
      <c r="J44" s="3">
        <v>9</v>
      </c>
      <c r="K44" s="3">
        <v>3503.32</v>
      </c>
      <c r="L44" s="3">
        <v>0</v>
      </c>
    </row>
    <row r="45" spans="1:12" x14ac:dyDescent="0.2">
      <c r="A45" s="3">
        <v>86</v>
      </c>
      <c r="B45" s="3">
        <v>31</v>
      </c>
      <c r="C45" s="3" t="s">
        <v>15</v>
      </c>
      <c r="D45" s="3">
        <v>43</v>
      </c>
      <c r="E45" s="3">
        <v>117.31</v>
      </c>
      <c r="F45" s="3" t="s">
        <v>20</v>
      </c>
      <c r="G45" s="3" t="s">
        <v>23</v>
      </c>
      <c r="H45" s="3">
        <v>3</v>
      </c>
      <c r="I45" s="3">
        <v>6.3</v>
      </c>
      <c r="J45" s="3">
        <v>9</v>
      </c>
      <c r="K45" s="3">
        <v>4801.53</v>
      </c>
      <c r="L45" s="3">
        <v>0</v>
      </c>
    </row>
    <row r="46" spans="1:12" x14ac:dyDescent="0.2">
      <c r="A46" s="3">
        <v>88</v>
      </c>
      <c r="B46" s="3">
        <v>57</v>
      </c>
      <c r="C46" s="3" t="s">
        <v>16</v>
      </c>
      <c r="D46" s="3">
        <v>67</v>
      </c>
      <c r="E46" s="3">
        <v>42.38</v>
      </c>
      <c r="F46" s="3" t="s">
        <v>20</v>
      </c>
      <c r="G46" s="3" t="s">
        <v>22</v>
      </c>
      <c r="H46" s="3">
        <v>0</v>
      </c>
      <c r="I46" s="3">
        <v>9.1999999999999993</v>
      </c>
      <c r="J46" s="3">
        <v>4</v>
      </c>
      <c r="K46" s="3">
        <v>2588.25</v>
      </c>
      <c r="L46" s="3">
        <v>0</v>
      </c>
    </row>
    <row r="47" spans="1:12" x14ac:dyDescent="0.2">
      <c r="A47" s="3">
        <v>89</v>
      </c>
      <c r="B47" s="3">
        <v>38</v>
      </c>
      <c r="C47" s="3" t="s">
        <v>15</v>
      </c>
      <c r="D47" s="3">
        <v>65</v>
      </c>
      <c r="E47" s="3">
        <v>102.18</v>
      </c>
      <c r="F47" s="3" t="s">
        <v>20</v>
      </c>
      <c r="G47" s="3" t="s">
        <v>23</v>
      </c>
      <c r="H47" s="3">
        <v>0</v>
      </c>
      <c r="I47" s="3">
        <v>8.4</v>
      </c>
      <c r="J47" s="3">
        <v>8</v>
      </c>
      <c r="K47" s="3">
        <v>6432.42</v>
      </c>
      <c r="L47" s="3">
        <v>0</v>
      </c>
    </row>
    <row r="48" spans="1:12" x14ac:dyDescent="0.2">
      <c r="A48" s="3">
        <v>91</v>
      </c>
      <c r="B48" s="3">
        <v>62</v>
      </c>
      <c r="C48" s="3" t="s">
        <v>16</v>
      </c>
      <c r="D48" s="3">
        <v>40</v>
      </c>
      <c r="E48" s="3">
        <v>54.76</v>
      </c>
      <c r="F48" s="3" t="s">
        <v>20</v>
      </c>
      <c r="G48" s="3" t="s">
        <v>23</v>
      </c>
      <c r="H48" s="3">
        <v>1</v>
      </c>
      <c r="I48" s="3">
        <v>31.2</v>
      </c>
      <c r="J48" s="3">
        <v>9</v>
      </c>
      <c r="K48" s="3">
        <v>2394.73</v>
      </c>
      <c r="L48" s="3">
        <v>0</v>
      </c>
    </row>
    <row r="49" spans="1:12" x14ac:dyDescent="0.2">
      <c r="A49" s="3">
        <v>94</v>
      </c>
      <c r="B49" s="3">
        <v>41</v>
      </c>
      <c r="C49" s="3" t="s">
        <v>16</v>
      </c>
      <c r="D49" s="3">
        <v>29</v>
      </c>
      <c r="E49" s="3">
        <v>73.44</v>
      </c>
      <c r="F49" s="3" t="s">
        <v>20</v>
      </c>
      <c r="G49" s="3" t="s">
        <v>22</v>
      </c>
      <c r="H49" s="3">
        <v>3</v>
      </c>
      <c r="I49" s="3">
        <v>40.299999999999997</v>
      </c>
      <c r="J49" s="3">
        <v>8</v>
      </c>
      <c r="K49" s="3">
        <v>2164.04</v>
      </c>
      <c r="L49" s="3">
        <v>0</v>
      </c>
    </row>
    <row r="50" spans="1:12" x14ac:dyDescent="0.2">
      <c r="A50" s="3">
        <v>95</v>
      </c>
      <c r="B50" s="3">
        <v>43</v>
      </c>
      <c r="C50" s="3" t="s">
        <v>15</v>
      </c>
      <c r="D50" s="3">
        <v>13</v>
      </c>
      <c r="E50" s="3">
        <v>55.6</v>
      </c>
      <c r="F50" s="3" t="s">
        <v>18</v>
      </c>
      <c r="G50" s="3" t="s">
        <v>22</v>
      </c>
      <c r="H50" s="3">
        <v>3</v>
      </c>
      <c r="I50" s="3">
        <v>45.7</v>
      </c>
      <c r="J50" s="3">
        <v>7</v>
      </c>
      <c r="K50" s="3">
        <v>670.64</v>
      </c>
      <c r="L50" s="3">
        <v>0</v>
      </c>
    </row>
    <row r="51" spans="1:12" x14ac:dyDescent="0.2">
      <c r="A51" s="3">
        <v>100</v>
      </c>
      <c r="B51" s="3">
        <v>32</v>
      </c>
      <c r="C51" s="3" t="s">
        <v>15</v>
      </c>
      <c r="D51" s="3">
        <v>8</v>
      </c>
      <c r="E51" s="3">
        <v>29.23</v>
      </c>
      <c r="F51" s="3" t="s">
        <v>18</v>
      </c>
      <c r="G51" s="3" t="s">
        <v>23</v>
      </c>
      <c r="H51" s="3">
        <v>0</v>
      </c>
      <c r="I51" s="3">
        <v>9.4</v>
      </c>
      <c r="J51" s="3">
        <v>5</v>
      </c>
      <c r="K51" s="3">
        <v>256.94</v>
      </c>
      <c r="L51" s="3">
        <v>0</v>
      </c>
    </row>
    <row r="52" spans="1:12" x14ac:dyDescent="0.2">
      <c r="A52" s="3">
        <v>101</v>
      </c>
      <c r="B52" s="3">
        <v>62</v>
      </c>
      <c r="C52" s="3" t="s">
        <v>16</v>
      </c>
      <c r="D52" s="3">
        <v>26</v>
      </c>
      <c r="E52" s="3">
        <v>68.11</v>
      </c>
      <c r="F52" s="3" t="s">
        <v>20</v>
      </c>
      <c r="G52" s="3" t="s">
        <v>22</v>
      </c>
      <c r="H52" s="3">
        <v>1</v>
      </c>
      <c r="I52" s="3">
        <v>63.9</v>
      </c>
      <c r="J52" s="3">
        <v>5</v>
      </c>
      <c r="K52" s="3">
        <v>1905.56</v>
      </c>
      <c r="L52" s="3">
        <v>0</v>
      </c>
    </row>
    <row r="53" spans="1:12" x14ac:dyDescent="0.2">
      <c r="A53" s="3">
        <v>106</v>
      </c>
      <c r="B53" s="3">
        <v>41</v>
      </c>
      <c r="C53" s="3" t="s">
        <v>16</v>
      </c>
      <c r="D53" s="3">
        <v>29</v>
      </c>
      <c r="E53" s="3">
        <v>20.260000000000002</v>
      </c>
      <c r="F53" s="3" t="s">
        <v>20</v>
      </c>
      <c r="G53" s="3" t="s">
        <v>23</v>
      </c>
      <c r="H53" s="3">
        <v>3</v>
      </c>
      <c r="I53" s="3">
        <v>13.2</v>
      </c>
      <c r="J53" s="3">
        <v>5</v>
      </c>
      <c r="K53" s="3">
        <v>575.22</v>
      </c>
      <c r="L53" s="3">
        <v>0</v>
      </c>
    </row>
    <row r="54" spans="1:12" x14ac:dyDescent="0.2">
      <c r="A54" s="3">
        <v>107</v>
      </c>
      <c r="B54" s="3">
        <v>18</v>
      </c>
      <c r="C54" s="3" t="s">
        <v>15</v>
      </c>
      <c r="D54" s="3">
        <v>36</v>
      </c>
      <c r="E54" s="3">
        <v>106.83</v>
      </c>
      <c r="F54" s="3" t="s">
        <v>20</v>
      </c>
      <c r="G54" s="3" t="s">
        <v>24</v>
      </c>
      <c r="H54" s="3">
        <v>0</v>
      </c>
      <c r="I54" s="3">
        <v>27.5</v>
      </c>
      <c r="J54" s="3">
        <v>9</v>
      </c>
      <c r="K54" s="3">
        <v>3491.64</v>
      </c>
      <c r="L54" s="3">
        <v>0</v>
      </c>
    </row>
    <row r="55" spans="1:12" x14ac:dyDescent="0.2">
      <c r="A55" s="3">
        <v>108</v>
      </c>
      <c r="B55" s="3">
        <v>61</v>
      </c>
      <c r="C55" s="3" t="s">
        <v>16</v>
      </c>
      <c r="D55" s="3">
        <v>21</v>
      </c>
      <c r="E55" s="3">
        <v>28.45</v>
      </c>
      <c r="F55" s="3" t="s">
        <v>20</v>
      </c>
      <c r="G55" s="3" t="s">
        <v>22</v>
      </c>
      <c r="H55" s="3">
        <v>1</v>
      </c>
      <c r="I55" s="3">
        <v>74.599999999999994</v>
      </c>
      <c r="J55" s="3">
        <v>9</v>
      </c>
      <c r="K55" s="3">
        <v>594.53</v>
      </c>
      <c r="L55" s="3">
        <v>0</v>
      </c>
    </row>
    <row r="56" spans="1:12" x14ac:dyDescent="0.2">
      <c r="A56" s="3">
        <v>110</v>
      </c>
      <c r="B56" s="3">
        <v>41</v>
      </c>
      <c r="C56" s="3" t="s">
        <v>16</v>
      </c>
      <c r="D56" s="3">
        <v>10</v>
      </c>
      <c r="E56" s="3">
        <v>118.63</v>
      </c>
      <c r="F56" s="3" t="s">
        <v>20</v>
      </c>
      <c r="G56" s="3" t="s">
        <v>23</v>
      </c>
      <c r="H56" s="3">
        <v>4</v>
      </c>
      <c r="I56" s="3">
        <v>17.2</v>
      </c>
      <c r="J56" s="3">
        <v>3</v>
      </c>
      <c r="K56" s="3">
        <v>1121.71</v>
      </c>
      <c r="L56" s="3">
        <v>0</v>
      </c>
    </row>
    <row r="57" spans="1:12" x14ac:dyDescent="0.2">
      <c r="A57" s="3">
        <v>111</v>
      </c>
      <c r="B57" s="3">
        <v>28</v>
      </c>
      <c r="C57" s="3" t="s">
        <v>15</v>
      </c>
      <c r="D57" s="3">
        <v>24</v>
      </c>
      <c r="E57" s="3">
        <v>73.66</v>
      </c>
      <c r="F57" s="3" t="s">
        <v>19</v>
      </c>
      <c r="G57" s="3" t="s">
        <v>23</v>
      </c>
      <c r="H57" s="3">
        <v>1</v>
      </c>
      <c r="I57" s="3">
        <v>88.8</v>
      </c>
      <c r="J57" s="3">
        <v>1</v>
      </c>
      <c r="K57" s="3">
        <v>1931.91</v>
      </c>
      <c r="L57" s="3">
        <v>0</v>
      </c>
    </row>
    <row r="58" spans="1:12" x14ac:dyDescent="0.2">
      <c r="A58" s="3">
        <v>112</v>
      </c>
      <c r="B58" s="3">
        <v>68</v>
      </c>
      <c r="C58" s="3" t="s">
        <v>15</v>
      </c>
      <c r="D58" s="3">
        <v>64</v>
      </c>
      <c r="E58" s="3">
        <v>112.4</v>
      </c>
      <c r="F58" s="3" t="s">
        <v>20</v>
      </c>
      <c r="G58" s="3" t="s">
        <v>24</v>
      </c>
      <c r="H58" s="3">
        <v>1</v>
      </c>
      <c r="I58" s="3">
        <v>42.4</v>
      </c>
      <c r="J58" s="3">
        <v>2</v>
      </c>
      <c r="K58" s="3">
        <v>7782.69</v>
      </c>
      <c r="L58" s="3">
        <v>0</v>
      </c>
    </row>
    <row r="59" spans="1:12" x14ac:dyDescent="0.2">
      <c r="A59" s="3">
        <v>113</v>
      </c>
      <c r="B59" s="3">
        <v>34</v>
      </c>
      <c r="C59" s="3" t="s">
        <v>15</v>
      </c>
      <c r="D59" s="3">
        <v>49</v>
      </c>
      <c r="E59" s="3">
        <v>43.61</v>
      </c>
      <c r="F59" s="3" t="s">
        <v>18</v>
      </c>
      <c r="G59" s="3" t="s">
        <v>22</v>
      </c>
      <c r="H59" s="3">
        <v>3</v>
      </c>
      <c r="I59" s="3">
        <v>83.6</v>
      </c>
      <c r="J59" s="3">
        <v>8</v>
      </c>
      <c r="K59" s="3">
        <v>2231.83</v>
      </c>
      <c r="L59" s="3">
        <v>0</v>
      </c>
    </row>
    <row r="60" spans="1:12" x14ac:dyDescent="0.2">
      <c r="A60" s="3">
        <v>115</v>
      </c>
      <c r="B60" s="3">
        <v>52</v>
      </c>
      <c r="C60" s="3" t="s">
        <v>15</v>
      </c>
      <c r="D60" s="3">
        <v>24</v>
      </c>
      <c r="E60" s="3">
        <v>73.13</v>
      </c>
      <c r="F60" s="3" t="s">
        <v>18</v>
      </c>
      <c r="G60" s="3" t="s">
        <v>24</v>
      </c>
      <c r="H60" s="3">
        <v>3</v>
      </c>
      <c r="I60" s="3">
        <v>64.3</v>
      </c>
      <c r="J60" s="3">
        <v>8</v>
      </c>
      <c r="K60" s="3">
        <v>1884.99</v>
      </c>
      <c r="L60" s="3">
        <v>0</v>
      </c>
    </row>
    <row r="61" spans="1:12" x14ac:dyDescent="0.2">
      <c r="A61" s="3">
        <v>119</v>
      </c>
      <c r="B61" s="3">
        <v>59</v>
      </c>
      <c r="C61" s="3" t="s">
        <v>15</v>
      </c>
      <c r="D61" s="3">
        <v>12</v>
      </c>
      <c r="E61" s="3">
        <v>33.31</v>
      </c>
      <c r="F61" s="3" t="s">
        <v>20</v>
      </c>
      <c r="G61" s="3" t="s">
        <v>23</v>
      </c>
      <c r="H61" s="3">
        <v>0</v>
      </c>
      <c r="I61" s="3">
        <v>73.900000000000006</v>
      </c>
      <c r="J61" s="3">
        <v>9</v>
      </c>
      <c r="K61" s="3">
        <v>423.24</v>
      </c>
      <c r="L61" s="3">
        <v>0</v>
      </c>
    </row>
    <row r="62" spans="1:12" x14ac:dyDescent="0.2">
      <c r="A62" s="3">
        <v>120</v>
      </c>
      <c r="B62" s="3">
        <v>56</v>
      </c>
      <c r="C62" s="3" t="s">
        <v>16</v>
      </c>
      <c r="D62" s="3">
        <v>55</v>
      </c>
      <c r="E62" s="3">
        <v>88.72</v>
      </c>
      <c r="F62" s="3" t="s">
        <v>20</v>
      </c>
      <c r="G62" s="3" t="s">
        <v>22</v>
      </c>
      <c r="H62" s="3">
        <v>4</v>
      </c>
      <c r="I62" s="3">
        <v>23.2</v>
      </c>
      <c r="J62" s="3">
        <v>3</v>
      </c>
      <c r="K62" s="3">
        <v>4660.7700000000004</v>
      </c>
      <c r="L62" s="3">
        <v>0</v>
      </c>
    </row>
    <row r="63" spans="1:12" x14ac:dyDescent="0.2">
      <c r="A63" s="3">
        <v>121</v>
      </c>
      <c r="B63" s="3">
        <v>58</v>
      </c>
      <c r="C63" s="3" t="s">
        <v>15</v>
      </c>
      <c r="D63" s="3">
        <v>13</v>
      </c>
      <c r="E63" s="3">
        <v>104.44</v>
      </c>
      <c r="F63" s="3" t="s">
        <v>20</v>
      </c>
      <c r="G63" s="3" t="s">
        <v>23</v>
      </c>
      <c r="H63" s="3">
        <v>0</v>
      </c>
      <c r="I63" s="3">
        <v>37.1</v>
      </c>
      <c r="J63" s="3">
        <v>10</v>
      </c>
      <c r="K63" s="3">
        <v>1460.12</v>
      </c>
      <c r="L63" s="3">
        <v>0</v>
      </c>
    </row>
    <row r="64" spans="1:12" x14ac:dyDescent="0.2">
      <c r="A64" s="3">
        <v>123</v>
      </c>
      <c r="B64" s="3">
        <v>24</v>
      </c>
      <c r="C64" s="3" t="s">
        <v>16</v>
      </c>
      <c r="D64" s="3">
        <v>30</v>
      </c>
      <c r="E64" s="3">
        <v>23.05</v>
      </c>
      <c r="F64" s="3" t="s">
        <v>20</v>
      </c>
      <c r="G64" s="3" t="s">
        <v>24</v>
      </c>
      <c r="H64" s="3">
        <v>2</v>
      </c>
      <c r="I64" s="3">
        <v>95</v>
      </c>
      <c r="J64" s="3">
        <v>6</v>
      </c>
      <c r="K64" s="3">
        <v>642.92999999999995</v>
      </c>
      <c r="L64" s="3">
        <v>0</v>
      </c>
    </row>
    <row r="65" spans="1:12" x14ac:dyDescent="0.2">
      <c r="A65" s="3">
        <v>124</v>
      </c>
      <c r="B65" s="3">
        <v>26</v>
      </c>
      <c r="C65" s="3" t="s">
        <v>16</v>
      </c>
      <c r="D65" s="3">
        <v>17</v>
      </c>
      <c r="E65" s="3">
        <v>106.72</v>
      </c>
      <c r="F65" s="3" t="s">
        <v>20</v>
      </c>
      <c r="G65" s="3" t="s">
        <v>23</v>
      </c>
      <c r="H65" s="3">
        <v>2</v>
      </c>
      <c r="I65" s="3">
        <v>96.9</v>
      </c>
      <c r="J65" s="3">
        <v>8</v>
      </c>
      <c r="K65" s="3">
        <v>1800.7</v>
      </c>
      <c r="L65" s="3">
        <v>0</v>
      </c>
    </row>
    <row r="66" spans="1:12" x14ac:dyDescent="0.2">
      <c r="A66" s="3">
        <v>125</v>
      </c>
      <c r="B66" s="3">
        <v>25</v>
      </c>
      <c r="C66" s="3" t="s">
        <v>15</v>
      </c>
      <c r="D66" s="3">
        <v>62</v>
      </c>
      <c r="E66" s="3">
        <v>55.41</v>
      </c>
      <c r="F66" s="3" t="s">
        <v>19</v>
      </c>
      <c r="G66" s="3" t="s">
        <v>24</v>
      </c>
      <c r="H66" s="3">
        <v>3</v>
      </c>
      <c r="I66" s="3">
        <v>22.4</v>
      </c>
      <c r="J66" s="3">
        <v>5</v>
      </c>
      <c r="K66" s="3">
        <v>3765.9</v>
      </c>
      <c r="L66" s="3">
        <v>0</v>
      </c>
    </row>
    <row r="67" spans="1:12" x14ac:dyDescent="0.2">
      <c r="A67" s="3">
        <v>126</v>
      </c>
      <c r="B67" s="3">
        <v>29</v>
      </c>
      <c r="C67" s="3" t="s">
        <v>16</v>
      </c>
      <c r="D67" s="3">
        <v>13</v>
      </c>
      <c r="E67" s="3">
        <v>59.72</v>
      </c>
      <c r="F67" s="3" t="s">
        <v>20</v>
      </c>
      <c r="G67" s="3" t="s">
        <v>22</v>
      </c>
      <c r="H67" s="3">
        <v>0</v>
      </c>
      <c r="I67" s="3">
        <v>7.1</v>
      </c>
      <c r="J67" s="3">
        <v>3</v>
      </c>
      <c r="K67" s="3">
        <v>773.78</v>
      </c>
      <c r="L67" s="3">
        <v>0</v>
      </c>
    </row>
    <row r="68" spans="1:12" x14ac:dyDescent="0.2">
      <c r="A68" s="3">
        <v>127</v>
      </c>
      <c r="B68" s="3">
        <v>51</v>
      </c>
      <c r="C68" s="3" t="s">
        <v>15</v>
      </c>
      <c r="D68" s="3">
        <v>59</v>
      </c>
      <c r="E68" s="3">
        <v>30.49</v>
      </c>
      <c r="F68" s="3" t="s">
        <v>18</v>
      </c>
      <c r="G68" s="3" t="s">
        <v>23</v>
      </c>
      <c r="H68" s="3">
        <v>4</v>
      </c>
      <c r="I68" s="3">
        <v>73.400000000000006</v>
      </c>
      <c r="J68" s="3">
        <v>6</v>
      </c>
      <c r="K68" s="3">
        <v>1929.71</v>
      </c>
      <c r="L68" s="3">
        <v>0</v>
      </c>
    </row>
    <row r="69" spans="1:12" x14ac:dyDescent="0.2">
      <c r="A69" s="3">
        <v>128</v>
      </c>
      <c r="B69" s="3">
        <v>50</v>
      </c>
      <c r="C69" s="3" t="s">
        <v>15</v>
      </c>
      <c r="D69" s="3">
        <v>19</v>
      </c>
      <c r="E69" s="3">
        <v>93.74</v>
      </c>
      <c r="F69" s="3" t="s">
        <v>18</v>
      </c>
      <c r="G69" s="3" t="s">
        <v>24</v>
      </c>
      <c r="H69" s="3">
        <v>1</v>
      </c>
      <c r="I69" s="3">
        <v>44.7</v>
      </c>
      <c r="J69" s="3">
        <v>4</v>
      </c>
      <c r="K69" s="3">
        <v>1812.67</v>
      </c>
      <c r="L69" s="3">
        <v>0</v>
      </c>
    </row>
    <row r="70" spans="1:12" x14ac:dyDescent="0.2">
      <c r="A70" s="3">
        <v>135</v>
      </c>
      <c r="B70" s="3">
        <v>57</v>
      </c>
      <c r="C70" s="3" t="s">
        <v>15</v>
      </c>
      <c r="D70" s="3">
        <v>28</v>
      </c>
      <c r="E70" s="3">
        <v>54.29</v>
      </c>
      <c r="F70" s="3" t="s">
        <v>20</v>
      </c>
      <c r="G70" s="3" t="s">
        <v>22</v>
      </c>
      <c r="H70" s="3">
        <v>1</v>
      </c>
      <c r="I70" s="3">
        <v>56.5</v>
      </c>
      <c r="J70" s="3">
        <v>6</v>
      </c>
      <c r="K70" s="3">
        <v>1517.79</v>
      </c>
      <c r="L70" s="3">
        <v>0</v>
      </c>
    </row>
    <row r="71" spans="1:12" x14ac:dyDescent="0.2">
      <c r="A71" s="3">
        <v>138</v>
      </c>
      <c r="B71" s="3">
        <v>52</v>
      </c>
      <c r="C71" s="3" t="s">
        <v>15</v>
      </c>
      <c r="D71" s="3">
        <v>69</v>
      </c>
      <c r="E71" s="3">
        <v>84.88</v>
      </c>
      <c r="F71" s="3" t="s">
        <v>18</v>
      </c>
      <c r="G71" s="3" t="s">
        <v>22</v>
      </c>
      <c r="H71" s="3">
        <v>1</v>
      </c>
      <c r="I71" s="3">
        <v>63.2</v>
      </c>
      <c r="J71" s="3">
        <v>2</v>
      </c>
      <c r="K71" s="3">
        <v>6419.83</v>
      </c>
      <c r="L71" s="3">
        <v>0</v>
      </c>
    </row>
    <row r="72" spans="1:12" x14ac:dyDescent="0.2">
      <c r="A72" s="3">
        <v>139</v>
      </c>
      <c r="B72" s="3">
        <v>18</v>
      </c>
      <c r="C72" s="3" t="s">
        <v>16</v>
      </c>
      <c r="D72" s="3">
        <v>12</v>
      </c>
      <c r="E72" s="3">
        <v>67.959999999999994</v>
      </c>
      <c r="F72" s="3" t="s">
        <v>18</v>
      </c>
      <c r="G72" s="3" t="s">
        <v>24</v>
      </c>
      <c r="H72" s="3">
        <v>3</v>
      </c>
      <c r="I72" s="3">
        <v>26.5</v>
      </c>
      <c r="J72" s="3">
        <v>8</v>
      </c>
      <c r="K72" s="3">
        <v>800.45</v>
      </c>
      <c r="L72" s="3">
        <v>0</v>
      </c>
    </row>
    <row r="73" spans="1:12" x14ac:dyDescent="0.2">
      <c r="A73" s="3">
        <v>141</v>
      </c>
      <c r="B73" s="3">
        <v>54</v>
      </c>
      <c r="C73" s="3" t="s">
        <v>16</v>
      </c>
      <c r="D73" s="3">
        <v>52</v>
      </c>
      <c r="E73" s="3">
        <v>93.68</v>
      </c>
      <c r="F73" s="3" t="s">
        <v>20</v>
      </c>
      <c r="G73" s="3" t="s">
        <v>23</v>
      </c>
      <c r="H73" s="3">
        <v>3</v>
      </c>
      <c r="I73" s="3">
        <v>45.7</v>
      </c>
      <c r="J73" s="3">
        <v>7</v>
      </c>
      <c r="K73" s="3">
        <v>5129.08</v>
      </c>
      <c r="L73" s="3">
        <v>0</v>
      </c>
    </row>
    <row r="74" spans="1:12" x14ac:dyDescent="0.2">
      <c r="A74" s="3">
        <v>142</v>
      </c>
      <c r="B74" s="3">
        <v>64</v>
      </c>
      <c r="C74" s="3" t="s">
        <v>15</v>
      </c>
      <c r="D74" s="3">
        <v>53</v>
      </c>
      <c r="E74" s="3">
        <v>75.77</v>
      </c>
      <c r="F74" s="3" t="s">
        <v>19</v>
      </c>
      <c r="G74" s="3" t="s">
        <v>23</v>
      </c>
      <c r="H74" s="3">
        <v>3</v>
      </c>
      <c r="I74" s="3">
        <v>18.399999999999999</v>
      </c>
      <c r="J74" s="3">
        <v>9</v>
      </c>
      <c r="K74" s="3">
        <v>4074.87</v>
      </c>
      <c r="L74" s="3">
        <v>0</v>
      </c>
    </row>
    <row r="75" spans="1:12" x14ac:dyDescent="0.2">
      <c r="A75" s="3">
        <v>144</v>
      </c>
      <c r="B75" s="3">
        <v>20</v>
      </c>
      <c r="C75" s="3" t="s">
        <v>15</v>
      </c>
      <c r="D75" s="3">
        <v>16</v>
      </c>
      <c r="E75" s="3">
        <v>76.45</v>
      </c>
      <c r="F75" s="3" t="s">
        <v>18</v>
      </c>
      <c r="G75" s="3" t="s">
        <v>24</v>
      </c>
      <c r="H75" s="3">
        <v>2</v>
      </c>
      <c r="I75" s="3">
        <v>25.5</v>
      </c>
      <c r="J75" s="3">
        <v>8</v>
      </c>
      <c r="K75" s="3">
        <v>1149.92</v>
      </c>
      <c r="L75" s="3">
        <v>0</v>
      </c>
    </row>
    <row r="76" spans="1:12" x14ac:dyDescent="0.2">
      <c r="A76" s="3">
        <v>145</v>
      </c>
      <c r="B76" s="3">
        <v>18</v>
      </c>
      <c r="C76" s="3" t="s">
        <v>16</v>
      </c>
      <c r="D76" s="3">
        <v>57</v>
      </c>
      <c r="E76" s="3">
        <v>57.88</v>
      </c>
      <c r="F76" s="3" t="s">
        <v>19</v>
      </c>
      <c r="G76" s="3" t="s">
        <v>24</v>
      </c>
      <c r="H76" s="3">
        <v>2</v>
      </c>
      <c r="I76" s="3">
        <v>14.3</v>
      </c>
      <c r="J76" s="3">
        <v>7</v>
      </c>
      <c r="K76" s="3">
        <v>3041.34</v>
      </c>
      <c r="L76" s="3">
        <v>0</v>
      </c>
    </row>
    <row r="77" spans="1:12" x14ac:dyDescent="0.2">
      <c r="A77" s="3">
        <v>146</v>
      </c>
      <c r="B77" s="3">
        <v>22</v>
      </c>
      <c r="C77" s="3" t="s">
        <v>16</v>
      </c>
      <c r="D77" s="3">
        <v>39</v>
      </c>
      <c r="E77" s="3">
        <v>53.74</v>
      </c>
      <c r="F77" s="3" t="s">
        <v>18</v>
      </c>
      <c r="G77" s="3" t="s">
        <v>23</v>
      </c>
      <c r="H77" s="3">
        <v>2</v>
      </c>
      <c r="I77" s="3">
        <v>86.9</v>
      </c>
      <c r="J77" s="3">
        <v>6</v>
      </c>
      <c r="K77" s="3">
        <v>2244.23</v>
      </c>
      <c r="L77" s="3">
        <v>0</v>
      </c>
    </row>
    <row r="78" spans="1:12" x14ac:dyDescent="0.2">
      <c r="A78" s="3">
        <v>147</v>
      </c>
      <c r="B78" s="3">
        <v>43</v>
      </c>
      <c r="C78" s="3" t="s">
        <v>15</v>
      </c>
      <c r="D78" s="3">
        <v>53</v>
      </c>
      <c r="E78" s="3">
        <v>109.96</v>
      </c>
      <c r="F78" s="3" t="s">
        <v>20</v>
      </c>
      <c r="G78" s="3" t="s">
        <v>23</v>
      </c>
      <c r="H78" s="3">
        <v>2</v>
      </c>
      <c r="I78" s="3">
        <v>48.7</v>
      </c>
      <c r="J78" s="3">
        <v>6</v>
      </c>
      <c r="K78" s="3">
        <v>5756.95</v>
      </c>
      <c r="L78" s="3">
        <v>0</v>
      </c>
    </row>
    <row r="79" spans="1:12" x14ac:dyDescent="0.2">
      <c r="A79" s="3">
        <v>148</v>
      </c>
      <c r="B79" s="3">
        <v>31</v>
      </c>
      <c r="C79" s="3" t="s">
        <v>16</v>
      </c>
      <c r="D79" s="3">
        <v>42</v>
      </c>
      <c r="E79" s="3">
        <v>80.760000000000005</v>
      </c>
      <c r="F79" s="3" t="s">
        <v>18</v>
      </c>
      <c r="G79" s="3" t="s">
        <v>24</v>
      </c>
      <c r="H79" s="3">
        <v>1</v>
      </c>
      <c r="I79" s="3">
        <v>76.2</v>
      </c>
      <c r="J79" s="3">
        <v>6</v>
      </c>
      <c r="K79" s="3">
        <v>3627.3</v>
      </c>
      <c r="L79" s="3">
        <v>0</v>
      </c>
    </row>
    <row r="80" spans="1:12" x14ac:dyDescent="0.2">
      <c r="A80" s="3">
        <v>152</v>
      </c>
      <c r="B80" s="3">
        <v>32</v>
      </c>
      <c r="C80" s="3" t="s">
        <v>16</v>
      </c>
      <c r="D80" s="3">
        <v>5</v>
      </c>
      <c r="E80" s="3">
        <v>113.37</v>
      </c>
      <c r="F80" s="3" t="s">
        <v>20</v>
      </c>
      <c r="G80" s="3" t="s">
        <v>24</v>
      </c>
      <c r="H80" s="3">
        <v>3</v>
      </c>
      <c r="I80" s="3">
        <v>38.799999999999997</v>
      </c>
      <c r="J80" s="3">
        <v>6</v>
      </c>
      <c r="K80" s="3">
        <v>560.99</v>
      </c>
      <c r="L80" s="3">
        <v>0</v>
      </c>
    </row>
    <row r="81" spans="1:12" x14ac:dyDescent="0.2">
      <c r="A81" s="3">
        <v>153</v>
      </c>
      <c r="B81" s="3">
        <v>32</v>
      </c>
      <c r="C81" s="3" t="s">
        <v>15</v>
      </c>
      <c r="D81" s="3">
        <v>35</v>
      </c>
      <c r="E81" s="3">
        <v>20.75</v>
      </c>
      <c r="F81" s="3" t="s">
        <v>18</v>
      </c>
      <c r="G81" s="3" t="s">
        <v>22</v>
      </c>
      <c r="H81" s="3">
        <v>3</v>
      </c>
      <c r="I81" s="3">
        <v>97.9</v>
      </c>
      <c r="J81" s="3">
        <v>10</v>
      </c>
      <c r="K81" s="3">
        <v>727.77</v>
      </c>
      <c r="L81" s="3">
        <v>0</v>
      </c>
    </row>
    <row r="82" spans="1:12" x14ac:dyDescent="0.2">
      <c r="A82" s="3">
        <v>155</v>
      </c>
      <c r="B82" s="3">
        <v>59</v>
      </c>
      <c r="C82" s="3" t="s">
        <v>15</v>
      </c>
      <c r="D82" s="3">
        <v>9</v>
      </c>
      <c r="E82" s="3">
        <v>56.54</v>
      </c>
      <c r="F82" s="3" t="s">
        <v>19</v>
      </c>
      <c r="G82" s="3" t="s">
        <v>22</v>
      </c>
      <c r="H82" s="3">
        <v>1</v>
      </c>
      <c r="I82" s="3">
        <v>52.2</v>
      </c>
      <c r="J82" s="3">
        <v>3</v>
      </c>
      <c r="K82" s="3">
        <v>552.25</v>
      </c>
      <c r="L82" s="3">
        <v>0</v>
      </c>
    </row>
    <row r="83" spans="1:12" x14ac:dyDescent="0.2">
      <c r="A83" s="3">
        <v>156</v>
      </c>
      <c r="B83" s="3">
        <v>30</v>
      </c>
      <c r="C83" s="3" t="s">
        <v>16</v>
      </c>
      <c r="D83" s="3">
        <v>58</v>
      </c>
      <c r="E83" s="3">
        <v>68.78</v>
      </c>
      <c r="F83" s="3" t="s">
        <v>20</v>
      </c>
      <c r="G83" s="3" t="s">
        <v>22</v>
      </c>
      <c r="H83" s="3">
        <v>3</v>
      </c>
      <c r="I83" s="3">
        <v>37.299999999999997</v>
      </c>
      <c r="J83" s="3">
        <v>10</v>
      </c>
      <c r="K83" s="3">
        <v>3605.57</v>
      </c>
      <c r="L83" s="3">
        <v>0</v>
      </c>
    </row>
    <row r="84" spans="1:12" x14ac:dyDescent="0.2">
      <c r="A84" s="3">
        <v>158</v>
      </c>
      <c r="B84" s="3">
        <v>49</v>
      </c>
      <c r="C84" s="3" t="s">
        <v>15</v>
      </c>
      <c r="D84" s="3">
        <v>7</v>
      </c>
      <c r="E84" s="3">
        <v>28.79</v>
      </c>
      <c r="F84" s="3" t="s">
        <v>18</v>
      </c>
      <c r="G84" s="3" t="s">
        <v>23</v>
      </c>
      <c r="H84" s="3">
        <v>3</v>
      </c>
      <c r="I84" s="3">
        <v>56.8</v>
      </c>
      <c r="J84" s="3">
        <v>9</v>
      </c>
      <c r="K84" s="3">
        <v>209.1</v>
      </c>
      <c r="L84" s="3">
        <v>0</v>
      </c>
    </row>
    <row r="85" spans="1:12" x14ac:dyDescent="0.2">
      <c r="A85" s="3">
        <v>159</v>
      </c>
      <c r="B85" s="3">
        <v>56</v>
      </c>
      <c r="C85" s="3" t="s">
        <v>15</v>
      </c>
      <c r="D85" s="3">
        <v>46</v>
      </c>
      <c r="E85" s="3">
        <v>100.59</v>
      </c>
      <c r="F85" s="3" t="s">
        <v>20</v>
      </c>
      <c r="G85" s="3" t="s">
        <v>24</v>
      </c>
      <c r="H85" s="3">
        <v>1</v>
      </c>
      <c r="I85" s="3">
        <v>77.099999999999994</v>
      </c>
      <c r="J85" s="3">
        <v>1</v>
      </c>
      <c r="K85" s="3">
        <v>4833.24</v>
      </c>
      <c r="L85" s="3">
        <v>0</v>
      </c>
    </row>
    <row r="86" spans="1:12" x14ac:dyDescent="0.2">
      <c r="A86" s="3">
        <v>161</v>
      </c>
      <c r="B86" s="3">
        <v>69</v>
      </c>
      <c r="C86" s="3" t="s">
        <v>15</v>
      </c>
      <c r="D86" s="3">
        <v>40</v>
      </c>
      <c r="E86" s="3">
        <v>104.23</v>
      </c>
      <c r="F86" s="3" t="s">
        <v>19</v>
      </c>
      <c r="G86" s="3" t="s">
        <v>22</v>
      </c>
      <c r="H86" s="3">
        <v>0</v>
      </c>
      <c r="I86" s="3">
        <v>6.7</v>
      </c>
      <c r="J86" s="3">
        <v>8</v>
      </c>
      <c r="K86" s="3">
        <v>3864.38</v>
      </c>
      <c r="L86" s="3">
        <v>0</v>
      </c>
    </row>
    <row r="87" spans="1:12" x14ac:dyDescent="0.2">
      <c r="A87" s="3">
        <v>162</v>
      </c>
      <c r="B87" s="3">
        <v>49</v>
      </c>
      <c r="C87" s="3" t="s">
        <v>16</v>
      </c>
      <c r="D87" s="3">
        <v>42</v>
      </c>
      <c r="E87" s="3">
        <v>25.16</v>
      </c>
      <c r="F87" s="3" t="s">
        <v>20</v>
      </c>
      <c r="G87" s="3" t="s">
        <v>23</v>
      </c>
      <c r="H87" s="3">
        <v>1</v>
      </c>
      <c r="I87" s="3">
        <v>17</v>
      </c>
      <c r="J87" s="3">
        <v>3</v>
      </c>
      <c r="K87" s="3">
        <v>1014.32</v>
      </c>
      <c r="L87" s="3">
        <v>0</v>
      </c>
    </row>
    <row r="88" spans="1:12" x14ac:dyDescent="0.2">
      <c r="A88" s="3">
        <v>164</v>
      </c>
      <c r="B88" s="3">
        <v>47</v>
      </c>
      <c r="C88" s="3" t="s">
        <v>16</v>
      </c>
      <c r="D88" s="3">
        <v>50</v>
      </c>
      <c r="E88" s="3">
        <v>89.7</v>
      </c>
      <c r="F88" s="3" t="s">
        <v>20</v>
      </c>
      <c r="G88" s="3" t="s">
        <v>24</v>
      </c>
      <c r="H88" s="3">
        <v>1</v>
      </c>
      <c r="I88" s="3">
        <v>20.399999999999999</v>
      </c>
      <c r="J88" s="3">
        <v>8</v>
      </c>
      <c r="K88" s="3">
        <v>4758.08</v>
      </c>
      <c r="L88" s="3">
        <v>0</v>
      </c>
    </row>
    <row r="89" spans="1:12" x14ac:dyDescent="0.2">
      <c r="A89" s="3">
        <v>171</v>
      </c>
      <c r="B89" s="3">
        <v>46</v>
      </c>
      <c r="C89" s="3" t="s">
        <v>15</v>
      </c>
      <c r="D89" s="3">
        <v>8</v>
      </c>
      <c r="E89" s="3">
        <v>69.069999999999993</v>
      </c>
      <c r="F89" s="3" t="s">
        <v>20</v>
      </c>
      <c r="G89" s="3" t="s">
        <v>23</v>
      </c>
      <c r="H89" s="3">
        <v>1</v>
      </c>
      <c r="I89" s="3">
        <v>13.9</v>
      </c>
      <c r="J89" s="3">
        <v>1</v>
      </c>
      <c r="K89" s="3">
        <v>588.86</v>
      </c>
      <c r="L89" s="3">
        <v>0</v>
      </c>
    </row>
    <row r="90" spans="1:12" x14ac:dyDescent="0.2">
      <c r="A90" s="3">
        <v>172</v>
      </c>
      <c r="B90" s="3">
        <v>53</v>
      </c>
      <c r="C90" s="3" t="s">
        <v>16</v>
      </c>
      <c r="D90" s="3">
        <v>65</v>
      </c>
      <c r="E90" s="3">
        <v>92.29</v>
      </c>
      <c r="F90" s="3" t="s">
        <v>20</v>
      </c>
      <c r="G90" s="3" t="s">
        <v>24</v>
      </c>
      <c r="H90" s="3">
        <v>5</v>
      </c>
      <c r="I90" s="3">
        <v>37.6</v>
      </c>
      <c r="J90" s="3">
        <v>10</v>
      </c>
      <c r="K90" s="3">
        <v>5752.44</v>
      </c>
      <c r="L90" s="3">
        <v>0</v>
      </c>
    </row>
    <row r="91" spans="1:12" x14ac:dyDescent="0.2">
      <c r="A91" s="3">
        <v>173</v>
      </c>
      <c r="B91" s="3">
        <v>30</v>
      </c>
      <c r="C91" s="3" t="s">
        <v>16</v>
      </c>
      <c r="D91" s="3">
        <v>17</v>
      </c>
      <c r="E91" s="3">
        <v>102.09</v>
      </c>
      <c r="F91" s="3" t="s">
        <v>19</v>
      </c>
      <c r="G91" s="3" t="s">
        <v>24</v>
      </c>
      <c r="H91" s="3">
        <v>1</v>
      </c>
      <c r="I91" s="3">
        <v>31.8</v>
      </c>
      <c r="J91" s="3">
        <v>7</v>
      </c>
      <c r="K91" s="3">
        <v>1566.95</v>
      </c>
      <c r="L91" s="3">
        <v>0</v>
      </c>
    </row>
    <row r="92" spans="1:12" x14ac:dyDescent="0.2">
      <c r="A92" s="3">
        <v>174</v>
      </c>
      <c r="B92" s="3">
        <v>49</v>
      </c>
      <c r="C92" s="3" t="s">
        <v>16</v>
      </c>
      <c r="D92" s="3">
        <v>71</v>
      </c>
      <c r="E92" s="3">
        <v>91.85</v>
      </c>
      <c r="F92" s="3" t="s">
        <v>18</v>
      </c>
      <c r="G92" s="3" t="s">
        <v>23</v>
      </c>
      <c r="H92" s="3">
        <v>5</v>
      </c>
      <c r="I92" s="3">
        <v>42.1</v>
      </c>
      <c r="J92" s="3">
        <v>5</v>
      </c>
      <c r="K92" s="3">
        <v>6831.6</v>
      </c>
      <c r="L92" s="3">
        <v>0</v>
      </c>
    </row>
    <row r="93" spans="1:12" x14ac:dyDescent="0.2">
      <c r="A93" s="3">
        <v>175</v>
      </c>
      <c r="B93" s="3">
        <v>24</v>
      </c>
      <c r="C93" s="3" t="s">
        <v>15</v>
      </c>
      <c r="D93" s="3">
        <v>45</v>
      </c>
      <c r="E93" s="3">
        <v>73.5</v>
      </c>
      <c r="F93" s="3" t="s">
        <v>18</v>
      </c>
      <c r="G93" s="3" t="s">
        <v>23</v>
      </c>
      <c r="H93" s="3">
        <v>0</v>
      </c>
      <c r="I93" s="3">
        <v>80.8</v>
      </c>
      <c r="J93" s="3">
        <v>5</v>
      </c>
      <c r="K93" s="3">
        <v>3528.54</v>
      </c>
      <c r="L93" s="3">
        <v>0</v>
      </c>
    </row>
    <row r="94" spans="1:12" x14ac:dyDescent="0.2">
      <c r="A94" s="3">
        <v>176</v>
      </c>
      <c r="B94" s="3">
        <v>68</v>
      </c>
      <c r="C94" s="3" t="s">
        <v>16</v>
      </c>
      <c r="D94" s="3">
        <v>4</v>
      </c>
      <c r="E94" s="3">
        <v>67.66</v>
      </c>
      <c r="F94" s="3" t="s">
        <v>18</v>
      </c>
      <c r="G94" s="3" t="s">
        <v>24</v>
      </c>
      <c r="H94" s="3">
        <v>2</v>
      </c>
      <c r="I94" s="3">
        <v>40.299999999999997</v>
      </c>
      <c r="J94" s="3">
        <v>1</v>
      </c>
      <c r="K94" s="3">
        <v>283.66000000000003</v>
      </c>
      <c r="L94" s="3">
        <v>0</v>
      </c>
    </row>
    <row r="95" spans="1:12" x14ac:dyDescent="0.2">
      <c r="A95" s="3">
        <v>178</v>
      </c>
      <c r="B95" s="3">
        <v>45</v>
      </c>
      <c r="C95" s="3" t="s">
        <v>16</v>
      </c>
      <c r="D95" s="3">
        <v>70</v>
      </c>
      <c r="E95" s="3">
        <v>40.51</v>
      </c>
      <c r="F95" s="3" t="s">
        <v>18</v>
      </c>
      <c r="G95" s="3" t="s">
        <v>22</v>
      </c>
      <c r="H95" s="3">
        <v>1</v>
      </c>
      <c r="I95" s="3">
        <v>42.8</v>
      </c>
      <c r="J95" s="3">
        <v>6</v>
      </c>
      <c r="K95" s="3">
        <v>2979.43</v>
      </c>
      <c r="L95" s="3">
        <v>0</v>
      </c>
    </row>
    <row r="96" spans="1:12" x14ac:dyDescent="0.2">
      <c r="A96" s="3">
        <v>179</v>
      </c>
      <c r="B96" s="3">
        <v>19</v>
      </c>
      <c r="C96" s="3" t="s">
        <v>16</v>
      </c>
      <c r="D96" s="3">
        <v>31</v>
      </c>
      <c r="E96" s="3">
        <v>116.8</v>
      </c>
      <c r="F96" s="3" t="s">
        <v>20</v>
      </c>
      <c r="G96" s="3" t="s">
        <v>22</v>
      </c>
      <c r="H96" s="3">
        <v>4</v>
      </c>
      <c r="I96" s="3">
        <v>13.9</v>
      </c>
      <c r="J96" s="3">
        <v>9</v>
      </c>
      <c r="K96" s="3">
        <v>3815.54</v>
      </c>
      <c r="L96" s="3">
        <v>0</v>
      </c>
    </row>
    <row r="97" spans="1:12" x14ac:dyDescent="0.2">
      <c r="A97" s="3">
        <v>180</v>
      </c>
      <c r="B97" s="3">
        <v>59</v>
      </c>
      <c r="C97" s="3" t="s">
        <v>16</v>
      </c>
      <c r="D97" s="3">
        <v>19</v>
      </c>
      <c r="E97" s="3">
        <v>91.1</v>
      </c>
      <c r="F97" s="3" t="s">
        <v>20</v>
      </c>
      <c r="G97" s="3" t="s">
        <v>23</v>
      </c>
      <c r="H97" s="3">
        <v>0</v>
      </c>
      <c r="I97" s="3">
        <v>46.9</v>
      </c>
      <c r="J97" s="3">
        <v>9</v>
      </c>
      <c r="K97" s="3">
        <v>1785.78</v>
      </c>
      <c r="L97" s="3">
        <v>0</v>
      </c>
    </row>
    <row r="98" spans="1:12" x14ac:dyDescent="0.2">
      <c r="A98" s="3">
        <v>181</v>
      </c>
      <c r="B98" s="3">
        <v>62</v>
      </c>
      <c r="C98" s="3" t="s">
        <v>15</v>
      </c>
      <c r="D98" s="3">
        <v>61</v>
      </c>
      <c r="E98" s="3">
        <v>39.950000000000003</v>
      </c>
      <c r="F98" s="3" t="s">
        <v>20</v>
      </c>
      <c r="G98" s="3" t="s">
        <v>24</v>
      </c>
      <c r="H98" s="3">
        <v>0</v>
      </c>
      <c r="I98" s="3">
        <v>23.6</v>
      </c>
      <c r="J98" s="3">
        <v>8</v>
      </c>
      <c r="K98" s="3">
        <v>2566.65</v>
      </c>
      <c r="L98" s="3">
        <v>0</v>
      </c>
    </row>
    <row r="99" spans="1:12" x14ac:dyDescent="0.2">
      <c r="A99" s="3">
        <v>182</v>
      </c>
      <c r="B99" s="3">
        <v>23</v>
      </c>
      <c r="C99" s="3" t="s">
        <v>16</v>
      </c>
      <c r="D99" s="3">
        <v>54</v>
      </c>
      <c r="E99" s="3">
        <v>93.62</v>
      </c>
      <c r="F99" s="3" t="s">
        <v>20</v>
      </c>
      <c r="G99" s="3" t="s">
        <v>23</v>
      </c>
      <c r="H99" s="3">
        <v>2</v>
      </c>
      <c r="I99" s="3">
        <v>22.7</v>
      </c>
      <c r="J99" s="3">
        <v>5</v>
      </c>
      <c r="K99" s="3">
        <v>5405.24</v>
      </c>
      <c r="L99" s="3">
        <v>0</v>
      </c>
    </row>
    <row r="100" spans="1:12" x14ac:dyDescent="0.2">
      <c r="A100" s="3">
        <v>187</v>
      </c>
      <c r="B100" s="3">
        <v>37</v>
      </c>
      <c r="C100" s="3" t="s">
        <v>15</v>
      </c>
      <c r="D100" s="3">
        <v>45</v>
      </c>
      <c r="E100" s="3">
        <v>70.61</v>
      </c>
      <c r="F100" s="3" t="s">
        <v>20</v>
      </c>
      <c r="G100" s="3" t="s">
        <v>24</v>
      </c>
      <c r="H100" s="3">
        <v>2</v>
      </c>
      <c r="I100" s="3">
        <v>34.700000000000003</v>
      </c>
      <c r="J100" s="3">
        <v>5</v>
      </c>
      <c r="K100" s="3">
        <v>3118.69</v>
      </c>
      <c r="L100" s="3">
        <v>0</v>
      </c>
    </row>
    <row r="101" spans="1:12" x14ac:dyDescent="0.2">
      <c r="A101" s="3">
        <v>188</v>
      </c>
      <c r="B101" s="3">
        <v>47</v>
      </c>
      <c r="C101" s="3" t="s">
        <v>16</v>
      </c>
      <c r="D101" s="3">
        <v>13</v>
      </c>
      <c r="E101" s="3">
        <v>113.2</v>
      </c>
      <c r="F101" s="3" t="s">
        <v>18</v>
      </c>
      <c r="G101" s="3" t="s">
        <v>22</v>
      </c>
      <c r="H101" s="3">
        <v>3</v>
      </c>
      <c r="I101" s="3">
        <v>66.099999999999994</v>
      </c>
      <c r="J101" s="3">
        <v>3</v>
      </c>
      <c r="K101" s="3">
        <v>1444.26</v>
      </c>
      <c r="L101" s="3">
        <v>0</v>
      </c>
    </row>
    <row r="102" spans="1:12" x14ac:dyDescent="0.2">
      <c r="A102" s="3">
        <v>190</v>
      </c>
      <c r="B102" s="3">
        <v>45</v>
      </c>
      <c r="C102" s="3" t="s">
        <v>16</v>
      </c>
      <c r="D102" s="3">
        <v>20</v>
      </c>
      <c r="E102" s="3">
        <v>79.39</v>
      </c>
      <c r="F102" s="3" t="s">
        <v>18</v>
      </c>
      <c r="G102" s="3" t="s">
        <v>23</v>
      </c>
      <c r="H102" s="3">
        <v>1</v>
      </c>
      <c r="I102" s="3">
        <v>90.2</v>
      </c>
      <c r="J102" s="3">
        <v>7</v>
      </c>
      <c r="K102" s="3">
        <v>1539.79</v>
      </c>
      <c r="L102" s="3">
        <v>0</v>
      </c>
    </row>
    <row r="103" spans="1:12" x14ac:dyDescent="0.2">
      <c r="A103" s="3">
        <v>191</v>
      </c>
      <c r="B103" s="3">
        <v>42</v>
      </c>
      <c r="C103" s="3" t="s">
        <v>15</v>
      </c>
      <c r="D103" s="3">
        <v>61</v>
      </c>
      <c r="E103" s="3">
        <v>56.92</v>
      </c>
      <c r="F103" s="3" t="s">
        <v>20</v>
      </c>
      <c r="G103" s="3" t="s">
        <v>22</v>
      </c>
      <c r="H103" s="3">
        <v>4</v>
      </c>
      <c r="I103" s="3">
        <v>54.4</v>
      </c>
      <c r="J103" s="3">
        <v>9</v>
      </c>
      <c r="K103" s="3">
        <v>3201.99</v>
      </c>
      <c r="L103" s="3">
        <v>0</v>
      </c>
    </row>
    <row r="104" spans="1:12" x14ac:dyDescent="0.2">
      <c r="A104" s="3">
        <v>192</v>
      </c>
      <c r="B104" s="3">
        <v>56</v>
      </c>
      <c r="C104" s="3" t="s">
        <v>15</v>
      </c>
      <c r="D104" s="3">
        <v>39</v>
      </c>
      <c r="E104" s="3">
        <v>65.430000000000007</v>
      </c>
      <c r="F104" s="3" t="s">
        <v>20</v>
      </c>
      <c r="G104" s="3" t="s">
        <v>22</v>
      </c>
      <c r="H104" s="3">
        <v>2</v>
      </c>
      <c r="I104" s="3">
        <v>47.5</v>
      </c>
      <c r="J104" s="3">
        <v>7</v>
      </c>
      <c r="K104" s="3">
        <v>2709.08</v>
      </c>
      <c r="L104" s="3">
        <v>0</v>
      </c>
    </row>
    <row r="105" spans="1:12" x14ac:dyDescent="0.2">
      <c r="A105" s="3">
        <v>193</v>
      </c>
      <c r="B105" s="3">
        <v>50</v>
      </c>
      <c r="C105" s="3" t="s">
        <v>16</v>
      </c>
      <c r="D105" s="3">
        <v>1</v>
      </c>
      <c r="E105" s="3">
        <v>74.86</v>
      </c>
      <c r="F105" s="3" t="s">
        <v>18</v>
      </c>
      <c r="G105" s="3" t="s">
        <v>22</v>
      </c>
      <c r="H105" s="3">
        <v>1</v>
      </c>
      <c r="I105" s="3">
        <v>58</v>
      </c>
      <c r="J105" s="3">
        <v>3</v>
      </c>
      <c r="K105" s="3">
        <v>81.56</v>
      </c>
      <c r="L105" s="3">
        <v>0</v>
      </c>
    </row>
    <row r="106" spans="1:12" x14ac:dyDescent="0.2">
      <c r="A106" s="3">
        <v>195</v>
      </c>
      <c r="B106" s="3">
        <v>44</v>
      </c>
      <c r="C106" s="3" t="s">
        <v>15</v>
      </c>
      <c r="D106" s="3">
        <v>62</v>
      </c>
      <c r="E106" s="3">
        <v>40.17</v>
      </c>
      <c r="F106" s="3" t="s">
        <v>18</v>
      </c>
      <c r="G106" s="3" t="s">
        <v>23</v>
      </c>
      <c r="H106" s="3">
        <v>3</v>
      </c>
      <c r="I106" s="3">
        <v>63.3</v>
      </c>
      <c r="J106" s="3">
        <v>8</v>
      </c>
      <c r="K106" s="3">
        <v>2717.24</v>
      </c>
      <c r="L106" s="3">
        <v>0</v>
      </c>
    </row>
    <row r="107" spans="1:12" x14ac:dyDescent="0.2">
      <c r="A107" s="3">
        <v>196</v>
      </c>
      <c r="B107" s="3">
        <v>69</v>
      </c>
      <c r="C107" s="3" t="s">
        <v>15</v>
      </c>
      <c r="D107" s="3">
        <v>63</v>
      </c>
      <c r="E107" s="3">
        <v>88.46</v>
      </c>
      <c r="F107" s="3" t="s">
        <v>20</v>
      </c>
      <c r="G107" s="3" t="s">
        <v>23</v>
      </c>
      <c r="H107" s="3">
        <v>1</v>
      </c>
      <c r="I107" s="3">
        <v>39.5</v>
      </c>
      <c r="J107" s="3">
        <v>3</v>
      </c>
      <c r="K107" s="3">
        <v>5598.14</v>
      </c>
      <c r="L107" s="3">
        <v>0</v>
      </c>
    </row>
    <row r="108" spans="1:12" x14ac:dyDescent="0.2">
      <c r="A108" s="3">
        <v>198</v>
      </c>
      <c r="B108" s="3">
        <v>58</v>
      </c>
      <c r="C108" s="3" t="s">
        <v>15</v>
      </c>
      <c r="D108" s="3">
        <v>56</v>
      </c>
      <c r="E108" s="3">
        <v>33.880000000000003</v>
      </c>
      <c r="F108" s="3" t="s">
        <v>19</v>
      </c>
      <c r="G108" s="3" t="s">
        <v>23</v>
      </c>
      <c r="H108" s="3">
        <v>0</v>
      </c>
      <c r="I108" s="3">
        <v>21</v>
      </c>
      <c r="J108" s="3">
        <v>8</v>
      </c>
      <c r="K108" s="3">
        <v>1736.72</v>
      </c>
      <c r="L108" s="3">
        <v>0</v>
      </c>
    </row>
    <row r="109" spans="1:12" x14ac:dyDescent="0.2">
      <c r="A109" s="3">
        <v>199</v>
      </c>
      <c r="B109" s="3">
        <v>20</v>
      </c>
      <c r="C109" s="3" t="s">
        <v>16</v>
      </c>
      <c r="D109" s="3">
        <v>33</v>
      </c>
      <c r="E109" s="3">
        <v>20.27</v>
      </c>
      <c r="F109" s="3" t="s">
        <v>20</v>
      </c>
      <c r="G109" s="3" t="s">
        <v>22</v>
      </c>
      <c r="H109" s="3">
        <v>0</v>
      </c>
      <c r="I109" s="3">
        <v>53.2</v>
      </c>
      <c r="J109" s="3">
        <v>5</v>
      </c>
      <c r="K109" s="3">
        <v>668.99</v>
      </c>
      <c r="L109" s="3">
        <v>0</v>
      </c>
    </row>
    <row r="110" spans="1:12" x14ac:dyDescent="0.2">
      <c r="A110" s="3">
        <v>201</v>
      </c>
      <c r="B110" s="3">
        <v>23</v>
      </c>
      <c r="C110" s="3" t="s">
        <v>16</v>
      </c>
      <c r="D110" s="3">
        <v>6</v>
      </c>
      <c r="E110" s="3">
        <v>67.319999999999993</v>
      </c>
      <c r="F110" s="3" t="s">
        <v>18</v>
      </c>
      <c r="G110" s="3" t="s">
        <v>22</v>
      </c>
      <c r="H110" s="3">
        <v>2</v>
      </c>
      <c r="I110" s="3">
        <v>8.1999999999999993</v>
      </c>
      <c r="J110" s="3">
        <v>10</v>
      </c>
      <c r="K110" s="3">
        <v>420.65</v>
      </c>
      <c r="L110" s="3">
        <v>0</v>
      </c>
    </row>
    <row r="111" spans="1:12" x14ac:dyDescent="0.2">
      <c r="A111" s="3">
        <v>202</v>
      </c>
      <c r="B111" s="3">
        <v>25</v>
      </c>
      <c r="C111" s="3" t="s">
        <v>15</v>
      </c>
      <c r="D111" s="3">
        <v>58</v>
      </c>
      <c r="E111" s="3">
        <v>80.61</v>
      </c>
      <c r="F111" s="3" t="s">
        <v>20</v>
      </c>
      <c r="G111" s="3" t="s">
        <v>23</v>
      </c>
      <c r="H111" s="3">
        <v>1</v>
      </c>
      <c r="I111" s="3">
        <v>39.6</v>
      </c>
      <c r="J111" s="3">
        <v>7</v>
      </c>
      <c r="K111" s="3">
        <v>4254.8100000000004</v>
      </c>
      <c r="L111" s="3">
        <v>0</v>
      </c>
    </row>
    <row r="112" spans="1:12" x14ac:dyDescent="0.2">
      <c r="A112" s="3">
        <v>204</v>
      </c>
      <c r="B112" s="3">
        <v>26</v>
      </c>
      <c r="C112" s="3" t="s">
        <v>16</v>
      </c>
      <c r="D112" s="3">
        <v>45</v>
      </c>
      <c r="E112" s="3">
        <v>30.67</v>
      </c>
      <c r="F112" s="3" t="s">
        <v>20</v>
      </c>
      <c r="G112" s="3" t="s">
        <v>22</v>
      </c>
      <c r="H112" s="3">
        <v>4</v>
      </c>
      <c r="I112" s="3">
        <v>82.9</v>
      </c>
      <c r="J112" s="3">
        <v>5</v>
      </c>
      <c r="K112" s="3">
        <v>1353.34</v>
      </c>
      <c r="L112" s="3">
        <v>0</v>
      </c>
    </row>
    <row r="113" spans="1:12" x14ac:dyDescent="0.2">
      <c r="A113" s="3">
        <v>205</v>
      </c>
      <c r="B113" s="3">
        <v>54</v>
      </c>
      <c r="C113" s="3" t="s">
        <v>15</v>
      </c>
      <c r="D113" s="3">
        <v>32</v>
      </c>
      <c r="E113" s="3">
        <v>105.07</v>
      </c>
      <c r="F113" s="3" t="s">
        <v>19</v>
      </c>
      <c r="G113" s="3" t="s">
        <v>24</v>
      </c>
      <c r="H113" s="3">
        <v>0</v>
      </c>
      <c r="I113" s="3">
        <v>34.799999999999997</v>
      </c>
      <c r="J113" s="3">
        <v>8</v>
      </c>
      <c r="K113" s="3">
        <v>3224.58</v>
      </c>
      <c r="L113" s="3">
        <v>0</v>
      </c>
    </row>
    <row r="114" spans="1:12" x14ac:dyDescent="0.2">
      <c r="A114" s="3">
        <v>206</v>
      </c>
      <c r="B114" s="3">
        <v>50</v>
      </c>
      <c r="C114" s="3" t="s">
        <v>15</v>
      </c>
      <c r="D114" s="3">
        <v>45</v>
      </c>
      <c r="E114" s="3">
        <v>94.6</v>
      </c>
      <c r="F114" s="3" t="s">
        <v>18</v>
      </c>
      <c r="G114" s="3" t="s">
        <v>22</v>
      </c>
      <c r="H114" s="3">
        <v>3</v>
      </c>
      <c r="I114" s="3">
        <v>80.900000000000006</v>
      </c>
      <c r="J114" s="3">
        <v>9</v>
      </c>
      <c r="K114" s="3">
        <v>4029.15</v>
      </c>
      <c r="L114" s="3">
        <v>0</v>
      </c>
    </row>
    <row r="115" spans="1:12" x14ac:dyDescent="0.2">
      <c r="A115" s="3">
        <v>210</v>
      </c>
      <c r="B115" s="3">
        <v>41</v>
      </c>
      <c r="C115" s="3" t="s">
        <v>16</v>
      </c>
      <c r="D115" s="3">
        <v>36</v>
      </c>
      <c r="E115" s="3">
        <v>40.5</v>
      </c>
      <c r="F115" s="3" t="s">
        <v>19</v>
      </c>
      <c r="G115" s="3" t="s">
        <v>23</v>
      </c>
      <c r="H115" s="3">
        <v>3</v>
      </c>
      <c r="I115" s="3">
        <v>75.3</v>
      </c>
      <c r="J115" s="3">
        <v>4</v>
      </c>
      <c r="K115" s="3">
        <v>1430.33</v>
      </c>
      <c r="L115" s="3">
        <v>0</v>
      </c>
    </row>
    <row r="116" spans="1:12" x14ac:dyDescent="0.2">
      <c r="A116" s="3">
        <v>215</v>
      </c>
      <c r="B116" s="3">
        <v>58</v>
      </c>
      <c r="C116" s="3" t="s">
        <v>16</v>
      </c>
      <c r="D116" s="3">
        <v>47</v>
      </c>
      <c r="E116" s="3">
        <v>98.15</v>
      </c>
      <c r="F116" s="3" t="s">
        <v>20</v>
      </c>
      <c r="G116" s="3" t="s">
        <v>24</v>
      </c>
      <c r="H116" s="3">
        <v>2</v>
      </c>
      <c r="I116" s="3">
        <v>73.900000000000006</v>
      </c>
      <c r="J116" s="3">
        <v>1</v>
      </c>
      <c r="K116" s="3">
        <v>4742.6499999999996</v>
      </c>
      <c r="L116" s="3">
        <v>0</v>
      </c>
    </row>
    <row r="117" spans="1:12" x14ac:dyDescent="0.2">
      <c r="A117" s="3">
        <v>216</v>
      </c>
      <c r="B117" s="3">
        <v>69</v>
      </c>
      <c r="C117" s="3" t="s">
        <v>16</v>
      </c>
      <c r="D117" s="3">
        <v>49</v>
      </c>
      <c r="E117" s="3">
        <v>102.79</v>
      </c>
      <c r="F117" s="3" t="s">
        <v>18</v>
      </c>
      <c r="G117" s="3" t="s">
        <v>23</v>
      </c>
      <c r="H117" s="3">
        <v>5</v>
      </c>
      <c r="I117" s="3">
        <v>35.700000000000003</v>
      </c>
      <c r="J117" s="3">
        <v>4</v>
      </c>
      <c r="K117" s="3">
        <v>5519.21</v>
      </c>
      <c r="L117" s="3">
        <v>0</v>
      </c>
    </row>
    <row r="118" spans="1:12" x14ac:dyDescent="0.2">
      <c r="A118" s="3">
        <v>218</v>
      </c>
      <c r="B118" s="3">
        <v>66</v>
      </c>
      <c r="C118" s="3" t="s">
        <v>16</v>
      </c>
      <c r="D118" s="3">
        <v>15</v>
      </c>
      <c r="E118" s="3">
        <v>99.95</v>
      </c>
      <c r="F118" s="3" t="s">
        <v>19</v>
      </c>
      <c r="G118" s="3" t="s">
        <v>24</v>
      </c>
      <c r="H118" s="3">
        <v>1</v>
      </c>
      <c r="I118" s="3">
        <v>98.1</v>
      </c>
      <c r="J118" s="3">
        <v>5</v>
      </c>
      <c r="K118" s="3">
        <v>1456.62</v>
      </c>
      <c r="L118" s="3">
        <v>0</v>
      </c>
    </row>
    <row r="119" spans="1:12" x14ac:dyDescent="0.2">
      <c r="A119" s="3">
        <v>220</v>
      </c>
      <c r="B119" s="3">
        <v>29</v>
      </c>
      <c r="C119" s="3" t="s">
        <v>16</v>
      </c>
      <c r="D119" s="3">
        <v>1</v>
      </c>
      <c r="E119" s="3">
        <v>38.64</v>
      </c>
      <c r="F119" s="3" t="s">
        <v>18</v>
      </c>
      <c r="G119" s="3" t="s">
        <v>23</v>
      </c>
      <c r="H119" s="3">
        <v>2</v>
      </c>
      <c r="I119" s="3">
        <v>17.3</v>
      </c>
      <c r="J119" s="3">
        <v>8</v>
      </c>
      <c r="K119" s="3">
        <v>35.729999999999997</v>
      </c>
      <c r="L119" s="3">
        <v>0</v>
      </c>
    </row>
    <row r="120" spans="1:12" x14ac:dyDescent="0.2">
      <c r="A120" s="3">
        <v>221</v>
      </c>
      <c r="B120" s="3">
        <v>56</v>
      </c>
      <c r="C120" s="3" t="s">
        <v>15</v>
      </c>
      <c r="D120" s="3">
        <v>54</v>
      </c>
      <c r="E120" s="3">
        <v>43.57</v>
      </c>
      <c r="F120" s="3" t="s">
        <v>20</v>
      </c>
      <c r="G120" s="3" t="s">
        <v>23</v>
      </c>
      <c r="H120" s="3">
        <v>1</v>
      </c>
      <c r="I120" s="3">
        <v>70.3</v>
      </c>
      <c r="J120" s="3">
        <v>4</v>
      </c>
      <c r="K120" s="3">
        <v>2535.67</v>
      </c>
      <c r="L120" s="3">
        <v>0</v>
      </c>
    </row>
    <row r="121" spans="1:12" x14ac:dyDescent="0.2">
      <c r="A121" s="3">
        <v>225</v>
      </c>
      <c r="B121" s="3">
        <v>54</v>
      </c>
      <c r="C121" s="3" t="s">
        <v>15</v>
      </c>
      <c r="D121" s="3">
        <v>12</v>
      </c>
      <c r="E121" s="3">
        <v>78.83</v>
      </c>
      <c r="F121" s="3" t="s">
        <v>18</v>
      </c>
      <c r="G121" s="3" t="s">
        <v>22</v>
      </c>
      <c r="H121" s="3">
        <v>1</v>
      </c>
      <c r="I121" s="3">
        <v>24.9</v>
      </c>
      <c r="J121" s="3">
        <v>3</v>
      </c>
      <c r="K121" s="3">
        <v>969.57</v>
      </c>
      <c r="L121" s="3">
        <v>0</v>
      </c>
    </row>
    <row r="122" spans="1:12" x14ac:dyDescent="0.2">
      <c r="A122" s="3">
        <v>226</v>
      </c>
      <c r="B122" s="3">
        <v>66</v>
      </c>
      <c r="C122" s="3" t="s">
        <v>15</v>
      </c>
      <c r="D122" s="3">
        <v>16</v>
      </c>
      <c r="E122" s="3">
        <v>88.3</v>
      </c>
      <c r="F122" s="3" t="s">
        <v>20</v>
      </c>
      <c r="G122" s="3" t="s">
        <v>24</v>
      </c>
      <c r="H122" s="3">
        <v>4</v>
      </c>
      <c r="I122" s="3">
        <v>41</v>
      </c>
      <c r="J122" s="3">
        <v>9</v>
      </c>
      <c r="K122" s="3">
        <v>1291.8</v>
      </c>
      <c r="L122" s="3">
        <v>0</v>
      </c>
    </row>
    <row r="123" spans="1:12" x14ac:dyDescent="0.2">
      <c r="A123" s="3">
        <v>228</v>
      </c>
      <c r="B123" s="3">
        <v>66</v>
      </c>
      <c r="C123" s="3" t="s">
        <v>16</v>
      </c>
      <c r="D123" s="3">
        <v>28</v>
      </c>
      <c r="E123" s="3">
        <v>91.38</v>
      </c>
      <c r="F123" s="3" t="s">
        <v>20</v>
      </c>
      <c r="G123" s="3" t="s">
        <v>24</v>
      </c>
      <c r="H123" s="3">
        <v>0</v>
      </c>
      <c r="I123" s="3">
        <v>37</v>
      </c>
      <c r="J123" s="3">
        <v>2</v>
      </c>
      <c r="K123" s="3">
        <v>2426.58</v>
      </c>
      <c r="L123" s="3">
        <v>0</v>
      </c>
    </row>
    <row r="124" spans="1:12" x14ac:dyDescent="0.2">
      <c r="A124" s="3">
        <v>231</v>
      </c>
      <c r="B124" s="3">
        <v>45</v>
      </c>
      <c r="C124" s="3" t="s">
        <v>15</v>
      </c>
      <c r="D124" s="3">
        <v>8</v>
      </c>
      <c r="E124" s="3">
        <v>73.98</v>
      </c>
      <c r="F124" s="3" t="s">
        <v>19</v>
      </c>
      <c r="G124" s="3" t="s">
        <v>23</v>
      </c>
      <c r="H124" s="3">
        <v>1</v>
      </c>
      <c r="I124" s="3">
        <v>15.5</v>
      </c>
      <c r="J124" s="3">
        <v>2</v>
      </c>
      <c r="K124" s="3">
        <v>627.82000000000005</v>
      </c>
      <c r="L124" s="3">
        <v>0</v>
      </c>
    </row>
    <row r="125" spans="1:12" x14ac:dyDescent="0.2">
      <c r="A125" s="3">
        <v>232</v>
      </c>
      <c r="B125" s="3">
        <v>40</v>
      </c>
      <c r="C125" s="3" t="s">
        <v>16</v>
      </c>
      <c r="D125" s="3">
        <v>58</v>
      </c>
      <c r="E125" s="3">
        <v>63.87</v>
      </c>
      <c r="F125" s="3" t="s">
        <v>20</v>
      </c>
      <c r="G125" s="3" t="s">
        <v>24</v>
      </c>
      <c r="H125" s="3">
        <v>3</v>
      </c>
      <c r="I125" s="3">
        <v>77.2</v>
      </c>
      <c r="J125" s="3">
        <v>3</v>
      </c>
      <c r="K125" s="3">
        <v>3743.36</v>
      </c>
      <c r="L125" s="3">
        <v>0</v>
      </c>
    </row>
    <row r="126" spans="1:12" x14ac:dyDescent="0.2">
      <c r="A126" s="3">
        <v>233</v>
      </c>
      <c r="B126" s="3">
        <v>54</v>
      </c>
      <c r="C126" s="3" t="s">
        <v>15</v>
      </c>
      <c r="D126" s="3">
        <v>60</v>
      </c>
      <c r="E126" s="3">
        <v>77.75</v>
      </c>
      <c r="F126" s="3" t="s">
        <v>20</v>
      </c>
      <c r="G126" s="3" t="s">
        <v>24</v>
      </c>
      <c r="H126" s="3">
        <v>4</v>
      </c>
      <c r="I126" s="3">
        <v>98.9</v>
      </c>
      <c r="J126" s="3">
        <v>10</v>
      </c>
      <c r="K126" s="3">
        <v>4683.82</v>
      </c>
      <c r="L126" s="3">
        <v>0</v>
      </c>
    </row>
    <row r="127" spans="1:12" x14ac:dyDescent="0.2">
      <c r="A127" s="3">
        <v>236</v>
      </c>
      <c r="B127" s="3">
        <v>18</v>
      </c>
      <c r="C127" s="3" t="s">
        <v>15</v>
      </c>
      <c r="D127" s="3">
        <v>41</v>
      </c>
      <c r="E127" s="3">
        <v>73.19</v>
      </c>
      <c r="F127" s="3" t="s">
        <v>19</v>
      </c>
      <c r="G127" s="3" t="s">
        <v>22</v>
      </c>
      <c r="H127" s="3">
        <v>0</v>
      </c>
      <c r="I127" s="3">
        <v>34.799999999999997</v>
      </c>
      <c r="J127" s="3">
        <v>6</v>
      </c>
      <c r="K127" s="3">
        <v>2863.6</v>
      </c>
      <c r="L127" s="3">
        <v>0</v>
      </c>
    </row>
    <row r="128" spans="1:12" x14ac:dyDescent="0.2">
      <c r="A128" s="3">
        <v>237</v>
      </c>
      <c r="B128" s="3">
        <v>36</v>
      </c>
      <c r="C128" s="3" t="s">
        <v>15</v>
      </c>
      <c r="D128" s="3">
        <v>64</v>
      </c>
      <c r="E128" s="3">
        <v>26.66</v>
      </c>
      <c r="F128" s="3" t="s">
        <v>18</v>
      </c>
      <c r="G128" s="3" t="s">
        <v>24</v>
      </c>
      <c r="H128" s="3">
        <v>2</v>
      </c>
      <c r="I128" s="3">
        <v>29.2</v>
      </c>
      <c r="J128" s="3">
        <v>9</v>
      </c>
      <c r="K128" s="3">
        <v>1705.11</v>
      </c>
      <c r="L128" s="3">
        <v>0</v>
      </c>
    </row>
    <row r="129" spans="1:12" x14ac:dyDescent="0.2">
      <c r="A129" s="3">
        <v>238</v>
      </c>
      <c r="B129" s="3">
        <v>19</v>
      </c>
      <c r="C129" s="3" t="s">
        <v>15</v>
      </c>
      <c r="D129" s="3">
        <v>27</v>
      </c>
      <c r="E129" s="3">
        <v>42.9</v>
      </c>
      <c r="F129" s="3" t="s">
        <v>18</v>
      </c>
      <c r="G129" s="3" t="s">
        <v>23</v>
      </c>
      <c r="H129" s="3">
        <v>2</v>
      </c>
      <c r="I129" s="3">
        <v>82.8</v>
      </c>
      <c r="J129" s="3">
        <v>9</v>
      </c>
      <c r="K129" s="3">
        <v>1108.32</v>
      </c>
      <c r="L129" s="3">
        <v>0</v>
      </c>
    </row>
    <row r="130" spans="1:12" x14ac:dyDescent="0.2">
      <c r="A130" s="3">
        <v>240</v>
      </c>
      <c r="B130" s="3">
        <v>43</v>
      </c>
      <c r="C130" s="3" t="s">
        <v>16</v>
      </c>
      <c r="D130" s="3">
        <v>17</v>
      </c>
      <c r="E130" s="3">
        <v>63.15</v>
      </c>
      <c r="F130" s="3" t="s">
        <v>20</v>
      </c>
      <c r="G130" s="3" t="s">
        <v>24</v>
      </c>
      <c r="H130" s="3">
        <v>2</v>
      </c>
      <c r="I130" s="3">
        <v>54.9</v>
      </c>
      <c r="J130" s="3">
        <v>3</v>
      </c>
      <c r="K130" s="3">
        <v>1101.3699999999999</v>
      </c>
      <c r="L130" s="3">
        <v>0</v>
      </c>
    </row>
    <row r="131" spans="1:12" x14ac:dyDescent="0.2">
      <c r="A131" s="3">
        <v>243</v>
      </c>
      <c r="B131" s="3">
        <v>49</v>
      </c>
      <c r="C131" s="3" t="s">
        <v>15</v>
      </c>
      <c r="D131" s="3">
        <v>13</v>
      </c>
      <c r="E131" s="3">
        <v>89.37</v>
      </c>
      <c r="F131" s="3" t="s">
        <v>18</v>
      </c>
      <c r="G131" s="3" t="s">
        <v>22</v>
      </c>
      <c r="H131" s="3">
        <v>1</v>
      </c>
      <c r="I131" s="3">
        <v>13.3</v>
      </c>
      <c r="J131" s="3">
        <v>5</v>
      </c>
      <c r="K131" s="3">
        <v>1119.42</v>
      </c>
      <c r="L131" s="3">
        <v>0</v>
      </c>
    </row>
    <row r="132" spans="1:12" x14ac:dyDescent="0.2">
      <c r="A132" s="3">
        <v>245</v>
      </c>
      <c r="B132" s="3">
        <v>28</v>
      </c>
      <c r="C132" s="3" t="s">
        <v>15</v>
      </c>
      <c r="D132" s="3">
        <v>35</v>
      </c>
      <c r="E132" s="3">
        <v>107.86</v>
      </c>
      <c r="F132" s="3" t="s">
        <v>18</v>
      </c>
      <c r="G132" s="3" t="s">
        <v>23</v>
      </c>
      <c r="H132" s="3">
        <v>4</v>
      </c>
      <c r="I132" s="3">
        <v>44.9</v>
      </c>
      <c r="J132" s="3">
        <v>6</v>
      </c>
      <c r="K132" s="3">
        <v>3783.5</v>
      </c>
      <c r="L132" s="3">
        <v>0</v>
      </c>
    </row>
    <row r="133" spans="1:12" x14ac:dyDescent="0.2">
      <c r="A133" s="3">
        <v>250</v>
      </c>
      <c r="B133" s="3">
        <v>69</v>
      </c>
      <c r="C133" s="3" t="s">
        <v>16</v>
      </c>
      <c r="D133" s="3">
        <v>66</v>
      </c>
      <c r="E133" s="3">
        <v>95.24</v>
      </c>
      <c r="F133" s="3" t="s">
        <v>18</v>
      </c>
      <c r="G133" s="3" t="s">
        <v>22</v>
      </c>
      <c r="H133" s="3">
        <v>5</v>
      </c>
      <c r="I133" s="3">
        <v>46.4</v>
      </c>
      <c r="J133" s="3">
        <v>9</v>
      </c>
      <c r="K133" s="3">
        <v>6712.45</v>
      </c>
      <c r="L133" s="3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1A19-C370-0B4C-999D-B8C49603E50C}">
  <dimension ref="A1:L119"/>
  <sheetViews>
    <sheetView topLeftCell="A80" workbookViewId="0">
      <selection sqref="A1:B133"/>
    </sheetView>
  </sheetViews>
  <sheetFormatPr baseColWidth="10" defaultRowHeight="15" x14ac:dyDescent="0.2"/>
  <sheetData>
    <row r="1" spans="1:12" x14ac:dyDescent="0.2">
      <c r="A1" s="3" t="s">
        <v>5</v>
      </c>
      <c r="B1" s="3" t="s">
        <v>6</v>
      </c>
      <c r="C1" s="3" t="s">
        <v>14</v>
      </c>
      <c r="D1" s="3" t="s">
        <v>7</v>
      </c>
      <c r="E1" s="3" t="s">
        <v>8</v>
      </c>
      <c r="F1" s="3" t="s">
        <v>17</v>
      </c>
      <c r="G1" s="3" t="s">
        <v>21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</row>
    <row r="2" spans="1:12" x14ac:dyDescent="0.2">
      <c r="A2" s="3">
        <v>1</v>
      </c>
      <c r="B2" s="3">
        <v>56</v>
      </c>
      <c r="C2" s="3" t="s">
        <v>15</v>
      </c>
      <c r="D2" s="3">
        <v>58</v>
      </c>
      <c r="E2" s="3">
        <v>28.27</v>
      </c>
      <c r="F2" s="3" t="s">
        <v>18</v>
      </c>
      <c r="G2" s="3" t="s">
        <v>23</v>
      </c>
      <c r="H2" s="3">
        <v>2</v>
      </c>
      <c r="I2" s="3">
        <v>52.7</v>
      </c>
      <c r="J2" s="3">
        <v>6</v>
      </c>
      <c r="K2" s="3">
        <v>1614.09</v>
      </c>
      <c r="L2" s="3">
        <v>1</v>
      </c>
    </row>
    <row r="3" spans="1:12" x14ac:dyDescent="0.2">
      <c r="A3" s="3">
        <v>2</v>
      </c>
      <c r="B3" s="3">
        <v>69</v>
      </c>
      <c r="C3" s="3" t="s">
        <v>15</v>
      </c>
      <c r="D3" s="3">
        <v>63</v>
      </c>
      <c r="E3" s="3">
        <v>107.67</v>
      </c>
      <c r="F3" s="3" t="s">
        <v>18</v>
      </c>
      <c r="G3" s="3" t="s">
        <v>23</v>
      </c>
      <c r="H3" s="3">
        <v>1</v>
      </c>
      <c r="I3" s="3">
        <v>16.8</v>
      </c>
      <c r="J3" s="3">
        <v>1</v>
      </c>
      <c r="K3" s="3">
        <v>6505.15</v>
      </c>
      <c r="L3" s="3">
        <v>1</v>
      </c>
    </row>
    <row r="4" spans="1:12" x14ac:dyDescent="0.2">
      <c r="A4" s="3">
        <v>4</v>
      </c>
      <c r="B4" s="3">
        <v>32</v>
      </c>
      <c r="C4" s="3" t="s">
        <v>16</v>
      </c>
      <c r="D4" s="3">
        <v>22</v>
      </c>
      <c r="E4" s="3">
        <v>36.479999999999997</v>
      </c>
      <c r="F4" s="3" t="s">
        <v>20</v>
      </c>
      <c r="G4" s="3" t="s">
        <v>24</v>
      </c>
      <c r="H4" s="3">
        <v>1</v>
      </c>
      <c r="I4" s="3">
        <v>66.099999999999994</v>
      </c>
      <c r="J4" s="3">
        <v>3</v>
      </c>
      <c r="K4" s="3">
        <v>814.95</v>
      </c>
      <c r="L4" s="3">
        <v>1</v>
      </c>
    </row>
    <row r="5" spans="1:12" x14ac:dyDescent="0.2">
      <c r="A5" s="3">
        <v>5</v>
      </c>
      <c r="B5" s="3">
        <v>60</v>
      </c>
      <c r="C5" s="3" t="s">
        <v>16</v>
      </c>
      <c r="D5" s="3">
        <v>58</v>
      </c>
      <c r="E5" s="3">
        <v>61.13</v>
      </c>
      <c r="F5" s="3" t="s">
        <v>18</v>
      </c>
      <c r="G5" s="3" t="s">
        <v>22</v>
      </c>
      <c r="H5" s="3">
        <v>3</v>
      </c>
      <c r="I5" s="3">
        <v>79.099999999999994</v>
      </c>
      <c r="J5" s="3">
        <v>1</v>
      </c>
      <c r="K5" s="3">
        <v>3222</v>
      </c>
      <c r="L5" s="3">
        <v>1</v>
      </c>
    </row>
    <row r="6" spans="1:12" x14ac:dyDescent="0.2">
      <c r="A6" s="3">
        <v>6</v>
      </c>
      <c r="B6" s="3">
        <v>25</v>
      </c>
      <c r="C6" s="3" t="s">
        <v>15</v>
      </c>
      <c r="D6" s="3">
        <v>58</v>
      </c>
      <c r="E6" s="3">
        <v>97.76</v>
      </c>
      <c r="F6" s="3" t="s">
        <v>20</v>
      </c>
      <c r="G6" s="3" t="s">
        <v>24</v>
      </c>
      <c r="H6" s="3">
        <v>2</v>
      </c>
      <c r="I6" s="3">
        <v>25.6</v>
      </c>
      <c r="J6" s="3">
        <v>4</v>
      </c>
      <c r="K6" s="3">
        <v>5242.5600000000004</v>
      </c>
      <c r="L6" s="3">
        <v>1</v>
      </c>
    </row>
    <row r="7" spans="1:12" x14ac:dyDescent="0.2">
      <c r="A7" s="3">
        <v>7</v>
      </c>
      <c r="B7" s="3">
        <v>38</v>
      </c>
      <c r="C7" s="3" t="s">
        <v>15</v>
      </c>
      <c r="D7" s="3">
        <v>49</v>
      </c>
      <c r="E7" s="3">
        <v>68.040000000000006</v>
      </c>
      <c r="F7" s="3" t="s">
        <v>18</v>
      </c>
      <c r="G7" s="3" t="s">
        <v>23</v>
      </c>
      <c r="H7" s="3">
        <v>2</v>
      </c>
      <c r="I7" s="3">
        <v>18.100000000000001</v>
      </c>
      <c r="J7" s="3">
        <v>2</v>
      </c>
      <c r="K7" s="3">
        <v>3373.06</v>
      </c>
      <c r="L7" s="3">
        <v>1</v>
      </c>
    </row>
    <row r="8" spans="1:12" x14ac:dyDescent="0.2">
      <c r="A8" s="3">
        <v>9</v>
      </c>
      <c r="B8" s="3">
        <v>36</v>
      </c>
      <c r="C8" s="3" t="s">
        <v>16</v>
      </c>
      <c r="D8" s="3">
        <v>42</v>
      </c>
      <c r="E8" s="3">
        <v>57.67</v>
      </c>
      <c r="F8" s="3" t="s">
        <v>20</v>
      </c>
      <c r="G8" s="3" t="s">
        <v>22</v>
      </c>
      <c r="H8" s="3">
        <v>0</v>
      </c>
      <c r="I8" s="3">
        <v>5.2</v>
      </c>
      <c r="J8" s="3">
        <v>3</v>
      </c>
      <c r="K8" s="3">
        <v>2533.16</v>
      </c>
      <c r="L8" s="3">
        <v>1</v>
      </c>
    </row>
    <row r="9" spans="1:12" x14ac:dyDescent="0.2">
      <c r="A9" s="3">
        <v>14</v>
      </c>
      <c r="B9" s="3">
        <v>53</v>
      </c>
      <c r="C9" s="3" t="s">
        <v>16</v>
      </c>
      <c r="D9" s="3">
        <v>8</v>
      </c>
      <c r="E9" s="3">
        <v>26.35</v>
      </c>
      <c r="F9" s="3" t="s">
        <v>20</v>
      </c>
      <c r="G9" s="3" t="s">
        <v>22</v>
      </c>
      <c r="H9" s="3">
        <v>1</v>
      </c>
      <c r="I9" s="3">
        <v>41.8</v>
      </c>
      <c r="J9" s="3">
        <v>9</v>
      </c>
      <c r="K9" s="3">
        <v>218.09</v>
      </c>
      <c r="L9" s="3">
        <v>1</v>
      </c>
    </row>
    <row r="10" spans="1:12" x14ac:dyDescent="0.2">
      <c r="A10" s="3">
        <v>16</v>
      </c>
      <c r="B10" s="3">
        <v>41</v>
      </c>
      <c r="C10" s="3" t="s">
        <v>15</v>
      </c>
      <c r="D10" s="3">
        <v>60</v>
      </c>
      <c r="E10" s="3">
        <v>33.39</v>
      </c>
      <c r="F10" s="3" t="s">
        <v>20</v>
      </c>
      <c r="G10" s="3" t="s">
        <v>23</v>
      </c>
      <c r="H10" s="3">
        <v>3</v>
      </c>
      <c r="I10" s="3">
        <v>88.1</v>
      </c>
      <c r="J10" s="3">
        <v>1</v>
      </c>
      <c r="K10" s="3">
        <v>1925.79</v>
      </c>
      <c r="L10" s="3">
        <v>1</v>
      </c>
    </row>
    <row r="11" spans="1:12" x14ac:dyDescent="0.2">
      <c r="A11" s="3">
        <v>19</v>
      </c>
      <c r="B11" s="3">
        <v>19</v>
      </c>
      <c r="C11" s="3" t="s">
        <v>15</v>
      </c>
      <c r="D11" s="3">
        <v>6</v>
      </c>
      <c r="E11" s="3">
        <v>89.17</v>
      </c>
      <c r="F11" s="3" t="s">
        <v>20</v>
      </c>
      <c r="G11" s="3" t="s">
        <v>24</v>
      </c>
      <c r="H11" s="3">
        <v>6</v>
      </c>
      <c r="I11" s="3">
        <v>14.9</v>
      </c>
      <c r="J11" s="3">
        <v>7</v>
      </c>
      <c r="K11" s="3">
        <v>566.95000000000005</v>
      </c>
      <c r="L11" s="3">
        <v>1</v>
      </c>
    </row>
    <row r="12" spans="1:12" x14ac:dyDescent="0.2">
      <c r="A12" s="3">
        <v>20</v>
      </c>
      <c r="B12" s="3">
        <v>41</v>
      </c>
      <c r="C12" s="3" t="s">
        <v>16</v>
      </c>
      <c r="D12" s="3">
        <v>47</v>
      </c>
      <c r="E12" s="3">
        <v>73.430000000000007</v>
      </c>
      <c r="F12" s="3" t="s">
        <v>20</v>
      </c>
      <c r="G12" s="3" t="s">
        <v>22</v>
      </c>
      <c r="H12" s="3">
        <v>3</v>
      </c>
      <c r="I12" s="3">
        <v>26.4</v>
      </c>
      <c r="J12" s="3">
        <v>3</v>
      </c>
      <c r="K12" s="3">
        <v>3673.76</v>
      </c>
      <c r="L12" s="3">
        <v>1</v>
      </c>
    </row>
    <row r="13" spans="1:12" x14ac:dyDescent="0.2">
      <c r="A13" s="3">
        <v>22</v>
      </c>
      <c r="B13" s="3">
        <v>47</v>
      </c>
      <c r="C13" s="3" t="s">
        <v>16</v>
      </c>
      <c r="D13" s="3">
        <v>40</v>
      </c>
      <c r="E13" s="3">
        <v>111.32</v>
      </c>
      <c r="F13" s="3" t="s">
        <v>20</v>
      </c>
      <c r="G13" s="3" t="s">
        <v>24</v>
      </c>
      <c r="H13" s="3">
        <v>1</v>
      </c>
      <c r="I13" s="3">
        <v>10</v>
      </c>
      <c r="J13" s="3">
        <v>10</v>
      </c>
      <c r="K13" s="3">
        <v>4823.84</v>
      </c>
      <c r="L13" s="3">
        <v>1</v>
      </c>
    </row>
    <row r="14" spans="1:12" x14ac:dyDescent="0.2">
      <c r="A14" s="3">
        <v>23</v>
      </c>
      <c r="B14" s="3">
        <v>55</v>
      </c>
      <c r="C14" s="3" t="s">
        <v>16</v>
      </c>
      <c r="D14" s="3">
        <v>52</v>
      </c>
      <c r="E14" s="3">
        <v>78.510000000000005</v>
      </c>
      <c r="F14" s="3" t="s">
        <v>18</v>
      </c>
      <c r="G14" s="3" t="s">
        <v>23</v>
      </c>
      <c r="H14" s="3">
        <v>0</v>
      </c>
      <c r="I14" s="3">
        <v>51.2</v>
      </c>
      <c r="J14" s="3">
        <v>9</v>
      </c>
      <c r="K14" s="3">
        <v>4026.17</v>
      </c>
      <c r="L14" s="3">
        <v>1</v>
      </c>
    </row>
    <row r="15" spans="1:12" x14ac:dyDescent="0.2">
      <c r="A15" s="3">
        <v>30</v>
      </c>
      <c r="B15" s="3">
        <v>42</v>
      </c>
      <c r="C15" s="3" t="s">
        <v>16</v>
      </c>
      <c r="D15" s="3">
        <v>19</v>
      </c>
      <c r="E15" s="3">
        <v>47.47</v>
      </c>
      <c r="F15" s="3" t="s">
        <v>19</v>
      </c>
      <c r="G15" s="3" t="s">
        <v>24</v>
      </c>
      <c r="H15" s="3">
        <v>1</v>
      </c>
      <c r="I15" s="3">
        <v>71.099999999999994</v>
      </c>
      <c r="J15" s="3">
        <v>4</v>
      </c>
      <c r="K15" s="3">
        <v>879.3</v>
      </c>
      <c r="L15" s="3">
        <v>1</v>
      </c>
    </row>
    <row r="16" spans="1:12" x14ac:dyDescent="0.2">
      <c r="A16" s="3">
        <v>31</v>
      </c>
      <c r="B16" s="3">
        <v>66</v>
      </c>
      <c r="C16" s="3" t="s">
        <v>15</v>
      </c>
      <c r="D16" s="3">
        <v>58</v>
      </c>
      <c r="E16" s="3">
        <v>40.72</v>
      </c>
      <c r="F16" s="3" t="s">
        <v>20</v>
      </c>
      <c r="G16" s="3" t="s">
        <v>22</v>
      </c>
      <c r="H16" s="3">
        <v>2</v>
      </c>
      <c r="I16" s="3">
        <v>75.900000000000006</v>
      </c>
      <c r="J16" s="3">
        <v>4</v>
      </c>
      <c r="K16" s="3">
        <v>2204.4</v>
      </c>
      <c r="L16" s="3">
        <v>1</v>
      </c>
    </row>
    <row r="17" spans="1:12" x14ac:dyDescent="0.2">
      <c r="A17" s="3">
        <v>34</v>
      </c>
      <c r="B17" s="3">
        <v>45</v>
      </c>
      <c r="C17" s="3" t="s">
        <v>15</v>
      </c>
      <c r="D17" s="3">
        <v>23</v>
      </c>
      <c r="E17" s="3">
        <v>24.69</v>
      </c>
      <c r="F17" s="3" t="s">
        <v>18</v>
      </c>
      <c r="G17" s="3" t="s">
        <v>22</v>
      </c>
      <c r="H17" s="3">
        <v>5</v>
      </c>
      <c r="I17" s="3">
        <v>83.4</v>
      </c>
      <c r="J17" s="3">
        <v>9</v>
      </c>
      <c r="K17" s="3">
        <v>612.16999999999996</v>
      </c>
      <c r="L17" s="3">
        <v>1</v>
      </c>
    </row>
    <row r="18" spans="1:12" x14ac:dyDescent="0.2">
      <c r="A18" s="3">
        <v>35</v>
      </c>
      <c r="B18" s="3">
        <v>33</v>
      </c>
      <c r="C18" s="3" t="s">
        <v>15</v>
      </c>
      <c r="D18" s="3">
        <v>9</v>
      </c>
      <c r="E18" s="3">
        <v>46.87</v>
      </c>
      <c r="F18" s="3" t="s">
        <v>20</v>
      </c>
      <c r="G18" s="3" t="s">
        <v>24</v>
      </c>
      <c r="H18" s="3">
        <v>0</v>
      </c>
      <c r="I18" s="3">
        <v>54.4</v>
      </c>
      <c r="J18" s="3">
        <v>3</v>
      </c>
      <c r="K18" s="3">
        <v>408.83</v>
      </c>
      <c r="L18" s="3">
        <v>1</v>
      </c>
    </row>
    <row r="19" spans="1:12" x14ac:dyDescent="0.2">
      <c r="A19" s="3">
        <v>39</v>
      </c>
      <c r="B19" s="3">
        <v>61</v>
      </c>
      <c r="C19" s="3" t="s">
        <v>16</v>
      </c>
      <c r="D19" s="3">
        <v>1</v>
      </c>
      <c r="E19" s="3">
        <v>103.14</v>
      </c>
      <c r="F19" s="3" t="s">
        <v>20</v>
      </c>
      <c r="G19" s="3" t="s">
        <v>24</v>
      </c>
      <c r="H19" s="3">
        <v>2</v>
      </c>
      <c r="I19" s="3">
        <v>27.4</v>
      </c>
      <c r="J19" s="3">
        <v>6</v>
      </c>
      <c r="K19" s="3">
        <v>105.96</v>
      </c>
      <c r="L19" s="3">
        <v>1</v>
      </c>
    </row>
    <row r="20" spans="1:12" x14ac:dyDescent="0.2">
      <c r="A20" s="3">
        <v>41</v>
      </c>
      <c r="B20" s="3">
        <v>20</v>
      </c>
      <c r="C20" s="3" t="s">
        <v>15</v>
      </c>
      <c r="D20" s="3">
        <v>48</v>
      </c>
      <c r="E20" s="3">
        <v>101.64</v>
      </c>
      <c r="F20" s="3" t="s">
        <v>18</v>
      </c>
      <c r="G20" s="3" t="s">
        <v>24</v>
      </c>
      <c r="H20" s="3">
        <v>3</v>
      </c>
      <c r="I20" s="3">
        <v>10.9</v>
      </c>
      <c r="J20" s="3">
        <v>2</v>
      </c>
      <c r="K20" s="3">
        <v>4460.82</v>
      </c>
      <c r="L20" s="3">
        <v>1</v>
      </c>
    </row>
    <row r="21" spans="1:12" x14ac:dyDescent="0.2">
      <c r="A21" s="3">
        <v>42</v>
      </c>
      <c r="B21" s="3">
        <v>54</v>
      </c>
      <c r="C21" s="3" t="s">
        <v>16</v>
      </c>
      <c r="D21" s="3">
        <v>1</v>
      </c>
      <c r="E21" s="3">
        <v>116.8</v>
      </c>
      <c r="F21" s="3" t="s">
        <v>20</v>
      </c>
      <c r="G21" s="3" t="s">
        <v>22</v>
      </c>
      <c r="H21" s="3">
        <v>0</v>
      </c>
      <c r="I21" s="3">
        <v>81.099999999999994</v>
      </c>
      <c r="J21" s="3">
        <v>8</v>
      </c>
      <c r="K21" s="3">
        <v>114.69</v>
      </c>
      <c r="L21" s="3">
        <v>1</v>
      </c>
    </row>
    <row r="22" spans="1:12" x14ac:dyDescent="0.2">
      <c r="A22" s="3">
        <v>43</v>
      </c>
      <c r="B22" s="3">
        <v>68</v>
      </c>
      <c r="C22" s="3" t="s">
        <v>16</v>
      </c>
      <c r="D22" s="3">
        <v>16</v>
      </c>
      <c r="E22" s="3">
        <v>28.84</v>
      </c>
      <c r="F22" s="3" t="s">
        <v>20</v>
      </c>
      <c r="G22" s="3" t="s">
        <v>24</v>
      </c>
      <c r="H22" s="3">
        <v>2</v>
      </c>
      <c r="I22" s="3">
        <v>77.8</v>
      </c>
      <c r="J22" s="3">
        <v>6</v>
      </c>
      <c r="K22" s="3">
        <v>444.02</v>
      </c>
      <c r="L22" s="3">
        <v>1</v>
      </c>
    </row>
    <row r="23" spans="1:12" x14ac:dyDescent="0.2">
      <c r="A23" s="3">
        <v>45</v>
      </c>
      <c r="B23" s="3">
        <v>38</v>
      </c>
      <c r="C23" s="3" t="s">
        <v>15</v>
      </c>
      <c r="D23" s="3">
        <v>64</v>
      </c>
      <c r="E23" s="3">
        <v>79</v>
      </c>
      <c r="F23" s="3" t="s">
        <v>20</v>
      </c>
      <c r="G23" s="3" t="s">
        <v>24</v>
      </c>
      <c r="H23" s="3">
        <v>5</v>
      </c>
      <c r="I23" s="3">
        <v>33.4</v>
      </c>
      <c r="J23" s="3">
        <v>5</v>
      </c>
      <c r="K23" s="3">
        <v>5162.96</v>
      </c>
      <c r="L23" s="3">
        <v>1</v>
      </c>
    </row>
    <row r="24" spans="1:12" x14ac:dyDescent="0.2">
      <c r="A24" s="3">
        <v>48</v>
      </c>
      <c r="B24" s="3">
        <v>35</v>
      </c>
      <c r="C24" s="3" t="s">
        <v>15</v>
      </c>
      <c r="D24" s="3">
        <v>22</v>
      </c>
      <c r="E24" s="3">
        <v>98.47</v>
      </c>
      <c r="F24" s="3" t="s">
        <v>20</v>
      </c>
      <c r="G24" s="3" t="s">
        <v>23</v>
      </c>
      <c r="H24" s="3">
        <v>1</v>
      </c>
      <c r="I24" s="3">
        <v>52.1</v>
      </c>
      <c r="J24" s="3">
        <v>3</v>
      </c>
      <c r="K24" s="3">
        <v>2377.79</v>
      </c>
      <c r="L24" s="3">
        <v>1</v>
      </c>
    </row>
    <row r="25" spans="1:12" x14ac:dyDescent="0.2">
      <c r="A25" s="3">
        <v>50</v>
      </c>
      <c r="B25" s="3">
        <v>42</v>
      </c>
      <c r="C25" s="3" t="s">
        <v>15</v>
      </c>
      <c r="D25" s="3">
        <v>26</v>
      </c>
      <c r="E25" s="3">
        <v>100.5</v>
      </c>
      <c r="F25" s="3" t="s">
        <v>20</v>
      </c>
      <c r="G25" s="3" t="s">
        <v>23</v>
      </c>
      <c r="H25" s="3">
        <v>2</v>
      </c>
      <c r="I25" s="3">
        <v>70.2</v>
      </c>
      <c r="J25" s="3">
        <v>1</v>
      </c>
      <c r="K25" s="3">
        <v>2711.39</v>
      </c>
      <c r="L25" s="3">
        <v>1</v>
      </c>
    </row>
    <row r="26" spans="1:12" x14ac:dyDescent="0.2">
      <c r="A26" s="3">
        <v>55</v>
      </c>
      <c r="B26" s="3">
        <v>19</v>
      </c>
      <c r="C26" s="3" t="s">
        <v>16</v>
      </c>
      <c r="D26" s="3">
        <v>69</v>
      </c>
      <c r="E26" s="3">
        <v>83.66</v>
      </c>
      <c r="F26" s="3" t="s">
        <v>20</v>
      </c>
      <c r="G26" s="3" t="s">
        <v>22</v>
      </c>
      <c r="H26" s="3">
        <v>1</v>
      </c>
      <c r="I26" s="3">
        <v>24.3</v>
      </c>
      <c r="J26" s="3">
        <v>6</v>
      </c>
      <c r="K26" s="3">
        <v>6308.25</v>
      </c>
      <c r="L26" s="3">
        <v>1</v>
      </c>
    </row>
    <row r="27" spans="1:12" x14ac:dyDescent="0.2">
      <c r="A27" s="3">
        <v>56</v>
      </c>
      <c r="B27" s="3">
        <v>37</v>
      </c>
      <c r="C27" s="3" t="s">
        <v>15</v>
      </c>
      <c r="D27" s="3">
        <v>47</v>
      </c>
      <c r="E27" s="3">
        <v>75.48</v>
      </c>
      <c r="F27" s="3" t="s">
        <v>18</v>
      </c>
      <c r="G27" s="3" t="s">
        <v>22</v>
      </c>
      <c r="H27" s="3">
        <v>1</v>
      </c>
      <c r="I27" s="3">
        <v>58.7</v>
      </c>
      <c r="J27" s="3">
        <v>7</v>
      </c>
      <c r="K27" s="3">
        <v>3465.4</v>
      </c>
      <c r="L27" s="3">
        <v>1</v>
      </c>
    </row>
    <row r="28" spans="1:12" x14ac:dyDescent="0.2">
      <c r="A28" s="3">
        <v>59</v>
      </c>
      <c r="B28" s="3">
        <v>24</v>
      </c>
      <c r="C28" s="3" t="s">
        <v>15</v>
      </c>
      <c r="D28" s="3">
        <v>16</v>
      </c>
      <c r="E28" s="3">
        <v>74.739999999999995</v>
      </c>
      <c r="F28" s="3" t="s">
        <v>20</v>
      </c>
      <c r="G28" s="3" t="s">
        <v>24</v>
      </c>
      <c r="H28" s="3">
        <v>2</v>
      </c>
      <c r="I28" s="3">
        <v>71.5</v>
      </c>
      <c r="J28" s="3">
        <v>3</v>
      </c>
      <c r="K28" s="3">
        <v>1169.05</v>
      </c>
      <c r="L28" s="3">
        <v>1</v>
      </c>
    </row>
    <row r="29" spans="1:12" x14ac:dyDescent="0.2">
      <c r="A29" s="3">
        <v>61</v>
      </c>
      <c r="B29" s="3">
        <v>25</v>
      </c>
      <c r="C29" s="3" t="s">
        <v>16</v>
      </c>
      <c r="D29" s="3">
        <v>39</v>
      </c>
      <c r="E29" s="3">
        <v>111.05</v>
      </c>
      <c r="F29" s="3" t="s">
        <v>18</v>
      </c>
      <c r="G29" s="3" t="s">
        <v>22</v>
      </c>
      <c r="H29" s="3">
        <v>3</v>
      </c>
      <c r="I29" s="3">
        <v>60.7</v>
      </c>
      <c r="J29" s="3">
        <v>3</v>
      </c>
      <c r="K29" s="3">
        <v>3918.08</v>
      </c>
      <c r="L29" s="3">
        <v>1</v>
      </c>
    </row>
    <row r="30" spans="1:12" x14ac:dyDescent="0.2">
      <c r="A30" s="3">
        <v>63</v>
      </c>
      <c r="B30" s="3">
        <v>52</v>
      </c>
      <c r="C30" s="3" t="s">
        <v>15</v>
      </c>
      <c r="D30" s="3">
        <v>23</v>
      </c>
      <c r="E30" s="3">
        <v>72.36</v>
      </c>
      <c r="F30" s="3" t="s">
        <v>20</v>
      </c>
      <c r="G30" s="3" t="s">
        <v>24</v>
      </c>
      <c r="H30" s="3">
        <v>3</v>
      </c>
      <c r="I30" s="3">
        <v>93.3</v>
      </c>
      <c r="J30" s="3">
        <v>3</v>
      </c>
      <c r="K30" s="3">
        <v>1650.47</v>
      </c>
      <c r="L30" s="3">
        <v>1</v>
      </c>
    </row>
    <row r="31" spans="1:12" x14ac:dyDescent="0.2">
      <c r="A31" s="3">
        <v>65</v>
      </c>
      <c r="B31" s="3">
        <v>34</v>
      </c>
      <c r="C31" s="3" t="s">
        <v>16</v>
      </c>
      <c r="D31" s="3">
        <v>69</v>
      </c>
      <c r="E31" s="3">
        <v>99.65</v>
      </c>
      <c r="F31" s="3" t="s">
        <v>19</v>
      </c>
      <c r="G31" s="3" t="s">
        <v>23</v>
      </c>
      <c r="H31" s="3">
        <v>0</v>
      </c>
      <c r="I31" s="3">
        <v>10.3</v>
      </c>
      <c r="J31" s="3">
        <v>4</v>
      </c>
      <c r="K31" s="3">
        <v>7426.03</v>
      </c>
      <c r="L31" s="3">
        <v>1</v>
      </c>
    </row>
    <row r="32" spans="1:12" x14ac:dyDescent="0.2">
      <c r="A32" s="3">
        <v>66</v>
      </c>
      <c r="B32" s="3">
        <v>53</v>
      </c>
      <c r="C32" s="3" t="s">
        <v>16</v>
      </c>
      <c r="D32" s="3">
        <v>34</v>
      </c>
      <c r="E32" s="3">
        <v>65.930000000000007</v>
      </c>
      <c r="F32" s="3" t="s">
        <v>20</v>
      </c>
      <c r="G32" s="3" t="s">
        <v>23</v>
      </c>
      <c r="H32" s="3">
        <v>1</v>
      </c>
      <c r="I32" s="3">
        <v>86</v>
      </c>
      <c r="J32" s="3">
        <v>7</v>
      </c>
      <c r="K32" s="3">
        <v>2069.5300000000002</v>
      </c>
      <c r="L32" s="3">
        <v>1</v>
      </c>
    </row>
    <row r="33" spans="1:12" x14ac:dyDescent="0.2">
      <c r="A33" s="3">
        <v>67</v>
      </c>
      <c r="B33" s="3">
        <v>67</v>
      </c>
      <c r="C33" s="3" t="s">
        <v>16</v>
      </c>
      <c r="D33" s="3">
        <v>52</v>
      </c>
      <c r="E33" s="3">
        <v>104.21</v>
      </c>
      <c r="F33" s="3" t="s">
        <v>20</v>
      </c>
      <c r="G33" s="3" t="s">
        <v>22</v>
      </c>
      <c r="H33" s="3">
        <v>3</v>
      </c>
      <c r="I33" s="3">
        <v>26.4</v>
      </c>
      <c r="J33" s="3">
        <v>9</v>
      </c>
      <c r="K33" s="3">
        <v>5913.04</v>
      </c>
      <c r="L33" s="3">
        <v>1</v>
      </c>
    </row>
    <row r="34" spans="1:12" x14ac:dyDescent="0.2">
      <c r="A34" s="3">
        <v>68</v>
      </c>
      <c r="B34" s="3">
        <v>57</v>
      </c>
      <c r="C34" s="3" t="s">
        <v>16</v>
      </c>
      <c r="D34" s="3">
        <v>10</v>
      </c>
      <c r="E34" s="3">
        <v>96.89</v>
      </c>
      <c r="F34" s="3" t="s">
        <v>19</v>
      </c>
      <c r="G34" s="3" t="s">
        <v>24</v>
      </c>
      <c r="H34" s="3">
        <v>0</v>
      </c>
      <c r="I34" s="3">
        <v>40.799999999999997</v>
      </c>
      <c r="J34" s="3">
        <v>7</v>
      </c>
      <c r="K34" s="3">
        <v>932.85</v>
      </c>
      <c r="L34" s="3">
        <v>1</v>
      </c>
    </row>
    <row r="35" spans="1:12" x14ac:dyDescent="0.2">
      <c r="A35" s="3">
        <v>70</v>
      </c>
      <c r="B35" s="3">
        <v>19</v>
      </c>
      <c r="C35" s="3" t="s">
        <v>15</v>
      </c>
      <c r="D35" s="3">
        <v>58</v>
      </c>
      <c r="E35" s="3">
        <v>24.59</v>
      </c>
      <c r="F35" s="3" t="s">
        <v>20</v>
      </c>
      <c r="G35" s="3" t="s">
        <v>24</v>
      </c>
      <c r="H35" s="3">
        <v>1</v>
      </c>
      <c r="I35" s="3">
        <v>50.7</v>
      </c>
      <c r="J35" s="3">
        <v>3</v>
      </c>
      <c r="K35" s="3">
        <v>1455.58</v>
      </c>
      <c r="L35" s="3">
        <v>1</v>
      </c>
    </row>
    <row r="36" spans="1:12" x14ac:dyDescent="0.2">
      <c r="A36" s="3">
        <v>72</v>
      </c>
      <c r="B36" s="3">
        <v>59</v>
      </c>
      <c r="C36" s="3" t="s">
        <v>16</v>
      </c>
      <c r="D36" s="3">
        <v>69</v>
      </c>
      <c r="E36" s="3">
        <v>54.74</v>
      </c>
      <c r="F36" s="3" t="s">
        <v>20</v>
      </c>
      <c r="G36" s="3" t="s">
        <v>23</v>
      </c>
      <c r="H36" s="3">
        <v>2</v>
      </c>
      <c r="I36" s="3">
        <v>94</v>
      </c>
      <c r="J36" s="3">
        <v>8</v>
      </c>
      <c r="K36" s="3">
        <v>4142.6899999999996</v>
      </c>
      <c r="L36" s="3">
        <v>1</v>
      </c>
    </row>
    <row r="37" spans="1:12" x14ac:dyDescent="0.2">
      <c r="A37" s="3">
        <v>73</v>
      </c>
      <c r="B37" s="3">
        <v>21</v>
      </c>
      <c r="C37" s="3" t="s">
        <v>15</v>
      </c>
      <c r="D37" s="3">
        <v>4</v>
      </c>
      <c r="E37" s="3">
        <v>40.909999999999997</v>
      </c>
      <c r="F37" s="3" t="s">
        <v>20</v>
      </c>
      <c r="G37" s="3" t="s">
        <v>22</v>
      </c>
      <c r="H37" s="3">
        <v>2</v>
      </c>
      <c r="I37" s="3">
        <v>72.099999999999994</v>
      </c>
      <c r="J37" s="3">
        <v>6</v>
      </c>
      <c r="K37" s="3">
        <v>156.71</v>
      </c>
      <c r="L37" s="3">
        <v>1</v>
      </c>
    </row>
    <row r="38" spans="1:12" x14ac:dyDescent="0.2">
      <c r="A38" s="3">
        <v>74</v>
      </c>
      <c r="B38" s="3">
        <v>46</v>
      </c>
      <c r="C38" s="3" t="s">
        <v>15</v>
      </c>
      <c r="D38" s="3">
        <v>16</v>
      </c>
      <c r="E38" s="3">
        <v>77.959999999999994</v>
      </c>
      <c r="F38" s="3" t="s">
        <v>20</v>
      </c>
      <c r="G38" s="3" t="s">
        <v>23</v>
      </c>
      <c r="H38" s="3">
        <v>1</v>
      </c>
      <c r="I38" s="3">
        <v>65</v>
      </c>
      <c r="J38" s="3">
        <v>5</v>
      </c>
      <c r="K38" s="3">
        <v>1362.4</v>
      </c>
      <c r="L38" s="3">
        <v>1</v>
      </c>
    </row>
    <row r="39" spans="1:12" x14ac:dyDescent="0.2">
      <c r="A39" s="3">
        <v>75</v>
      </c>
      <c r="B39" s="3">
        <v>35</v>
      </c>
      <c r="C39" s="3" t="s">
        <v>15</v>
      </c>
      <c r="D39" s="3">
        <v>24</v>
      </c>
      <c r="E39" s="3">
        <v>54.16</v>
      </c>
      <c r="F39" s="3" t="s">
        <v>20</v>
      </c>
      <c r="G39" s="3" t="s">
        <v>23</v>
      </c>
      <c r="H39" s="3">
        <v>3</v>
      </c>
      <c r="I39" s="3">
        <v>9.6999999999999993</v>
      </c>
      <c r="J39" s="3">
        <v>4</v>
      </c>
      <c r="K39" s="3">
        <v>1271.1099999999999</v>
      </c>
      <c r="L39" s="3">
        <v>1</v>
      </c>
    </row>
    <row r="40" spans="1:12" x14ac:dyDescent="0.2">
      <c r="A40" s="3">
        <v>76</v>
      </c>
      <c r="B40" s="3">
        <v>43</v>
      </c>
      <c r="C40" s="3" t="s">
        <v>15</v>
      </c>
      <c r="D40" s="3">
        <v>2</v>
      </c>
      <c r="E40" s="3">
        <v>73.73</v>
      </c>
      <c r="F40" s="3" t="s">
        <v>20</v>
      </c>
      <c r="G40" s="3" t="s">
        <v>22</v>
      </c>
      <c r="H40" s="3">
        <v>2</v>
      </c>
      <c r="I40" s="3">
        <v>90.9</v>
      </c>
      <c r="J40" s="3">
        <v>8</v>
      </c>
      <c r="K40" s="3">
        <v>144.08000000000001</v>
      </c>
      <c r="L40" s="3">
        <v>1</v>
      </c>
    </row>
    <row r="41" spans="1:12" x14ac:dyDescent="0.2">
      <c r="A41" s="3">
        <v>79</v>
      </c>
      <c r="B41" s="3">
        <v>27</v>
      </c>
      <c r="C41" s="3" t="s">
        <v>15</v>
      </c>
      <c r="D41" s="3">
        <v>12</v>
      </c>
      <c r="E41" s="3">
        <v>60.03</v>
      </c>
      <c r="F41" s="3" t="s">
        <v>20</v>
      </c>
      <c r="G41" s="3" t="s">
        <v>24</v>
      </c>
      <c r="H41" s="3">
        <v>1</v>
      </c>
      <c r="I41" s="3">
        <v>5.7</v>
      </c>
      <c r="J41" s="3">
        <v>1</v>
      </c>
      <c r="K41" s="3">
        <v>670.53</v>
      </c>
      <c r="L41" s="3">
        <v>1</v>
      </c>
    </row>
    <row r="42" spans="1:12" x14ac:dyDescent="0.2">
      <c r="A42" s="3">
        <v>81</v>
      </c>
      <c r="B42" s="3">
        <v>31</v>
      </c>
      <c r="C42" s="3" t="s">
        <v>16</v>
      </c>
      <c r="D42" s="3">
        <v>35</v>
      </c>
      <c r="E42" s="3">
        <v>38.01</v>
      </c>
      <c r="F42" s="3" t="s">
        <v>20</v>
      </c>
      <c r="G42" s="3" t="s">
        <v>22</v>
      </c>
      <c r="H42" s="3">
        <v>2</v>
      </c>
      <c r="I42" s="3">
        <v>26.4</v>
      </c>
      <c r="J42" s="3">
        <v>4</v>
      </c>
      <c r="K42" s="3">
        <v>1341.45</v>
      </c>
      <c r="L42" s="3">
        <v>1</v>
      </c>
    </row>
    <row r="43" spans="1:12" x14ac:dyDescent="0.2">
      <c r="A43" s="3">
        <v>82</v>
      </c>
      <c r="B43" s="3">
        <v>48</v>
      </c>
      <c r="C43" s="3" t="s">
        <v>15</v>
      </c>
      <c r="D43" s="3">
        <v>33</v>
      </c>
      <c r="E43" s="3">
        <v>89.65</v>
      </c>
      <c r="F43" s="3" t="s">
        <v>19</v>
      </c>
      <c r="G43" s="3" t="s">
        <v>22</v>
      </c>
      <c r="H43" s="3">
        <v>0</v>
      </c>
      <c r="I43" s="3">
        <v>17.5</v>
      </c>
      <c r="J43" s="3">
        <v>9</v>
      </c>
      <c r="K43" s="3">
        <v>3113.41</v>
      </c>
      <c r="L43" s="3">
        <v>1</v>
      </c>
    </row>
    <row r="44" spans="1:12" x14ac:dyDescent="0.2">
      <c r="A44" s="3">
        <v>87</v>
      </c>
      <c r="B44" s="3">
        <v>40</v>
      </c>
      <c r="C44" s="3" t="s">
        <v>15</v>
      </c>
      <c r="D44" s="3">
        <v>12</v>
      </c>
      <c r="E44" s="3">
        <v>80.19</v>
      </c>
      <c r="F44" s="3" t="s">
        <v>20</v>
      </c>
      <c r="G44" s="3" t="s">
        <v>23</v>
      </c>
      <c r="H44" s="3">
        <v>2</v>
      </c>
      <c r="I44" s="3">
        <v>31.9</v>
      </c>
      <c r="J44" s="3">
        <v>4</v>
      </c>
      <c r="K44" s="3">
        <v>903.51</v>
      </c>
      <c r="L44" s="3">
        <v>1</v>
      </c>
    </row>
    <row r="45" spans="1:12" x14ac:dyDescent="0.2">
      <c r="A45" s="3">
        <v>90</v>
      </c>
      <c r="B45" s="3">
        <v>33</v>
      </c>
      <c r="C45" s="3" t="s">
        <v>15</v>
      </c>
      <c r="D45" s="3">
        <v>33</v>
      </c>
      <c r="E45" s="3">
        <v>54.51</v>
      </c>
      <c r="F45" s="3" t="s">
        <v>20</v>
      </c>
      <c r="G45" s="3" t="s">
        <v>24</v>
      </c>
      <c r="H45" s="3">
        <v>1</v>
      </c>
      <c r="I45" s="3">
        <v>31.2</v>
      </c>
      <c r="J45" s="3">
        <v>2</v>
      </c>
      <c r="K45" s="3">
        <v>1716.17</v>
      </c>
      <c r="L45" s="3">
        <v>1</v>
      </c>
    </row>
    <row r="46" spans="1:12" x14ac:dyDescent="0.2">
      <c r="A46" s="3">
        <v>92</v>
      </c>
      <c r="B46" s="3">
        <v>35</v>
      </c>
      <c r="C46" s="3" t="s">
        <v>16</v>
      </c>
      <c r="D46" s="3">
        <v>43</v>
      </c>
      <c r="E46" s="3">
        <v>23.18</v>
      </c>
      <c r="F46" s="3" t="s">
        <v>18</v>
      </c>
      <c r="G46" s="3" t="s">
        <v>22</v>
      </c>
      <c r="H46" s="3">
        <v>2</v>
      </c>
      <c r="I46" s="3">
        <v>79.8</v>
      </c>
      <c r="J46" s="3">
        <v>6</v>
      </c>
      <c r="K46" s="3">
        <v>1008.24</v>
      </c>
      <c r="L46" s="3">
        <v>1</v>
      </c>
    </row>
    <row r="47" spans="1:12" x14ac:dyDescent="0.2">
      <c r="A47" s="3">
        <v>93</v>
      </c>
      <c r="B47" s="3">
        <v>64</v>
      </c>
      <c r="C47" s="3" t="s">
        <v>16</v>
      </c>
      <c r="D47" s="3">
        <v>44</v>
      </c>
      <c r="E47" s="3">
        <v>74.87</v>
      </c>
      <c r="F47" s="3" t="s">
        <v>20</v>
      </c>
      <c r="G47" s="3" t="s">
        <v>22</v>
      </c>
      <c r="H47" s="3">
        <v>2</v>
      </c>
      <c r="I47" s="3">
        <v>97.6</v>
      </c>
      <c r="J47" s="3">
        <v>9</v>
      </c>
      <c r="K47" s="3">
        <v>3193.66</v>
      </c>
      <c r="L47" s="3">
        <v>1</v>
      </c>
    </row>
    <row r="48" spans="1:12" x14ac:dyDescent="0.2">
      <c r="A48" s="3">
        <v>96</v>
      </c>
      <c r="B48" s="3">
        <v>42</v>
      </c>
      <c r="C48" s="3" t="s">
        <v>15</v>
      </c>
      <c r="D48" s="3">
        <v>12</v>
      </c>
      <c r="E48" s="3">
        <v>109.42</v>
      </c>
      <c r="F48" s="3" t="s">
        <v>20</v>
      </c>
      <c r="G48" s="3" t="s">
        <v>22</v>
      </c>
      <c r="H48" s="3">
        <v>0</v>
      </c>
      <c r="I48" s="3">
        <v>85.3</v>
      </c>
      <c r="J48" s="3">
        <v>1</v>
      </c>
      <c r="K48" s="3">
        <v>1298.3499999999999</v>
      </c>
      <c r="L48" s="3">
        <v>1</v>
      </c>
    </row>
    <row r="49" spans="1:12" x14ac:dyDescent="0.2">
      <c r="A49" s="3">
        <v>97</v>
      </c>
      <c r="B49" s="3">
        <v>62</v>
      </c>
      <c r="C49" s="3" t="s">
        <v>15</v>
      </c>
      <c r="D49" s="3">
        <v>46</v>
      </c>
      <c r="E49" s="3">
        <v>32.869999999999997</v>
      </c>
      <c r="F49" s="3" t="s">
        <v>18</v>
      </c>
      <c r="G49" s="3" t="s">
        <v>23</v>
      </c>
      <c r="H49" s="3">
        <v>6</v>
      </c>
      <c r="I49" s="3">
        <v>30.5</v>
      </c>
      <c r="J49" s="3">
        <v>3</v>
      </c>
      <c r="K49" s="3">
        <v>1550.19</v>
      </c>
      <c r="L49" s="3">
        <v>1</v>
      </c>
    </row>
    <row r="50" spans="1:12" x14ac:dyDescent="0.2">
      <c r="A50" s="3">
        <v>98</v>
      </c>
      <c r="B50" s="3">
        <v>58</v>
      </c>
      <c r="C50" s="3" t="s">
        <v>15</v>
      </c>
      <c r="D50" s="3">
        <v>2</v>
      </c>
      <c r="E50" s="3">
        <v>53.01</v>
      </c>
      <c r="F50" s="3" t="s">
        <v>20</v>
      </c>
      <c r="G50" s="3" t="s">
        <v>23</v>
      </c>
      <c r="H50" s="3">
        <v>1</v>
      </c>
      <c r="I50" s="3">
        <v>19.899999999999999</v>
      </c>
      <c r="J50" s="3">
        <v>2</v>
      </c>
      <c r="K50" s="3">
        <v>105.78</v>
      </c>
      <c r="L50" s="3">
        <v>1</v>
      </c>
    </row>
    <row r="51" spans="1:12" x14ac:dyDescent="0.2">
      <c r="A51" s="3">
        <v>99</v>
      </c>
      <c r="B51" s="3">
        <v>46</v>
      </c>
      <c r="C51" s="3" t="s">
        <v>15</v>
      </c>
      <c r="D51" s="3">
        <v>35</v>
      </c>
      <c r="E51" s="3">
        <v>52.16</v>
      </c>
      <c r="F51" s="3" t="s">
        <v>20</v>
      </c>
      <c r="G51" s="3" t="s">
        <v>23</v>
      </c>
      <c r="H51" s="3">
        <v>4</v>
      </c>
      <c r="I51" s="3">
        <v>86</v>
      </c>
      <c r="J51" s="3">
        <v>5</v>
      </c>
      <c r="K51" s="3">
        <v>1789.74</v>
      </c>
      <c r="L51" s="3">
        <v>1</v>
      </c>
    </row>
    <row r="52" spans="1:12" x14ac:dyDescent="0.2">
      <c r="A52" s="3">
        <v>102</v>
      </c>
      <c r="B52" s="3">
        <v>18</v>
      </c>
      <c r="C52" s="3" t="s">
        <v>15</v>
      </c>
      <c r="D52" s="3">
        <v>34</v>
      </c>
      <c r="E52" s="3">
        <v>88.78</v>
      </c>
      <c r="F52" s="3" t="s">
        <v>20</v>
      </c>
      <c r="G52" s="3" t="s">
        <v>24</v>
      </c>
      <c r="H52" s="3">
        <v>6</v>
      </c>
      <c r="I52" s="3">
        <v>58.4</v>
      </c>
      <c r="J52" s="3">
        <v>4</v>
      </c>
      <c r="K52" s="3">
        <v>3093.02</v>
      </c>
      <c r="L52" s="3">
        <v>1</v>
      </c>
    </row>
    <row r="53" spans="1:12" x14ac:dyDescent="0.2">
      <c r="A53" s="3">
        <v>103</v>
      </c>
      <c r="B53" s="3">
        <v>42</v>
      </c>
      <c r="C53" s="3" t="s">
        <v>16</v>
      </c>
      <c r="D53" s="3">
        <v>7</v>
      </c>
      <c r="E53" s="3">
        <v>71.17</v>
      </c>
      <c r="F53" s="3" t="s">
        <v>20</v>
      </c>
      <c r="G53" s="3" t="s">
        <v>23</v>
      </c>
      <c r="H53" s="3">
        <v>2</v>
      </c>
      <c r="I53" s="3">
        <v>37.9</v>
      </c>
      <c r="J53" s="3">
        <v>5</v>
      </c>
      <c r="K53" s="3">
        <v>505.1</v>
      </c>
      <c r="L53" s="3">
        <v>1</v>
      </c>
    </row>
    <row r="54" spans="1:12" x14ac:dyDescent="0.2">
      <c r="A54" s="3">
        <v>104</v>
      </c>
      <c r="B54" s="3">
        <v>24</v>
      </c>
      <c r="C54" s="3" t="s">
        <v>16</v>
      </c>
      <c r="D54" s="3">
        <v>68</v>
      </c>
      <c r="E54" s="3">
        <v>35.700000000000003</v>
      </c>
      <c r="F54" s="3" t="s">
        <v>20</v>
      </c>
      <c r="G54" s="3" t="s">
        <v>24</v>
      </c>
      <c r="H54" s="3">
        <v>2</v>
      </c>
      <c r="I54" s="3">
        <v>34.9</v>
      </c>
      <c r="J54" s="3">
        <v>3</v>
      </c>
      <c r="K54" s="3">
        <v>2486.1799999999998</v>
      </c>
      <c r="L54" s="3">
        <v>1</v>
      </c>
    </row>
    <row r="55" spans="1:12" x14ac:dyDescent="0.2">
      <c r="A55" s="3">
        <v>105</v>
      </c>
      <c r="B55" s="3">
        <v>26</v>
      </c>
      <c r="C55" s="3" t="s">
        <v>15</v>
      </c>
      <c r="D55" s="3">
        <v>58</v>
      </c>
      <c r="E55" s="3">
        <v>57.73</v>
      </c>
      <c r="F55" s="3" t="s">
        <v>18</v>
      </c>
      <c r="G55" s="3" t="s">
        <v>23</v>
      </c>
      <c r="H55" s="3">
        <v>2</v>
      </c>
      <c r="I55" s="3">
        <v>78.3</v>
      </c>
      <c r="J55" s="3">
        <v>1</v>
      </c>
      <c r="K55" s="3">
        <v>3148.32</v>
      </c>
      <c r="L55" s="3">
        <v>1</v>
      </c>
    </row>
    <row r="56" spans="1:12" x14ac:dyDescent="0.2">
      <c r="A56" s="3">
        <v>109</v>
      </c>
      <c r="B56" s="3">
        <v>25</v>
      </c>
      <c r="C56" s="3" t="s">
        <v>15</v>
      </c>
      <c r="D56" s="3">
        <v>36</v>
      </c>
      <c r="E56" s="3">
        <v>79.73</v>
      </c>
      <c r="F56" s="3" t="s">
        <v>18</v>
      </c>
      <c r="G56" s="3" t="s">
        <v>23</v>
      </c>
      <c r="H56" s="3">
        <v>3</v>
      </c>
      <c r="I56" s="3">
        <v>57.1</v>
      </c>
      <c r="J56" s="3">
        <v>4</v>
      </c>
      <c r="K56" s="3">
        <v>2894.98</v>
      </c>
      <c r="L56" s="3">
        <v>1</v>
      </c>
    </row>
    <row r="57" spans="1:12" x14ac:dyDescent="0.2">
      <c r="A57" s="3">
        <v>114</v>
      </c>
      <c r="B57" s="3">
        <v>25</v>
      </c>
      <c r="C57" s="3" t="s">
        <v>15</v>
      </c>
      <c r="D57" s="3">
        <v>36</v>
      </c>
      <c r="E57" s="3">
        <v>96</v>
      </c>
      <c r="F57" s="3" t="s">
        <v>19</v>
      </c>
      <c r="G57" s="3" t="s">
        <v>24</v>
      </c>
      <c r="H57" s="3">
        <v>4</v>
      </c>
      <c r="I57" s="3">
        <v>79.8</v>
      </c>
      <c r="J57" s="3">
        <v>1</v>
      </c>
      <c r="K57" s="3">
        <v>3479.08</v>
      </c>
      <c r="L57" s="3">
        <v>1</v>
      </c>
    </row>
    <row r="58" spans="1:12" x14ac:dyDescent="0.2">
      <c r="A58" s="3">
        <v>116</v>
      </c>
      <c r="B58" s="3">
        <v>52</v>
      </c>
      <c r="C58" s="3" t="s">
        <v>16</v>
      </c>
      <c r="D58" s="3">
        <v>23</v>
      </c>
      <c r="E58" s="3">
        <v>92.05</v>
      </c>
      <c r="F58" s="3" t="s">
        <v>19</v>
      </c>
      <c r="G58" s="3" t="s">
        <v>22</v>
      </c>
      <c r="H58" s="3">
        <v>1</v>
      </c>
      <c r="I58" s="3">
        <v>52</v>
      </c>
      <c r="J58" s="3">
        <v>7</v>
      </c>
      <c r="K58" s="3">
        <v>1960.76</v>
      </c>
      <c r="L58" s="3">
        <v>1</v>
      </c>
    </row>
    <row r="59" spans="1:12" x14ac:dyDescent="0.2">
      <c r="A59" s="3">
        <v>117</v>
      </c>
      <c r="B59" s="3">
        <v>50</v>
      </c>
      <c r="C59" s="3" t="s">
        <v>16</v>
      </c>
      <c r="D59" s="3">
        <v>62</v>
      </c>
      <c r="E59" s="3">
        <v>26.23</v>
      </c>
      <c r="F59" s="3" t="s">
        <v>20</v>
      </c>
      <c r="G59" s="3" t="s">
        <v>24</v>
      </c>
      <c r="H59" s="3">
        <v>1</v>
      </c>
      <c r="I59" s="3">
        <v>98.1</v>
      </c>
      <c r="J59" s="3">
        <v>8</v>
      </c>
      <c r="K59" s="3">
        <v>1720.75</v>
      </c>
      <c r="L59" s="3">
        <v>1</v>
      </c>
    </row>
    <row r="60" spans="1:12" x14ac:dyDescent="0.2">
      <c r="A60" s="3">
        <v>118</v>
      </c>
      <c r="B60" s="3">
        <v>22</v>
      </c>
      <c r="C60" s="3" t="s">
        <v>16</v>
      </c>
      <c r="D60" s="3">
        <v>37</v>
      </c>
      <c r="E60" s="3">
        <v>34.770000000000003</v>
      </c>
      <c r="F60" s="3" t="s">
        <v>20</v>
      </c>
      <c r="G60" s="3" t="s">
        <v>22</v>
      </c>
      <c r="H60" s="3">
        <v>4</v>
      </c>
      <c r="I60" s="3">
        <v>18.8</v>
      </c>
      <c r="J60" s="3">
        <v>6</v>
      </c>
      <c r="K60" s="3">
        <v>1189.96</v>
      </c>
      <c r="L60" s="3">
        <v>1</v>
      </c>
    </row>
    <row r="61" spans="1:12" x14ac:dyDescent="0.2">
      <c r="A61" s="3">
        <v>122</v>
      </c>
      <c r="B61" s="3">
        <v>45</v>
      </c>
      <c r="C61" s="3" t="s">
        <v>15</v>
      </c>
      <c r="D61" s="3">
        <v>23</v>
      </c>
      <c r="E61" s="3">
        <v>94.96</v>
      </c>
      <c r="F61" s="3" t="s">
        <v>20</v>
      </c>
      <c r="G61" s="3" t="s">
        <v>24</v>
      </c>
      <c r="H61" s="3">
        <v>2</v>
      </c>
      <c r="I61" s="3">
        <v>34.299999999999997</v>
      </c>
      <c r="J61" s="3">
        <v>4</v>
      </c>
      <c r="K61" s="3">
        <v>2378.04</v>
      </c>
      <c r="L61" s="3">
        <v>1</v>
      </c>
    </row>
    <row r="62" spans="1:12" x14ac:dyDescent="0.2">
      <c r="A62" s="3">
        <v>129</v>
      </c>
      <c r="B62" s="3">
        <v>65</v>
      </c>
      <c r="C62" s="3" t="s">
        <v>15</v>
      </c>
      <c r="D62" s="3">
        <v>49</v>
      </c>
      <c r="E62" s="3">
        <v>38.229999999999997</v>
      </c>
      <c r="F62" s="3" t="s">
        <v>19</v>
      </c>
      <c r="G62" s="3" t="s">
        <v>23</v>
      </c>
      <c r="H62" s="3">
        <v>3</v>
      </c>
      <c r="I62" s="3">
        <v>13.4</v>
      </c>
      <c r="J62" s="3">
        <v>9</v>
      </c>
      <c r="K62" s="3">
        <v>1826.56</v>
      </c>
      <c r="L62" s="3">
        <v>1</v>
      </c>
    </row>
    <row r="63" spans="1:12" x14ac:dyDescent="0.2">
      <c r="A63" s="3">
        <v>130</v>
      </c>
      <c r="B63" s="3">
        <v>40</v>
      </c>
      <c r="C63" s="3" t="s">
        <v>15</v>
      </c>
      <c r="D63" s="3">
        <v>12</v>
      </c>
      <c r="E63" s="3">
        <v>76.400000000000006</v>
      </c>
      <c r="F63" s="3" t="s">
        <v>18</v>
      </c>
      <c r="G63" s="3" t="s">
        <v>22</v>
      </c>
      <c r="H63" s="3">
        <v>3</v>
      </c>
      <c r="I63" s="3">
        <v>70</v>
      </c>
      <c r="J63" s="3">
        <v>3</v>
      </c>
      <c r="K63" s="3">
        <v>877.52</v>
      </c>
      <c r="L63" s="3">
        <v>1</v>
      </c>
    </row>
    <row r="64" spans="1:12" x14ac:dyDescent="0.2">
      <c r="A64" s="3">
        <v>131</v>
      </c>
      <c r="B64" s="3">
        <v>41</v>
      </c>
      <c r="C64" s="3" t="s">
        <v>15</v>
      </c>
      <c r="D64" s="3">
        <v>61</v>
      </c>
      <c r="E64" s="3">
        <v>104.07</v>
      </c>
      <c r="F64" s="3" t="s">
        <v>18</v>
      </c>
      <c r="G64" s="3" t="s">
        <v>22</v>
      </c>
      <c r="H64" s="3">
        <v>2</v>
      </c>
      <c r="I64" s="3">
        <v>56.8</v>
      </c>
      <c r="J64" s="3">
        <v>4</v>
      </c>
      <c r="K64" s="3">
        <v>5971.47</v>
      </c>
      <c r="L64" s="3">
        <v>1</v>
      </c>
    </row>
    <row r="65" spans="1:12" x14ac:dyDescent="0.2">
      <c r="A65" s="3">
        <v>132</v>
      </c>
      <c r="B65" s="3">
        <v>54</v>
      </c>
      <c r="C65" s="3" t="s">
        <v>16</v>
      </c>
      <c r="D65" s="3">
        <v>19</v>
      </c>
      <c r="E65" s="3">
        <v>28.92</v>
      </c>
      <c r="F65" s="3" t="s">
        <v>19</v>
      </c>
      <c r="G65" s="3" t="s">
        <v>24</v>
      </c>
      <c r="H65" s="3">
        <v>1</v>
      </c>
      <c r="I65" s="3">
        <v>98.1</v>
      </c>
      <c r="J65" s="3">
        <v>7</v>
      </c>
      <c r="K65" s="3">
        <v>578.25</v>
      </c>
      <c r="L65" s="3">
        <v>1</v>
      </c>
    </row>
    <row r="66" spans="1:12" x14ac:dyDescent="0.2">
      <c r="A66" s="3">
        <v>133</v>
      </c>
      <c r="B66" s="3">
        <v>52</v>
      </c>
      <c r="C66" s="3" t="s">
        <v>16</v>
      </c>
      <c r="D66" s="3">
        <v>9</v>
      </c>
      <c r="E66" s="3">
        <v>73.53</v>
      </c>
      <c r="F66" s="3" t="s">
        <v>19</v>
      </c>
      <c r="G66" s="3" t="s">
        <v>22</v>
      </c>
      <c r="H66" s="3">
        <v>2</v>
      </c>
      <c r="I66" s="3">
        <v>26.6</v>
      </c>
      <c r="J66" s="3">
        <v>7</v>
      </c>
      <c r="K66" s="3">
        <v>646.75</v>
      </c>
      <c r="L66" s="3">
        <v>1</v>
      </c>
    </row>
    <row r="67" spans="1:12" x14ac:dyDescent="0.2">
      <c r="A67" s="3">
        <v>134</v>
      </c>
      <c r="B67" s="3">
        <v>61</v>
      </c>
      <c r="C67" s="3" t="s">
        <v>15</v>
      </c>
      <c r="D67" s="3">
        <v>71</v>
      </c>
      <c r="E67" s="3">
        <v>43.32</v>
      </c>
      <c r="F67" s="3" t="s">
        <v>20</v>
      </c>
      <c r="G67" s="3" t="s">
        <v>23</v>
      </c>
      <c r="H67" s="3">
        <v>1</v>
      </c>
      <c r="I67" s="3">
        <v>43.4</v>
      </c>
      <c r="J67" s="3">
        <v>4</v>
      </c>
      <c r="K67" s="3">
        <v>3082.66</v>
      </c>
      <c r="L67" s="3">
        <v>1</v>
      </c>
    </row>
    <row r="68" spans="1:12" x14ac:dyDescent="0.2">
      <c r="A68" s="3">
        <v>136</v>
      </c>
      <c r="B68" s="3">
        <v>39</v>
      </c>
      <c r="C68" s="3" t="s">
        <v>16</v>
      </c>
      <c r="D68" s="3">
        <v>52</v>
      </c>
      <c r="E68" s="3">
        <v>67.400000000000006</v>
      </c>
      <c r="F68" s="3" t="s">
        <v>20</v>
      </c>
      <c r="G68" s="3" t="s">
        <v>23</v>
      </c>
      <c r="H68" s="3">
        <v>1</v>
      </c>
      <c r="I68" s="3">
        <v>80.2</v>
      </c>
      <c r="J68" s="3">
        <v>3</v>
      </c>
      <c r="K68" s="3">
        <v>3558.97</v>
      </c>
      <c r="L68" s="3">
        <v>1</v>
      </c>
    </row>
    <row r="69" spans="1:12" x14ac:dyDescent="0.2">
      <c r="A69" s="3">
        <v>137</v>
      </c>
      <c r="B69" s="3">
        <v>44</v>
      </c>
      <c r="C69" s="3" t="s">
        <v>16</v>
      </c>
      <c r="D69" s="3">
        <v>16</v>
      </c>
      <c r="E69" s="3">
        <v>55.51</v>
      </c>
      <c r="F69" s="3" t="s">
        <v>20</v>
      </c>
      <c r="G69" s="3" t="s">
        <v>23</v>
      </c>
      <c r="H69" s="3">
        <v>2</v>
      </c>
      <c r="I69" s="3">
        <v>57.1</v>
      </c>
      <c r="J69" s="3">
        <v>6</v>
      </c>
      <c r="K69" s="3">
        <v>953.1</v>
      </c>
      <c r="L69" s="3">
        <v>1</v>
      </c>
    </row>
    <row r="70" spans="1:12" x14ac:dyDescent="0.2">
      <c r="A70" s="3">
        <v>140</v>
      </c>
      <c r="B70" s="3">
        <v>52</v>
      </c>
      <c r="C70" s="3" t="s">
        <v>15</v>
      </c>
      <c r="D70" s="3">
        <v>25</v>
      </c>
      <c r="E70" s="3">
        <v>78.42</v>
      </c>
      <c r="F70" s="3" t="s">
        <v>18</v>
      </c>
      <c r="G70" s="3" t="s">
        <v>22</v>
      </c>
      <c r="H70" s="3">
        <v>1</v>
      </c>
      <c r="I70" s="3">
        <v>85.5</v>
      </c>
      <c r="J70" s="3">
        <v>2</v>
      </c>
      <c r="K70" s="3">
        <v>2088.92</v>
      </c>
      <c r="L70" s="3">
        <v>1</v>
      </c>
    </row>
    <row r="71" spans="1:12" x14ac:dyDescent="0.2">
      <c r="A71" s="3">
        <v>143</v>
      </c>
      <c r="B71" s="3">
        <v>31</v>
      </c>
      <c r="C71" s="3" t="s">
        <v>16</v>
      </c>
      <c r="D71" s="3">
        <v>23</v>
      </c>
      <c r="E71" s="3">
        <v>78.650000000000006</v>
      </c>
      <c r="F71" s="3" t="s">
        <v>18</v>
      </c>
      <c r="G71" s="3" t="s">
        <v>22</v>
      </c>
      <c r="H71" s="3">
        <v>2</v>
      </c>
      <c r="I71" s="3">
        <v>68.099999999999994</v>
      </c>
      <c r="J71" s="3">
        <v>1</v>
      </c>
      <c r="K71" s="3">
        <v>1973.94</v>
      </c>
      <c r="L71" s="3">
        <v>1</v>
      </c>
    </row>
    <row r="72" spans="1:12" x14ac:dyDescent="0.2">
      <c r="A72" s="3">
        <v>149</v>
      </c>
      <c r="B72" s="3">
        <v>56</v>
      </c>
      <c r="C72" s="3" t="s">
        <v>15</v>
      </c>
      <c r="D72" s="3">
        <v>58</v>
      </c>
      <c r="E72" s="3">
        <v>44.44</v>
      </c>
      <c r="F72" s="3" t="s">
        <v>20</v>
      </c>
      <c r="G72" s="3" t="s">
        <v>22</v>
      </c>
      <c r="H72" s="3">
        <v>3</v>
      </c>
      <c r="I72" s="3">
        <v>32.6</v>
      </c>
      <c r="J72" s="3">
        <v>9</v>
      </c>
      <c r="K72" s="3">
        <v>2780.16</v>
      </c>
      <c r="L72" s="3">
        <v>1</v>
      </c>
    </row>
    <row r="73" spans="1:12" x14ac:dyDescent="0.2">
      <c r="A73" s="3">
        <v>150</v>
      </c>
      <c r="B73" s="3">
        <v>44</v>
      </c>
      <c r="C73" s="3" t="s">
        <v>16</v>
      </c>
      <c r="D73" s="3">
        <v>39</v>
      </c>
      <c r="E73" s="3">
        <v>69.819999999999993</v>
      </c>
      <c r="F73" s="3" t="s">
        <v>20</v>
      </c>
      <c r="G73" s="3" t="s">
        <v>23</v>
      </c>
      <c r="H73" s="3">
        <v>2</v>
      </c>
      <c r="I73" s="3">
        <v>79.8</v>
      </c>
      <c r="J73" s="3">
        <v>2</v>
      </c>
      <c r="K73" s="3">
        <v>2484.6999999999998</v>
      </c>
      <c r="L73" s="3">
        <v>1</v>
      </c>
    </row>
    <row r="74" spans="1:12" x14ac:dyDescent="0.2">
      <c r="A74" s="3">
        <v>151</v>
      </c>
      <c r="B74" s="3">
        <v>26</v>
      </c>
      <c r="C74" s="3" t="s">
        <v>15</v>
      </c>
      <c r="D74" s="3">
        <v>14</v>
      </c>
      <c r="E74" s="3">
        <v>53.03</v>
      </c>
      <c r="F74" s="3" t="s">
        <v>18</v>
      </c>
      <c r="G74" s="3" t="s">
        <v>23</v>
      </c>
      <c r="H74" s="3">
        <v>3</v>
      </c>
      <c r="I74" s="3">
        <v>15.6</v>
      </c>
      <c r="J74" s="3">
        <v>1</v>
      </c>
      <c r="K74" s="3">
        <v>799.36</v>
      </c>
      <c r="L74" s="3">
        <v>1</v>
      </c>
    </row>
    <row r="75" spans="1:12" x14ac:dyDescent="0.2">
      <c r="A75" s="3">
        <v>154</v>
      </c>
      <c r="B75" s="3">
        <v>43</v>
      </c>
      <c r="C75" s="3" t="s">
        <v>16</v>
      </c>
      <c r="D75" s="3">
        <v>18</v>
      </c>
      <c r="E75" s="3">
        <v>42.53</v>
      </c>
      <c r="F75" s="3" t="s">
        <v>20</v>
      </c>
      <c r="G75" s="3" t="s">
        <v>24</v>
      </c>
      <c r="H75" s="3">
        <v>0</v>
      </c>
      <c r="I75" s="3">
        <v>80.400000000000006</v>
      </c>
      <c r="J75" s="3">
        <v>8</v>
      </c>
      <c r="K75" s="3">
        <v>784.92</v>
      </c>
      <c r="L75" s="3">
        <v>1</v>
      </c>
    </row>
    <row r="76" spans="1:12" x14ac:dyDescent="0.2">
      <c r="A76" s="3">
        <v>157</v>
      </c>
      <c r="B76" s="3">
        <v>68</v>
      </c>
      <c r="C76" s="3" t="s">
        <v>15</v>
      </c>
      <c r="D76" s="3">
        <v>17</v>
      </c>
      <c r="E76" s="3">
        <v>105.08</v>
      </c>
      <c r="F76" s="3" t="s">
        <v>19</v>
      </c>
      <c r="G76" s="3" t="s">
        <v>22</v>
      </c>
      <c r="H76" s="3">
        <v>0</v>
      </c>
      <c r="I76" s="3">
        <v>87.9</v>
      </c>
      <c r="J76" s="3">
        <v>1</v>
      </c>
      <c r="K76" s="3">
        <v>1778.09</v>
      </c>
      <c r="L76" s="3">
        <v>1</v>
      </c>
    </row>
    <row r="77" spans="1:12" x14ac:dyDescent="0.2">
      <c r="A77" s="3">
        <v>160</v>
      </c>
      <c r="B77" s="3">
        <v>66</v>
      </c>
      <c r="C77" s="3" t="s">
        <v>16</v>
      </c>
      <c r="D77" s="3">
        <v>13</v>
      </c>
      <c r="E77" s="3">
        <v>25.57</v>
      </c>
      <c r="F77" s="3" t="s">
        <v>20</v>
      </c>
      <c r="G77" s="3" t="s">
        <v>24</v>
      </c>
      <c r="H77" s="3">
        <v>0</v>
      </c>
      <c r="I77" s="3">
        <v>76.599999999999994</v>
      </c>
      <c r="J77" s="3">
        <v>3</v>
      </c>
      <c r="K77" s="3">
        <v>345.21</v>
      </c>
      <c r="L77" s="3">
        <v>1</v>
      </c>
    </row>
    <row r="78" spans="1:12" x14ac:dyDescent="0.2">
      <c r="A78" s="3">
        <v>163</v>
      </c>
      <c r="B78" s="3">
        <v>21</v>
      </c>
      <c r="C78" s="3" t="s">
        <v>15</v>
      </c>
      <c r="D78" s="3">
        <v>9</v>
      </c>
      <c r="E78" s="3">
        <v>21.82</v>
      </c>
      <c r="F78" s="3" t="s">
        <v>20</v>
      </c>
      <c r="G78" s="3" t="s">
        <v>23</v>
      </c>
      <c r="H78" s="3">
        <v>1</v>
      </c>
      <c r="I78" s="3">
        <v>67.7</v>
      </c>
      <c r="J78" s="3">
        <v>4</v>
      </c>
      <c r="K78" s="3">
        <v>190.83</v>
      </c>
      <c r="L78" s="3">
        <v>1</v>
      </c>
    </row>
    <row r="79" spans="1:12" x14ac:dyDescent="0.2">
      <c r="A79" s="3">
        <v>165</v>
      </c>
      <c r="B79" s="3">
        <v>54</v>
      </c>
      <c r="C79" s="3" t="s">
        <v>15</v>
      </c>
      <c r="D79" s="3">
        <v>27</v>
      </c>
      <c r="E79" s="3">
        <v>119.73</v>
      </c>
      <c r="F79" s="3" t="s">
        <v>20</v>
      </c>
      <c r="G79" s="3" t="s">
        <v>23</v>
      </c>
      <c r="H79" s="3">
        <v>4</v>
      </c>
      <c r="I79" s="3">
        <v>29.3</v>
      </c>
      <c r="J79" s="3">
        <v>1</v>
      </c>
      <c r="K79" s="3">
        <v>3089.67</v>
      </c>
      <c r="L79" s="3">
        <v>1</v>
      </c>
    </row>
    <row r="80" spans="1:12" x14ac:dyDescent="0.2">
      <c r="A80" s="3">
        <v>166</v>
      </c>
      <c r="B80" s="3">
        <v>40</v>
      </c>
      <c r="C80" s="3" t="s">
        <v>16</v>
      </c>
      <c r="D80" s="3">
        <v>66</v>
      </c>
      <c r="E80" s="3">
        <v>109.66</v>
      </c>
      <c r="F80" s="3" t="s">
        <v>18</v>
      </c>
      <c r="G80" s="3" t="s">
        <v>23</v>
      </c>
      <c r="H80" s="3">
        <v>3</v>
      </c>
      <c r="I80" s="3">
        <v>94.9</v>
      </c>
      <c r="J80" s="3">
        <v>6</v>
      </c>
      <c r="K80" s="3">
        <v>6818.8</v>
      </c>
      <c r="L80" s="3">
        <v>1</v>
      </c>
    </row>
    <row r="81" spans="1:12" x14ac:dyDescent="0.2">
      <c r="A81" s="3">
        <v>167</v>
      </c>
      <c r="B81" s="3">
        <v>56</v>
      </c>
      <c r="C81" s="3" t="s">
        <v>16</v>
      </c>
      <c r="D81" s="3">
        <v>5</v>
      </c>
      <c r="E81" s="3">
        <v>77.599999999999994</v>
      </c>
      <c r="F81" s="3" t="s">
        <v>18</v>
      </c>
      <c r="G81" s="3" t="s">
        <v>22</v>
      </c>
      <c r="H81" s="3">
        <v>2</v>
      </c>
      <c r="I81" s="3">
        <v>58.2</v>
      </c>
      <c r="J81" s="3">
        <v>1</v>
      </c>
      <c r="K81" s="3">
        <v>423.5</v>
      </c>
      <c r="L81" s="3">
        <v>1</v>
      </c>
    </row>
    <row r="82" spans="1:12" x14ac:dyDescent="0.2">
      <c r="A82" s="3">
        <v>168</v>
      </c>
      <c r="B82" s="3">
        <v>62</v>
      </c>
      <c r="C82" s="3" t="s">
        <v>15</v>
      </c>
      <c r="D82" s="3">
        <v>29</v>
      </c>
      <c r="E82" s="3">
        <v>111.74</v>
      </c>
      <c r="F82" s="3" t="s">
        <v>20</v>
      </c>
      <c r="G82" s="3" t="s">
        <v>23</v>
      </c>
      <c r="H82" s="3">
        <v>4</v>
      </c>
      <c r="I82" s="3">
        <v>76.3</v>
      </c>
      <c r="J82" s="3">
        <v>1</v>
      </c>
      <c r="K82" s="3">
        <v>2922.16</v>
      </c>
      <c r="L82" s="3">
        <v>1</v>
      </c>
    </row>
    <row r="83" spans="1:12" x14ac:dyDescent="0.2">
      <c r="A83" s="3">
        <v>169</v>
      </c>
      <c r="B83" s="3">
        <v>32</v>
      </c>
      <c r="C83" s="3" t="s">
        <v>16</v>
      </c>
      <c r="D83" s="3">
        <v>37</v>
      </c>
      <c r="E83" s="3">
        <v>20.53</v>
      </c>
      <c r="F83" s="3" t="s">
        <v>20</v>
      </c>
      <c r="G83" s="3" t="s">
        <v>22</v>
      </c>
      <c r="H83" s="3">
        <v>2</v>
      </c>
      <c r="I83" s="3">
        <v>58</v>
      </c>
      <c r="J83" s="3">
        <v>8</v>
      </c>
      <c r="K83" s="3">
        <v>835.24</v>
      </c>
      <c r="L83" s="3">
        <v>1</v>
      </c>
    </row>
    <row r="84" spans="1:12" x14ac:dyDescent="0.2">
      <c r="A84" s="3">
        <v>170</v>
      </c>
      <c r="B84" s="3">
        <v>60</v>
      </c>
      <c r="C84" s="3" t="s">
        <v>16</v>
      </c>
      <c r="D84" s="3">
        <v>38</v>
      </c>
      <c r="E84" s="3">
        <v>117.51</v>
      </c>
      <c r="F84" s="3" t="s">
        <v>18</v>
      </c>
      <c r="G84" s="3" t="s">
        <v>24</v>
      </c>
      <c r="H84" s="3">
        <v>0</v>
      </c>
      <c r="I84" s="3">
        <v>57.5</v>
      </c>
      <c r="J84" s="3">
        <v>4</v>
      </c>
      <c r="K84" s="3">
        <v>4623.29</v>
      </c>
      <c r="L84" s="3">
        <v>1</v>
      </c>
    </row>
    <row r="85" spans="1:12" x14ac:dyDescent="0.2">
      <c r="A85" s="3">
        <v>177</v>
      </c>
      <c r="B85" s="3">
        <v>39</v>
      </c>
      <c r="C85" s="3" t="s">
        <v>15</v>
      </c>
      <c r="D85" s="3">
        <v>36</v>
      </c>
      <c r="E85" s="3">
        <v>103.86</v>
      </c>
      <c r="F85" s="3" t="s">
        <v>20</v>
      </c>
      <c r="G85" s="3" t="s">
        <v>23</v>
      </c>
      <c r="H85" s="3">
        <v>0</v>
      </c>
      <c r="I85" s="3">
        <v>47.9</v>
      </c>
      <c r="J85" s="3">
        <v>10</v>
      </c>
      <c r="K85" s="3">
        <v>3471.89</v>
      </c>
      <c r="L85" s="3">
        <v>1</v>
      </c>
    </row>
    <row r="86" spans="1:12" x14ac:dyDescent="0.2">
      <c r="A86" s="3">
        <v>183</v>
      </c>
      <c r="B86" s="3">
        <v>45</v>
      </c>
      <c r="C86" s="3" t="s">
        <v>16</v>
      </c>
      <c r="D86" s="3">
        <v>39</v>
      </c>
      <c r="E86" s="3">
        <v>72.98</v>
      </c>
      <c r="F86" s="3" t="s">
        <v>18</v>
      </c>
      <c r="G86" s="3" t="s">
        <v>23</v>
      </c>
      <c r="H86" s="3">
        <v>1</v>
      </c>
      <c r="I86" s="3">
        <v>13.9</v>
      </c>
      <c r="J86" s="3">
        <v>1</v>
      </c>
      <c r="K86" s="3">
        <v>2910.89</v>
      </c>
      <c r="L86" s="3">
        <v>1</v>
      </c>
    </row>
    <row r="87" spans="1:12" x14ac:dyDescent="0.2">
      <c r="A87" s="3">
        <v>184</v>
      </c>
      <c r="B87" s="3">
        <v>45</v>
      </c>
      <c r="C87" s="3" t="s">
        <v>15</v>
      </c>
      <c r="D87" s="3">
        <v>19</v>
      </c>
      <c r="E87" s="3">
        <v>90.72</v>
      </c>
      <c r="F87" s="3" t="s">
        <v>20</v>
      </c>
      <c r="G87" s="3" t="s">
        <v>24</v>
      </c>
      <c r="H87" s="3">
        <v>1</v>
      </c>
      <c r="I87" s="3">
        <v>38.9</v>
      </c>
      <c r="J87" s="3">
        <v>9</v>
      </c>
      <c r="K87" s="3">
        <v>1581.86</v>
      </c>
      <c r="L87" s="3">
        <v>1</v>
      </c>
    </row>
    <row r="88" spans="1:12" x14ac:dyDescent="0.2">
      <c r="A88" s="3">
        <v>185</v>
      </c>
      <c r="B88" s="3">
        <v>61</v>
      </c>
      <c r="C88" s="3" t="s">
        <v>16</v>
      </c>
      <c r="D88" s="3">
        <v>39</v>
      </c>
      <c r="E88" s="3">
        <v>96.78</v>
      </c>
      <c r="F88" s="3" t="s">
        <v>20</v>
      </c>
      <c r="G88" s="3" t="s">
        <v>24</v>
      </c>
      <c r="H88" s="3">
        <v>3</v>
      </c>
      <c r="I88" s="3">
        <v>77</v>
      </c>
      <c r="J88" s="3">
        <v>1</v>
      </c>
      <c r="K88" s="3">
        <v>3765.08</v>
      </c>
      <c r="L88" s="3">
        <v>1</v>
      </c>
    </row>
    <row r="89" spans="1:12" x14ac:dyDescent="0.2">
      <c r="A89" s="3">
        <v>186</v>
      </c>
      <c r="B89" s="3">
        <v>61</v>
      </c>
      <c r="C89" s="3" t="s">
        <v>15</v>
      </c>
      <c r="D89" s="3">
        <v>67</v>
      </c>
      <c r="E89" s="3">
        <v>28.73</v>
      </c>
      <c r="F89" s="3" t="s">
        <v>20</v>
      </c>
      <c r="G89" s="3" t="s">
        <v>22</v>
      </c>
      <c r="H89" s="3">
        <v>1</v>
      </c>
      <c r="I89" s="3">
        <v>31.3</v>
      </c>
      <c r="J89" s="3">
        <v>8</v>
      </c>
      <c r="K89" s="3">
        <v>1762.31</v>
      </c>
      <c r="L89" s="3">
        <v>1</v>
      </c>
    </row>
    <row r="90" spans="1:12" x14ac:dyDescent="0.2">
      <c r="A90" s="3">
        <v>189</v>
      </c>
      <c r="B90" s="3">
        <v>28</v>
      </c>
      <c r="C90" s="3" t="s">
        <v>15</v>
      </c>
      <c r="D90" s="3">
        <v>58</v>
      </c>
      <c r="E90" s="3">
        <v>52.06</v>
      </c>
      <c r="F90" s="3" t="s">
        <v>20</v>
      </c>
      <c r="G90" s="3" t="s">
        <v>24</v>
      </c>
      <c r="H90" s="3">
        <v>1</v>
      </c>
      <c r="I90" s="3">
        <v>23.6</v>
      </c>
      <c r="J90" s="3">
        <v>7</v>
      </c>
      <c r="K90" s="3">
        <v>2757.4</v>
      </c>
      <c r="L90" s="3">
        <v>1</v>
      </c>
    </row>
    <row r="91" spans="1:12" x14ac:dyDescent="0.2">
      <c r="A91" s="3">
        <v>194</v>
      </c>
      <c r="B91" s="3">
        <v>18</v>
      </c>
      <c r="C91" s="3" t="s">
        <v>15</v>
      </c>
      <c r="D91" s="3">
        <v>3</v>
      </c>
      <c r="E91" s="3">
        <v>74.89</v>
      </c>
      <c r="F91" s="3" t="s">
        <v>20</v>
      </c>
      <c r="G91" s="3" t="s">
        <v>23</v>
      </c>
      <c r="H91" s="3">
        <v>2</v>
      </c>
      <c r="I91" s="3">
        <v>20.8</v>
      </c>
      <c r="J91" s="3">
        <v>1</v>
      </c>
      <c r="K91" s="3">
        <v>205.45</v>
      </c>
      <c r="L91" s="3">
        <v>1</v>
      </c>
    </row>
    <row r="92" spans="1:12" x14ac:dyDescent="0.2">
      <c r="A92" s="3">
        <v>197</v>
      </c>
      <c r="B92" s="3">
        <v>30</v>
      </c>
      <c r="C92" s="3" t="s">
        <v>15</v>
      </c>
      <c r="D92" s="3">
        <v>25</v>
      </c>
      <c r="E92" s="3">
        <v>28.79</v>
      </c>
      <c r="F92" s="3" t="s">
        <v>20</v>
      </c>
      <c r="G92" s="3" t="s">
        <v>23</v>
      </c>
      <c r="H92" s="3">
        <v>3</v>
      </c>
      <c r="I92" s="3">
        <v>90.2</v>
      </c>
      <c r="J92" s="3">
        <v>8</v>
      </c>
      <c r="K92" s="3">
        <v>690.9</v>
      </c>
      <c r="L92" s="3">
        <v>1</v>
      </c>
    </row>
    <row r="93" spans="1:12" x14ac:dyDescent="0.2">
      <c r="A93" s="3">
        <v>200</v>
      </c>
      <c r="B93" s="3">
        <v>56</v>
      </c>
      <c r="C93" s="3" t="s">
        <v>15</v>
      </c>
      <c r="D93" s="3">
        <v>38</v>
      </c>
      <c r="E93" s="3">
        <v>31.67</v>
      </c>
      <c r="F93" s="3" t="s">
        <v>20</v>
      </c>
      <c r="G93" s="3" t="s">
        <v>23</v>
      </c>
      <c r="H93" s="3">
        <v>1</v>
      </c>
      <c r="I93" s="3">
        <v>61.8</v>
      </c>
      <c r="J93" s="3">
        <v>1</v>
      </c>
      <c r="K93" s="3">
        <v>1274.3499999999999</v>
      </c>
      <c r="L93" s="3">
        <v>1</v>
      </c>
    </row>
    <row r="94" spans="1:12" x14ac:dyDescent="0.2">
      <c r="A94" s="3">
        <v>203</v>
      </c>
      <c r="B94" s="3">
        <v>44</v>
      </c>
      <c r="C94" s="3" t="s">
        <v>16</v>
      </c>
      <c r="D94" s="3">
        <v>44</v>
      </c>
      <c r="E94" s="3">
        <v>99.43</v>
      </c>
      <c r="F94" s="3" t="s">
        <v>18</v>
      </c>
      <c r="G94" s="3" t="s">
        <v>24</v>
      </c>
      <c r="H94" s="3">
        <v>3</v>
      </c>
      <c r="I94" s="3">
        <v>74.599999999999994</v>
      </c>
      <c r="J94" s="3">
        <v>10</v>
      </c>
      <c r="K94" s="3">
        <v>4001.22</v>
      </c>
      <c r="L94" s="3">
        <v>1</v>
      </c>
    </row>
    <row r="95" spans="1:12" x14ac:dyDescent="0.2">
      <c r="A95" s="3">
        <v>207</v>
      </c>
      <c r="B95" s="3">
        <v>68</v>
      </c>
      <c r="C95" s="3" t="s">
        <v>15</v>
      </c>
      <c r="D95" s="3">
        <v>61</v>
      </c>
      <c r="E95" s="3">
        <v>60.85</v>
      </c>
      <c r="F95" s="3" t="s">
        <v>18</v>
      </c>
      <c r="G95" s="3" t="s">
        <v>24</v>
      </c>
      <c r="H95" s="3">
        <v>2</v>
      </c>
      <c r="I95" s="3">
        <v>96.9</v>
      </c>
      <c r="J95" s="3">
        <v>7</v>
      </c>
      <c r="K95" s="3">
        <v>3549.27</v>
      </c>
      <c r="L95" s="3">
        <v>1</v>
      </c>
    </row>
    <row r="96" spans="1:12" x14ac:dyDescent="0.2">
      <c r="A96" s="3">
        <v>208</v>
      </c>
      <c r="B96" s="3">
        <v>59</v>
      </c>
      <c r="C96" s="3" t="s">
        <v>16</v>
      </c>
      <c r="D96" s="3">
        <v>47</v>
      </c>
      <c r="E96" s="3">
        <v>113.29</v>
      </c>
      <c r="F96" s="3" t="s">
        <v>19</v>
      </c>
      <c r="G96" s="3" t="s">
        <v>23</v>
      </c>
      <c r="H96" s="3">
        <v>3</v>
      </c>
      <c r="I96" s="3">
        <v>86.4</v>
      </c>
      <c r="J96" s="3">
        <v>7</v>
      </c>
      <c r="K96" s="3">
        <v>5647.82</v>
      </c>
      <c r="L96" s="3">
        <v>1</v>
      </c>
    </row>
    <row r="97" spans="1:12" x14ac:dyDescent="0.2">
      <c r="A97" s="3">
        <v>209</v>
      </c>
      <c r="B97" s="3">
        <v>61</v>
      </c>
      <c r="C97" s="3" t="s">
        <v>15</v>
      </c>
      <c r="D97" s="3">
        <v>21</v>
      </c>
      <c r="E97" s="3">
        <v>119.09</v>
      </c>
      <c r="F97" s="3" t="s">
        <v>20</v>
      </c>
      <c r="G97" s="3" t="s">
        <v>23</v>
      </c>
      <c r="H97" s="3">
        <v>1</v>
      </c>
      <c r="I97" s="3">
        <v>16.2</v>
      </c>
      <c r="J97" s="3">
        <v>1</v>
      </c>
      <c r="K97" s="3">
        <v>2715.58</v>
      </c>
      <c r="L97" s="3">
        <v>1</v>
      </c>
    </row>
    <row r="98" spans="1:12" x14ac:dyDescent="0.2">
      <c r="A98" s="3">
        <v>211</v>
      </c>
      <c r="B98" s="3">
        <v>32</v>
      </c>
      <c r="C98" s="3" t="s">
        <v>16</v>
      </c>
      <c r="D98" s="3">
        <v>19</v>
      </c>
      <c r="E98" s="3">
        <v>57.92</v>
      </c>
      <c r="F98" s="3" t="s">
        <v>20</v>
      </c>
      <c r="G98" s="3" t="s">
        <v>22</v>
      </c>
      <c r="H98" s="3">
        <v>2</v>
      </c>
      <c r="I98" s="3">
        <v>35.4</v>
      </c>
      <c r="J98" s="3">
        <v>2</v>
      </c>
      <c r="K98" s="3">
        <v>1189.8599999999999</v>
      </c>
      <c r="L98" s="3">
        <v>1</v>
      </c>
    </row>
    <row r="99" spans="1:12" x14ac:dyDescent="0.2">
      <c r="A99" s="3">
        <v>212</v>
      </c>
      <c r="B99" s="3">
        <v>49</v>
      </c>
      <c r="C99" s="3" t="s">
        <v>16</v>
      </c>
      <c r="D99" s="3">
        <v>20</v>
      </c>
      <c r="E99" s="3">
        <v>112.64</v>
      </c>
      <c r="F99" s="3" t="s">
        <v>20</v>
      </c>
      <c r="G99" s="3" t="s">
        <v>24</v>
      </c>
      <c r="H99" s="3">
        <v>0</v>
      </c>
      <c r="I99" s="3">
        <v>98.9</v>
      </c>
      <c r="J99" s="3">
        <v>2</v>
      </c>
      <c r="K99" s="3">
        <v>2172.37</v>
      </c>
      <c r="L99" s="3">
        <v>1</v>
      </c>
    </row>
    <row r="100" spans="1:12" x14ac:dyDescent="0.2">
      <c r="A100" s="3">
        <v>213</v>
      </c>
      <c r="B100" s="3">
        <v>49</v>
      </c>
      <c r="C100" s="3" t="s">
        <v>15</v>
      </c>
      <c r="D100" s="3">
        <v>57</v>
      </c>
      <c r="E100" s="3">
        <v>92.16</v>
      </c>
      <c r="F100" s="3" t="s">
        <v>20</v>
      </c>
      <c r="G100" s="3" t="s">
        <v>23</v>
      </c>
      <c r="H100" s="3">
        <v>3</v>
      </c>
      <c r="I100" s="3">
        <v>51.1</v>
      </c>
      <c r="J100" s="3">
        <v>2</v>
      </c>
      <c r="K100" s="3">
        <v>5228.3599999999997</v>
      </c>
      <c r="L100" s="3">
        <v>1</v>
      </c>
    </row>
    <row r="101" spans="1:12" x14ac:dyDescent="0.2">
      <c r="A101" s="3">
        <v>214</v>
      </c>
      <c r="B101" s="3">
        <v>41</v>
      </c>
      <c r="C101" s="3" t="s">
        <v>15</v>
      </c>
      <c r="D101" s="3">
        <v>18</v>
      </c>
      <c r="E101" s="3">
        <v>24.81</v>
      </c>
      <c r="F101" s="3" t="s">
        <v>20</v>
      </c>
      <c r="G101" s="3" t="s">
        <v>24</v>
      </c>
      <c r="H101" s="3">
        <v>0</v>
      </c>
      <c r="I101" s="3">
        <v>16.600000000000001</v>
      </c>
      <c r="J101" s="3">
        <v>4</v>
      </c>
      <c r="K101" s="3">
        <v>422.11</v>
      </c>
      <c r="L101" s="3">
        <v>1</v>
      </c>
    </row>
    <row r="102" spans="1:12" x14ac:dyDescent="0.2">
      <c r="A102" s="3">
        <v>217</v>
      </c>
      <c r="B102" s="3">
        <v>66</v>
      </c>
      <c r="C102" s="3" t="s">
        <v>15</v>
      </c>
      <c r="D102" s="3">
        <v>14</v>
      </c>
      <c r="E102" s="3">
        <v>95.05</v>
      </c>
      <c r="F102" s="3" t="s">
        <v>18</v>
      </c>
      <c r="G102" s="3" t="s">
        <v>23</v>
      </c>
      <c r="H102" s="3">
        <v>2</v>
      </c>
      <c r="I102" s="3">
        <v>99.7</v>
      </c>
      <c r="J102" s="3">
        <v>2</v>
      </c>
      <c r="K102" s="3">
        <v>1358.24</v>
      </c>
      <c r="L102" s="3">
        <v>1</v>
      </c>
    </row>
    <row r="103" spans="1:12" x14ac:dyDescent="0.2">
      <c r="A103" s="3">
        <v>219</v>
      </c>
      <c r="B103" s="3">
        <v>69</v>
      </c>
      <c r="C103" s="3" t="s">
        <v>15</v>
      </c>
      <c r="D103" s="3">
        <v>31</v>
      </c>
      <c r="E103" s="3">
        <v>102.51</v>
      </c>
      <c r="F103" s="3" t="s">
        <v>20</v>
      </c>
      <c r="G103" s="3" t="s">
        <v>23</v>
      </c>
      <c r="H103" s="3">
        <v>3</v>
      </c>
      <c r="I103" s="3">
        <v>67.3</v>
      </c>
      <c r="J103" s="3">
        <v>3</v>
      </c>
      <c r="K103" s="3">
        <v>3271.76</v>
      </c>
      <c r="L103" s="3">
        <v>1</v>
      </c>
    </row>
    <row r="104" spans="1:12" x14ac:dyDescent="0.2">
      <c r="A104" s="3">
        <v>222</v>
      </c>
      <c r="B104" s="3">
        <v>19</v>
      </c>
      <c r="C104" s="3" t="s">
        <v>16</v>
      </c>
      <c r="D104" s="3">
        <v>3</v>
      </c>
      <c r="E104" s="3">
        <v>83.38</v>
      </c>
      <c r="F104" s="3" t="s">
        <v>20</v>
      </c>
      <c r="G104" s="3" t="s">
        <v>22</v>
      </c>
      <c r="H104" s="3">
        <v>0</v>
      </c>
      <c r="I104" s="3">
        <v>13.8</v>
      </c>
      <c r="J104" s="3">
        <v>1</v>
      </c>
      <c r="K104" s="3">
        <v>250.29</v>
      </c>
      <c r="L104" s="3">
        <v>1</v>
      </c>
    </row>
    <row r="105" spans="1:12" x14ac:dyDescent="0.2">
      <c r="A105" s="3">
        <v>223</v>
      </c>
      <c r="B105" s="3">
        <v>20</v>
      </c>
      <c r="C105" s="3" t="s">
        <v>15</v>
      </c>
      <c r="D105" s="3">
        <v>16</v>
      </c>
      <c r="E105" s="3">
        <v>110.79</v>
      </c>
      <c r="F105" s="3" t="s">
        <v>20</v>
      </c>
      <c r="G105" s="3" t="s">
        <v>24</v>
      </c>
      <c r="H105" s="3">
        <v>3</v>
      </c>
      <c r="I105" s="3">
        <v>7.8</v>
      </c>
      <c r="J105" s="3">
        <v>1</v>
      </c>
      <c r="K105" s="3">
        <v>1754.68</v>
      </c>
      <c r="L105" s="3">
        <v>1</v>
      </c>
    </row>
    <row r="106" spans="1:12" x14ac:dyDescent="0.2">
      <c r="A106" s="3">
        <v>224</v>
      </c>
      <c r="B106" s="3">
        <v>66</v>
      </c>
      <c r="C106" s="3" t="s">
        <v>16</v>
      </c>
      <c r="D106" s="3">
        <v>57</v>
      </c>
      <c r="E106" s="3">
        <v>51.62</v>
      </c>
      <c r="F106" s="3" t="s">
        <v>20</v>
      </c>
      <c r="G106" s="3" t="s">
        <v>24</v>
      </c>
      <c r="H106" s="3">
        <v>0</v>
      </c>
      <c r="I106" s="3">
        <v>83.2</v>
      </c>
      <c r="J106" s="3">
        <v>10</v>
      </c>
      <c r="K106" s="3">
        <v>2992.87</v>
      </c>
      <c r="L106" s="3">
        <v>1</v>
      </c>
    </row>
    <row r="107" spans="1:12" x14ac:dyDescent="0.2">
      <c r="A107" s="3">
        <v>227</v>
      </c>
      <c r="B107" s="3">
        <v>34</v>
      </c>
      <c r="C107" s="3" t="s">
        <v>16</v>
      </c>
      <c r="D107" s="3">
        <v>24</v>
      </c>
      <c r="E107" s="3">
        <v>65.19</v>
      </c>
      <c r="F107" s="3" t="s">
        <v>20</v>
      </c>
      <c r="G107" s="3" t="s">
        <v>23</v>
      </c>
      <c r="H107" s="3">
        <v>0</v>
      </c>
      <c r="I107" s="3">
        <v>97.5</v>
      </c>
      <c r="J107" s="3">
        <v>7</v>
      </c>
      <c r="K107" s="3">
        <v>1621.7</v>
      </c>
      <c r="L107" s="3">
        <v>1</v>
      </c>
    </row>
    <row r="108" spans="1:12" x14ac:dyDescent="0.2">
      <c r="A108" s="3">
        <v>229</v>
      </c>
      <c r="B108" s="3">
        <v>19</v>
      </c>
      <c r="C108" s="3" t="s">
        <v>15</v>
      </c>
      <c r="D108" s="3">
        <v>8</v>
      </c>
      <c r="E108" s="3">
        <v>109.97</v>
      </c>
      <c r="F108" s="3" t="s">
        <v>20</v>
      </c>
      <c r="G108" s="3" t="s">
        <v>23</v>
      </c>
      <c r="H108" s="3">
        <v>1</v>
      </c>
      <c r="I108" s="3">
        <v>33.200000000000003</v>
      </c>
      <c r="J108" s="3">
        <v>9</v>
      </c>
      <c r="K108" s="3">
        <v>917.41</v>
      </c>
      <c r="L108" s="3">
        <v>1</v>
      </c>
    </row>
    <row r="109" spans="1:12" x14ac:dyDescent="0.2">
      <c r="A109" s="3">
        <v>230</v>
      </c>
      <c r="B109" s="3">
        <v>19</v>
      </c>
      <c r="C109" s="3" t="s">
        <v>16</v>
      </c>
      <c r="D109" s="3">
        <v>36</v>
      </c>
      <c r="E109" s="3">
        <v>82.41</v>
      </c>
      <c r="F109" s="3" t="s">
        <v>20</v>
      </c>
      <c r="G109" s="3" t="s">
        <v>22</v>
      </c>
      <c r="H109" s="3">
        <v>2</v>
      </c>
      <c r="I109" s="3">
        <v>92.2</v>
      </c>
      <c r="J109" s="3">
        <v>10</v>
      </c>
      <c r="K109" s="3">
        <v>3158.14</v>
      </c>
      <c r="L109" s="3">
        <v>1</v>
      </c>
    </row>
    <row r="110" spans="1:12" x14ac:dyDescent="0.2">
      <c r="A110" s="3">
        <v>234</v>
      </c>
      <c r="B110" s="3">
        <v>49</v>
      </c>
      <c r="C110" s="3" t="s">
        <v>15</v>
      </c>
      <c r="D110" s="3">
        <v>50</v>
      </c>
      <c r="E110" s="3">
        <v>55.54</v>
      </c>
      <c r="F110" s="3" t="s">
        <v>20</v>
      </c>
      <c r="G110" s="3" t="s">
        <v>24</v>
      </c>
      <c r="H110" s="3">
        <v>2</v>
      </c>
      <c r="I110" s="3">
        <v>90.6</v>
      </c>
      <c r="J110" s="3">
        <v>2</v>
      </c>
      <c r="K110" s="3">
        <v>2578.65</v>
      </c>
      <c r="L110" s="3">
        <v>1</v>
      </c>
    </row>
    <row r="111" spans="1:12" x14ac:dyDescent="0.2">
      <c r="A111" s="3">
        <v>235</v>
      </c>
      <c r="B111" s="3">
        <v>50</v>
      </c>
      <c r="C111" s="3" t="s">
        <v>15</v>
      </c>
      <c r="D111" s="3">
        <v>28</v>
      </c>
      <c r="E111" s="3">
        <v>59.15</v>
      </c>
      <c r="F111" s="3" t="s">
        <v>18</v>
      </c>
      <c r="G111" s="3" t="s">
        <v>22</v>
      </c>
      <c r="H111" s="3">
        <v>3</v>
      </c>
      <c r="I111" s="3">
        <v>66.900000000000006</v>
      </c>
      <c r="J111" s="3">
        <v>3</v>
      </c>
      <c r="K111" s="3">
        <v>1747.41</v>
      </c>
      <c r="L111" s="3">
        <v>1</v>
      </c>
    </row>
    <row r="112" spans="1:12" x14ac:dyDescent="0.2">
      <c r="A112" s="3">
        <v>239</v>
      </c>
      <c r="B112" s="3">
        <v>61</v>
      </c>
      <c r="C112" s="3" t="s">
        <v>16</v>
      </c>
      <c r="D112" s="3">
        <v>63</v>
      </c>
      <c r="E112" s="3">
        <v>74.28</v>
      </c>
      <c r="F112" s="3" t="s">
        <v>20</v>
      </c>
      <c r="G112" s="3" t="s">
        <v>22</v>
      </c>
      <c r="H112" s="3">
        <v>1</v>
      </c>
      <c r="I112" s="3">
        <v>88.6</v>
      </c>
      <c r="J112" s="3">
        <v>7</v>
      </c>
      <c r="K112" s="3">
        <v>4336.93</v>
      </c>
      <c r="L112" s="3">
        <v>1</v>
      </c>
    </row>
    <row r="113" spans="1:12" x14ac:dyDescent="0.2">
      <c r="A113" s="3">
        <v>241</v>
      </c>
      <c r="B113" s="3">
        <v>49</v>
      </c>
      <c r="C113" s="3" t="s">
        <v>16</v>
      </c>
      <c r="D113" s="3">
        <v>33</v>
      </c>
      <c r="E113" s="3">
        <v>53.28</v>
      </c>
      <c r="F113" s="3" t="s">
        <v>19</v>
      </c>
      <c r="G113" s="3" t="s">
        <v>24</v>
      </c>
      <c r="H113" s="3">
        <v>2</v>
      </c>
      <c r="I113" s="3">
        <v>28.2</v>
      </c>
      <c r="J113" s="3">
        <v>4</v>
      </c>
      <c r="K113" s="3">
        <v>1601.52</v>
      </c>
      <c r="L113" s="3">
        <v>1</v>
      </c>
    </row>
    <row r="114" spans="1:12" x14ac:dyDescent="0.2">
      <c r="A114" s="3">
        <v>242</v>
      </c>
      <c r="B114" s="3">
        <v>23</v>
      </c>
      <c r="C114" s="3" t="s">
        <v>15</v>
      </c>
      <c r="D114" s="3">
        <v>29</v>
      </c>
      <c r="E114" s="3">
        <v>93.05</v>
      </c>
      <c r="F114" s="3" t="s">
        <v>18</v>
      </c>
      <c r="G114" s="3" t="s">
        <v>22</v>
      </c>
      <c r="H114" s="3">
        <v>2</v>
      </c>
      <c r="I114" s="3">
        <v>15.7</v>
      </c>
      <c r="J114" s="3">
        <v>6</v>
      </c>
      <c r="K114" s="3">
        <v>2832.64</v>
      </c>
      <c r="L114" s="3">
        <v>1</v>
      </c>
    </row>
    <row r="115" spans="1:12" x14ac:dyDescent="0.2">
      <c r="A115" s="3">
        <v>244</v>
      </c>
      <c r="B115" s="3">
        <v>21</v>
      </c>
      <c r="C115" s="3" t="s">
        <v>15</v>
      </c>
      <c r="D115" s="3">
        <v>46</v>
      </c>
      <c r="E115" s="3">
        <v>36.67</v>
      </c>
      <c r="F115" s="3" t="s">
        <v>18</v>
      </c>
      <c r="G115" s="3" t="s">
        <v>22</v>
      </c>
      <c r="H115" s="3">
        <v>3</v>
      </c>
      <c r="I115" s="3">
        <v>73.3</v>
      </c>
      <c r="J115" s="3">
        <v>2</v>
      </c>
      <c r="K115" s="3">
        <v>1518.18</v>
      </c>
      <c r="L115" s="3">
        <v>1</v>
      </c>
    </row>
    <row r="116" spans="1:12" x14ac:dyDescent="0.2">
      <c r="A116" s="3">
        <v>246</v>
      </c>
      <c r="B116" s="3">
        <v>34</v>
      </c>
      <c r="C116" s="3" t="s">
        <v>16</v>
      </c>
      <c r="D116" s="3">
        <v>6</v>
      </c>
      <c r="E116" s="3">
        <v>69.540000000000006</v>
      </c>
      <c r="F116" s="3" t="s">
        <v>18</v>
      </c>
      <c r="G116" s="3" t="s">
        <v>23</v>
      </c>
      <c r="H116" s="3">
        <v>2</v>
      </c>
      <c r="I116" s="3">
        <v>91</v>
      </c>
      <c r="J116" s="3">
        <v>3</v>
      </c>
      <c r="K116" s="3">
        <v>379.43</v>
      </c>
      <c r="L116" s="3">
        <v>1</v>
      </c>
    </row>
    <row r="117" spans="1:12" x14ac:dyDescent="0.2">
      <c r="A117" s="3">
        <v>247</v>
      </c>
      <c r="B117" s="3">
        <v>55</v>
      </c>
      <c r="C117" s="3" t="s">
        <v>16</v>
      </c>
      <c r="D117" s="3">
        <v>69</v>
      </c>
      <c r="E117" s="3">
        <v>94.15</v>
      </c>
      <c r="F117" s="3" t="s">
        <v>19</v>
      </c>
      <c r="G117" s="3" t="s">
        <v>24</v>
      </c>
      <c r="H117" s="3">
        <v>3</v>
      </c>
      <c r="I117" s="3">
        <v>75.3</v>
      </c>
      <c r="J117" s="3">
        <v>8</v>
      </c>
      <c r="K117" s="3">
        <v>6205.53</v>
      </c>
      <c r="L117" s="3">
        <v>1</v>
      </c>
    </row>
    <row r="118" spans="1:12" x14ac:dyDescent="0.2">
      <c r="A118" s="3">
        <v>248</v>
      </c>
      <c r="B118" s="3">
        <v>41</v>
      </c>
      <c r="C118" s="3" t="s">
        <v>15</v>
      </c>
      <c r="D118" s="3">
        <v>47</v>
      </c>
      <c r="E118" s="3">
        <v>77.319999999999993</v>
      </c>
      <c r="F118" s="3" t="s">
        <v>19</v>
      </c>
      <c r="G118" s="3" t="s">
        <v>22</v>
      </c>
      <c r="H118" s="3">
        <v>3</v>
      </c>
      <c r="I118" s="3">
        <v>23.2</v>
      </c>
      <c r="J118" s="3">
        <v>2</v>
      </c>
      <c r="K118" s="3">
        <v>3784.47</v>
      </c>
      <c r="L118" s="3">
        <v>1</v>
      </c>
    </row>
    <row r="119" spans="1:12" x14ac:dyDescent="0.2">
      <c r="A119" s="3">
        <v>249</v>
      </c>
      <c r="B119" s="3">
        <v>22</v>
      </c>
      <c r="C119" s="3" t="s">
        <v>16</v>
      </c>
      <c r="D119" s="3">
        <v>25</v>
      </c>
      <c r="E119" s="3">
        <v>119.77</v>
      </c>
      <c r="F119" s="3" t="s">
        <v>18</v>
      </c>
      <c r="G119" s="3" t="s">
        <v>23</v>
      </c>
      <c r="H119" s="3">
        <v>3</v>
      </c>
      <c r="I119" s="3">
        <v>63.3</v>
      </c>
      <c r="J119" s="3">
        <v>1</v>
      </c>
      <c r="K119" s="3">
        <v>2732.37</v>
      </c>
      <c r="L119" s="3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EC00-EA5C-B741-B968-D12C3F1044BA}">
  <dimension ref="A1:B133"/>
  <sheetViews>
    <sheetView workbookViewId="0">
      <selection sqref="A1:B133"/>
    </sheetView>
  </sheetViews>
  <sheetFormatPr baseColWidth="10" defaultRowHeight="15" x14ac:dyDescent="0.2"/>
  <sheetData>
    <row r="1" spans="1:2" x14ac:dyDescent="0.2">
      <c r="A1" s="3" t="s">
        <v>71</v>
      </c>
      <c r="B1" s="3" t="s">
        <v>13</v>
      </c>
    </row>
    <row r="2" spans="1:2" x14ac:dyDescent="0.2">
      <c r="A2" s="3">
        <v>4646.87</v>
      </c>
      <c r="B2" s="3">
        <v>1614.09</v>
      </c>
    </row>
    <row r="3" spans="1:2" x14ac:dyDescent="0.2">
      <c r="A3" s="3">
        <v>5970.23</v>
      </c>
      <c r="B3" s="3">
        <v>6505.15</v>
      </c>
    </row>
    <row r="4" spans="1:2" x14ac:dyDescent="0.2">
      <c r="A4" s="3">
        <v>6849.66</v>
      </c>
      <c r="B4" s="3">
        <v>814.95</v>
      </c>
    </row>
    <row r="5" spans="1:2" x14ac:dyDescent="0.2">
      <c r="A5" s="3">
        <v>950.98</v>
      </c>
      <c r="B5" s="3">
        <v>3222</v>
      </c>
    </row>
    <row r="6" spans="1:2" x14ac:dyDescent="0.2">
      <c r="A6" s="3">
        <v>5771.64</v>
      </c>
      <c r="B6" s="3">
        <v>5242.5600000000004</v>
      </c>
    </row>
    <row r="7" spans="1:2" x14ac:dyDescent="0.2">
      <c r="A7" s="3">
        <v>4549.93</v>
      </c>
      <c r="B7" s="3">
        <v>3373.06</v>
      </c>
    </row>
    <row r="8" spans="1:2" x14ac:dyDescent="0.2">
      <c r="A8" s="3">
        <v>1198.6600000000001</v>
      </c>
      <c r="B8" s="3">
        <v>2533.16</v>
      </c>
    </row>
    <row r="9" spans="1:2" x14ac:dyDescent="0.2">
      <c r="A9" s="3">
        <v>113.03</v>
      </c>
      <c r="B9" s="3">
        <v>218.09</v>
      </c>
    </row>
    <row r="10" spans="1:2" x14ac:dyDescent="0.2">
      <c r="A10" s="3">
        <v>1852.65</v>
      </c>
      <c r="B10" s="3">
        <v>1925.79</v>
      </c>
    </row>
    <row r="11" spans="1:2" x14ac:dyDescent="0.2">
      <c r="A11" s="3">
        <v>5598.06</v>
      </c>
      <c r="B11" s="3">
        <v>566.95000000000005</v>
      </c>
    </row>
    <row r="12" spans="1:2" x14ac:dyDescent="0.2">
      <c r="A12" s="3">
        <v>1428.08</v>
      </c>
      <c r="B12" s="3">
        <v>3673.76</v>
      </c>
    </row>
    <row r="13" spans="1:2" x14ac:dyDescent="0.2">
      <c r="A13" s="3">
        <v>1264.68</v>
      </c>
      <c r="B13" s="3">
        <v>4823.84</v>
      </c>
    </row>
    <row r="14" spans="1:2" x14ac:dyDescent="0.2">
      <c r="A14" s="3">
        <v>1689.03</v>
      </c>
      <c r="B14" s="3">
        <v>4026.17</v>
      </c>
    </row>
    <row r="15" spans="1:2" x14ac:dyDescent="0.2">
      <c r="A15" s="3">
        <v>855.03</v>
      </c>
      <c r="B15" s="3">
        <v>879.3</v>
      </c>
    </row>
    <row r="16" spans="1:2" x14ac:dyDescent="0.2">
      <c r="A16" s="3">
        <v>716.81</v>
      </c>
      <c r="B16" s="3">
        <v>2204.4</v>
      </c>
    </row>
    <row r="17" spans="1:2" x14ac:dyDescent="0.2">
      <c r="A17" s="3">
        <v>2950.98</v>
      </c>
      <c r="B17" s="3">
        <v>612.16999999999996</v>
      </c>
    </row>
    <row r="18" spans="1:2" x14ac:dyDescent="0.2">
      <c r="A18" s="3">
        <v>5847.71</v>
      </c>
      <c r="B18" s="3">
        <v>408.83</v>
      </c>
    </row>
    <row r="19" spans="1:2" x14ac:dyDescent="0.2">
      <c r="A19" s="3">
        <v>5509.27</v>
      </c>
      <c r="B19" s="3">
        <v>105.96</v>
      </c>
    </row>
    <row r="20" spans="1:2" x14ac:dyDescent="0.2">
      <c r="A20" s="3">
        <v>248.21</v>
      </c>
      <c r="B20" s="3">
        <v>4460.82</v>
      </c>
    </row>
    <row r="21" spans="1:2" x14ac:dyDescent="0.2">
      <c r="A21" s="3">
        <v>63.19</v>
      </c>
      <c r="B21" s="3">
        <v>114.69</v>
      </c>
    </row>
    <row r="22" spans="1:2" x14ac:dyDescent="0.2">
      <c r="A22" s="3">
        <v>4036.34</v>
      </c>
      <c r="B22" s="3">
        <v>444.02</v>
      </c>
    </row>
    <row r="23" spans="1:2" x14ac:dyDescent="0.2">
      <c r="A23" s="3">
        <v>1671.48</v>
      </c>
      <c r="B23" s="3">
        <v>5162.96</v>
      </c>
    </row>
    <row r="24" spans="1:2" x14ac:dyDescent="0.2">
      <c r="A24" s="3">
        <v>6264.3</v>
      </c>
      <c r="B24" s="3">
        <v>2377.79</v>
      </c>
    </row>
    <row r="25" spans="1:2" x14ac:dyDescent="0.2">
      <c r="A25" s="3">
        <v>4167.9799999999996</v>
      </c>
      <c r="B25" s="3">
        <v>2711.39</v>
      </c>
    </row>
    <row r="26" spans="1:2" x14ac:dyDescent="0.2">
      <c r="A26" s="3">
        <v>4039.88</v>
      </c>
      <c r="B26" s="3">
        <v>6308.25</v>
      </c>
    </row>
    <row r="27" spans="1:2" x14ac:dyDescent="0.2">
      <c r="A27" s="3">
        <v>5572.24</v>
      </c>
      <c r="B27" s="3">
        <v>3465.4</v>
      </c>
    </row>
    <row r="28" spans="1:2" x14ac:dyDescent="0.2">
      <c r="A28" s="3">
        <v>1638.23</v>
      </c>
      <c r="B28" s="3">
        <v>1169.05</v>
      </c>
    </row>
    <row r="29" spans="1:2" x14ac:dyDescent="0.2">
      <c r="A29" s="3">
        <v>4156.22</v>
      </c>
      <c r="B29" s="3">
        <v>3918.08</v>
      </c>
    </row>
    <row r="30" spans="1:2" x14ac:dyDescent="0.2">
      <c r="A30" s="3">
        <v>6093.02</v>
      </c>
      <c r="B30" s="3">
        <v>1650.47</v>
      </c>
    </row>
    <row r="31" spans="1:2" x14ac:dyDescent="0.2">
      <c r="A31" s="3">
        <v>2346.0500000000002</v>
      </c>
      <c r="B31" s="3">
        <v>7426.03</v>
      </c>
    </row>
    <row r="32" spans="1:2" x14ac:dyDescent="0.2">
      <c r="A32" s="3">
        <v>1637.85</v>
      </c>
      <c r="B32" s="3">
        <v>2069.5300000000002</v>
      </c>
    </row>
    <row r="33" spans="1:2" x14ac:dyDescent="0.2">
      <c r="A33" s="3">
        <v>5792.52</v>
      </c>
      <c r="B33" s="3">
        <v>5913.04</v>
      </c>
    </row>
    <row r="34" spans="1:2" x14ac:dyDescent="0.2">
      <c r="A34" s="3">
        <v>2911.88</v>
      </c>
      <c r="B34" s="3">
        <v>932.85</v>
      </c>
    </row>
    <row r="35" spans="1:2" x14ac:dyDescent="0.2">
      <c r="A35" s="3">
        <v>1727.61</v>
      </c>
      <c r="B35" s="3">
        <v>1455.58</v>
      </c>
    </row>
    <row r="36" spans="1:2" x14ac:dyDescent="0.2">
      <c r="A36" s="3">
        <v>859.77</v>
      </c>
      <c r="B36" s="3">
        <v>4142.6899999999996</v>
      </c>
    </row>
    <row r="37" spans="1:2" x14ac:dyDescent="0.2">
      <c r="A37" s="3">
        <v>545.07000000000005</v>
      </c>
      <c r="B37" s="3">
        <v>156.71</v>
      </c>
    </row>
    <row r="38" spans="1:2" x14ac:dyDescent="0.2">
      <c r="A38" s="3">
        <v>87.44</v>
      </c>
      <c r="B38" s="3">
        <v>1362.4</v>
      </c>
    </row>
    <row r="39" spans="1:2" x14ac:dyDescent="0.2">
      <c r="A39" s="3">
        <v>2044.89</v>
      </c>
      <c r="B39" s="3">
        <v>1271.1099999999999</v>
      </c>
    </row>
    <row r="40" spans="1:2" x14ac:dyDescent="0.2">
      <c r="A40" s="3">
        <v>1899.12</v>
      </c>
      <c r="B40" s="3">
        <v>144.08000000000001</v>
      </c>
    </row>
    <row r="41" spans="1:2" x14ac:dyDescent="0.2">
      <c r="A41" s="3">
        <v>4536.72</v>
      </c>
      <c r="B41" s="3">
        <v>670.53</v>
      </c>
    </row>
    <row r="42" spans="1:2" x14ac:dyDescent="0.2">
      <c r="A42" s="3">
        <v>2153.31</v>
      </c>
      <c r="B42" s="3">
        <v>1341.45</v>
      </c>
    </row>
    <row r="43" spans="1:2" x14ac:dyDescent="0.2">
      <c r="A43" s="3">
        <v>6475.17</v>
      </c>
      <c r="B43" s="3">
        <v>3113.41</v>
      </c>
    </row>
    <row r="44" spans="1:2" x14ac:dyDescent="0.2">
      <c r="A44" s="3">
        <v>3503.32</v>
      </c>
      <c r="B44" s="3">
        <v>903.51</v>
      </c>
    </row>
    <row r="45" spans="1:2" x14ac:dyDescent="0.2">
      <c r="A45" s="3">
        <v>4801.53</v>
      </c>
      <c r="B45" s="3">
        <v>1716.17</v>
      </c>
    </row>
    <row r="46" spans="1:2" x14ac:dyDescent="0.2">
      <c r="A46" s="3">
        <v>2588.25</v>
      </c>
      <c r="B46" s="3">
        <v>1008.24</v>
      </c>
    </row>
    <row r="47" spans="1:2" x14ac:dyDescent="0.2">
      <c r="A47" s="3">
        <v>6432.42</v>
      </c>
      <c r="B47" s="3">
        <v>3193.66</v>
      </c>
    </row>
    <row r="48" spans="1:2" x14ac:dyDescent="0.2">
      <c r="A48" s="3">
        <v>2394.73</v>
      </c>
      <c r="B48" s="3">
        <v>1298.3499999999999</v>
      </c>
    </row>
    <row r="49" spans="1:2" x14ac:dyDescent="0.2">
      <c r="A49" s="3">
        <v>2164.04</v>
      </c>
      <c r="B49" s="3">
        <v>1550.19</v>
      </c>
    </row>
    <row r="50" spans="1:2" x14ac:dyDescent="0.2">
      <c r="A50" s="3">
        <v>670.64</v>
      </c>
      <c r="B50" s="3">
        <v>105.78</v>
      </c>
    </row>
    <row r="51" spans="1:2" x14ac:dyDescent="0.2">
      <c r="A51" s="3">
        <v>256.94</v>
      </c>
      <c r="B51" s="3">
        <v>1789.74</v>
      </c>
    </row>
    <row r="52" spans="1:2" x14ac:dyDescent="0.2">
      <c r="A52" s="3">
        <v>1905.56</v>
      </c>
      <c r="B52" s="3">
        <v>3093.02</v>
      </c>
    </row>
    <row r="53" spans="1:2" x14ac:dyDescent="0.2">
      <c r="A53" s="3">
        <v>575.22</v>
      </c>
      <c r="B53" s="3">
        <v>505.1</v>
      </c>
    </row>
    <row r="54" spans="1:2" x14ac:dyDescent="0.2">
      <c r="A54" s="3">
        <v>3491.64</v>
      </c>
      <c r="B54" s="3">
        <v>2486.1799999999998</v>
      </c>
    </row>
    <row r="55" spans="1:2" x14ac:dyDescent="0.2">
      <c r="A55" s="3">
        <v>594.53</v>
      </c>
      <c r="B55" s="3">
        <v>3148.32</v>
      </c>
    </row>
    <row r="56" spans="1:2" x14ac:dyDescent="0.2">
      <c r="A56" s="3">
        <v>1121.71</v>
      </c>
      <c r="B56" s="3">
        <v>2894.98</v>
      </c>
    </row>
    <row r="57" spans="1:2" x14ac:dyDescent="0.2">
      <c r="A57" s="3">
        <v>1931.91</v>
      </c>
      <c r="B57" s="3">
        <v>3479.08</v>
      </c>
    </row>
    <row r="58" spans="1:2" x14ac:dyDescent="0.2">
      <c r="A58" s="3">
        <v>7782.69</v>
      </c>
      <c r="B58" s="3">
        <v>1960.76</v>
      </c>
    </row>
    <row r="59" spans="1:2" x14ac:dyDescent="0.2">
      <c r="A59" s="3">
        <v>2231.83</v>
      </c>
      <c r="B59" s="3">
        <v>1720.75</v>
      </c>
    </row>
    <row r="60" spans="1:2" x14ac:dyDescent="0.2">
      <c r="A60" s="3">
        <v>1884.99</v>
      </c>
      <c r="B60" s="3">
        <v>1189.96</v>
      </c>
    </row>
    <row r="61" spans="1:2" x14ac:dyDescent="0.2">
      <c r="A61" s="3">
        <v>423.24</v>
      </c>
      <c r="B61" s="3">
        <v>2378.04</v>
      </c>
    </row>
    <row r="62" spans="1:2" x14ac:dyDescent="0.2">
      <c r="A62" s="3">
        <v>4660.7700000000004</v>
      </c>
      <c r="B62" s="3">
        <v>1826.56</v>
      </c>
    </row>
    <row r="63" spans="1:2" x14ac:dyDescent="0.2">
      <c r="A63" s="3">
        <v>1460.12</v>
      </c>
      <c r="B63" s="3">
        <v>877.52</v>
      </c>
    </row>
    <row r="64" spans="1:2" x14ac:dyDescent="0.2">
      <c r="A64" s="3">
        <v>642.92999999999995</v>
      </c>
      <c r="B64" s="3">
        <v>5971.47</v>
      </c>
    </row>
    <row r="65" spans="1:2" x14ac:dyDescent="0.2">
      <c r="A65" s="3">
        <v>1800.7</v>
      </c>
      <c r="B65" s="3">
        <v>578.25</v>
      </c>
    </row>
    <row r="66" spans="1:2" x14ac:dyDescent="0.2">
      <c r="A66" s="3">
        <v>3765.9</v>
      </c>
      <c r="B66" s="3">
        <v>646.75</v>
      </c>
    </row>
    <row r="67" spans="1:2" x14ac:dyDescent="0.2">
      <c r="A67" s="3">
        <v>773.78</v>
      </c>
      <c r="B67" s="3">
        <v>3082.66</v>
      </c>
    </row>
    <row r="68" spans="1:2" x14ac:dyDescent="0.2">
      <c r="A68" s="3">
        <v>1929.71</v>
      </c>
      <c r="B68" s="3">
        <v>3558.97</v>
      </c>
    </row>
    <row r="69" spans="1:2" x14ac:dyDescent="0.2">
      <c r="A69" s="3">
        <v>1812.67</v>
      </c>
      <c r="B69" s="3">
        <v>953.1</v>
      </c>
    </row>
    <row r="70" spans="1:2" x14ac:dyDescent="0.2">
      <c r="A70" s="3">
        <v>1517.79</v>
      </c>
      <c r="B70" s="3">
        <v>2088.92</v>
      </c>
    </row>
    <row r="71" spans="1:2" x14ac:dyDescent="0.2">
      <c r="A71" s="3">
        <v>6419.83</v>
      </c>
      <c r="B71" s="3">
        <v>1973.94</v>
      </c>
    </row>
    <row r="72" spans="1:2" x14ac:dyDescent="0.2">
      <c r="A72" s="3">
        <v>800.45</v>
      </c>
      <c r="B72" s="3">
        <v>2780.16</v>
      </c>
    </row>
    <row r="73" spans="1:2" x14ac:dyDescent="0.2">
      <c r="A73" s="3">
        <v>5129.08</v>
      </c>
      <c r="B73" s="3">
        <v>2484.6999999999998</v>
      </c>
    </row>
    <row r="74" spans="1:2" x14ac:dyDescent="0.2">
      <c r="A74" s="3">
        <v>4074.87</v>
      </c>
      <c r="B74" s="3">
        <v>799.36</v>
      </c>
    </row>
    <row r="75" spans="1:2" x14ac:dyDescent="0.2">
      <c r="A75" s="3">
        <v>1149.92</v>
      </c>
      <c r="B75" s="3">
        <v>784.92</v>
      </c>
    </row>
    <row r="76" spans="1:2" x14ac:dyDescent="0.2">
      <c r="A76" s="3">
        <v>3041.34</v>
      </c>
      <c r="B76" s="3">
        <v>1778.09</v>
      </c>
    </row>
    <row r="77" spans="1:2" x14ac:dyDescent="0.2">
      <c r="A77" s="3">
        <v>2244.23</v>
      </c>
      <c r="B77" s="3">
        <v>345.21</v>
      </c>
    </row>
    <row r="78" spans="1:2" x14ac:dyDescent="0.2">
      <c r="A78" s="3">
        <v>5756.95</v>
      </c>
      <c r="B78" s="3">
        <v>190.83</v>
      </c>
    </row>
    <row r="79" spans="1:2" x14ac:dyDescent="0.2">
      <c r="A79" s="3">
        <v>3627.3</v>
      </c>
      <c r="B79" s="3">
        <v>3089.67</v>
      </c>
    </row>
    <row r="80" spans="1:2" x14ac:dyDescent="0.2">
      <c r="A80" s="3">
        <v>560.99</v>
      </c>
      <c r="B80" s="3">
        <v>6818.8</v>
      </c>
    </row>
    <row r="81" spans="1:2" x14ac:dyDescent="0.2">
      <c r="A81" s="3">
        <v>727.77</v>
      </c>
      <c r="B81" s="3">
        <v>423.5</v>
      </c>
    </row>
    <row r="82" spans="1:2" x14ac:dyDescent="0.2">
      <c r="A82" s="3">
        <v>552.25</v>
      </c>
      <c r="B82" s="3">
        <v>2922.16</v>
      </c>
    </row>
    <row r="83" spans="1:2" x14ac:dyDescent="0.2">
      <c r="A83" s="3">
        <v>3605.57</v>
      </c>
      <c r="B83" s="3">
        <v>835.24</v>
      </c>
    </row>
    <row r="84" spans="1:2" x14ac:dyDescent="0.2">
      <c r="A84" s="3">
        <v>209.1</v>
      </c>
      <c r="B84" s="3">
        <v>4623.29</v>
      </c>
    </row>
    <row r="85" spans="1:2" x14ac:dyDescent="0.2">
      <c r="A85" s="3">
        <v>4833.24</v>
      </c>
      <c r="B85" s="3">
        <v>3471.89</v>
      </c>
    </row>
    <row r="86" spans="1:2" x14ac:dyDescent="0.2">
      <c r="A86" s="3">
        <v>3864.38</v>
      </c>
      <c r="B86" s="3">
        <v>2910.89</v>
      </c>
    </row>
    <row r="87" spans="1:2" x14ac:dyDescent="0.2">
      <c r="A87" s="3">
        <v>1014.32</v>
      </c>
      <c r="B87" s="3">
        <v>1581.86</v>
      </c>
    </row>
    <row r="88" spans="1:2" x14ac:dyDescent="0.2">
      <c r="A88" s="3">
        <v>4758.08</v>
      </c>
      <c r="B88" s="3">
        <v>3765.08</v>
      </c>
    </row>
    <row r="89" spans="1:2" x14ac:dyDescent="0.2">
      <c r="A89" s="3">
        <v>588.86</v>
      </c>
      <c r="B89" s="3">
        <v>1762.31</v>
      </c>
    </row>
    <row r="90" spans="1:2" x14ac:dyDescent="0.2">
      <c r="A90" s="3">
        <v>5752.44</v>
      </c>
      <c r="B90" s="3">
        <v>2757.4</v>
      </c>
    </row>
    <row r="91" spans="1:2" x14ac:dyDescent="0.2">
      <c r="A91" s="3">
        <v>1566.95</v>
      </c>
      <c r="B91" s="3">
        <v>205.45</v>
      </c>
    </row>
    <row r="92" spans="1:2" x14ac:dyDescent="0.2">
      <c r="A92" s="3">
        <v>6831.6</v>
      </c>
      <c r="B92" s="3">
        <v>690.9</v>
      </c>
    </row>
    <row r="93" spans="1:2" x14ac:dyDescent="0.2">
      <c r="A93" s="3">
        <v>3528.54</v>
      </c>
      <c r="B93" s="3">
        <v>1274.3499999999999</v>
      </c>
    </row>
    <row r="94" spans="1:2" x14ac:dyDescent="0.2">
      <c r="A94" s="3">
        <v>283.66000000000003</v>
      </c>
      <c r="B94" s="3">
        <v>4001.22</v>
      </c>
    </row>
    <row r="95" spans="1:2" x14ac:dyDescent="0.2">
      <c r="A95" s="3">
        <v>2979.43</v>
      </c>
      <c r="B95" s="3">
        <v>3549.27</v>
      </c>
    </row>
    <row r="96" spans="1:2" x14ac:dyDescent="0.2">
      <c r="A96" s="3">
        <v>3815.54</v>
      </c>
      <c r="B96" s="3">
        <v>5647.82</v>
      </c>
    </row>
    <row r="97" spans="1:2" x14ac:dyDescent="0.2">
      <c r="A97" s="3">
        <v>1785.78</v>
      </c>
      <c r="B97" s="3">
        <v>2715.58</v>
      </c>
    </row>
    <row r="98" spans="1:2" x14ac:dyDescent="0.2">
      <c r="A98" s="3">
        <v>2566.65</v>
      </c>
      <c r="B98" s="3">
        <v>1189.8599999999999</v>
      </c>
    </row>
    <row r="99" spans="1:2" x14ac:dyDescent="0.2">
      <c r="A99" s="3">
        <v>5405.24</v>
      </c>
      <c r="B99" s="3">
        <v>2172.37</v>
      </c>
    </row>
    <row r="100" spans="1:2" x14ac:dyDescent="0.2">
      <c r="A100" s="3">
        <v>3118.69</v>
      </c>
      <c r="B100" s="3">
        <v>5228.3599999999997</v>
      </c>
    </row>
    <row r="101" spans="1:2" x14ac:dyDescent="0.2">
      <c r="A101" s="3">
        <v>1444.26</v>
      </c>
      <c r="B101" s="3">
        <v>422.11</v>
      </c>
    </row>
    <row r="102" spans="1:2" x14ac:dyDescent="0.2">
      <c r="A102" s="3">
        <v>1539.79</v>
      </c>
      <c r="B102" s="3">
        <v>1358.24</v>
      </c>
    </row>
    <row r="103" spans="1:2" x14ac:dyDescent="0.2">
      <c r="A103" s="3">
        <v>3201.99</v>
      </c>
      <c r="B103" s="3">
        <v>3271.76</v>
      </c>
    </row>
    <row r="104" spans="1:2" x14ac:dyDescent="0.2">
      <c r="A104" s="3">
        <v>2709.08</v>
      </c>
      <c r="B104" s="3">
        <v>250.29</v>
      </c>
    </row>
    <row r="105" spans="1:2" x14ac:dyDescent="0.2">
      <c r="A105" s="3">
        <v>81.56</v>
      </c>
      <c r="B105" s="3">
        <v>1754.68</v>
      </c>
    </row>
    <row r="106" spans="1:2" x14ac:dyDescent="0.2">
      <c r="A106" s="3">
        <v>2717.24</v>
      </c>
      <c r="B106" s="3">
        <v>2992.87</v>
      </c>
    </row>
    <row r="107" spans="1:2" x14ac:dyDescent="0.2">
      <c r="A107" s="3">
        <v>5598.14</v>
      </c>
      <c r="B107" s="3">
        <v>1621.7</v>
      </c>
    </row>
    <row r="108" spans="1:2" x14ac:dyDescent="0.2">
      <c r="A108" s="3">
        <v>1736.72</v>
      </c>
      <c r="B108" s="3">
        <v>917.41</v>
      </c>
    </row>
    <row r="109" spans="1:2" x14ac:dyDescent="0.2">
      <c r="A109" s="3">
        <v>668.99</v>
      </c>
      <c r="B109" s="3">
        <v>3158.14</v>
      </c>
    </row>
    <row r="110" spans="1:2" x14ac:dyDescent="0.2">
      <c r="A110" s="3">
        <v>420.65</v>
      </c>
      <c r="B110" s="3">
        <v>2578.65</v>
      </c>
    </row>
    <row r="111" spans="1:2" x14ac:dyDescent="0.2">
      <c r="A111" s="3">
        <v>4254.8100000000004</v>
      </c>
      <c r="B111" s="3">
        <v>1747.41</v>
      </c>
    </row>
    <row r="112" spans="1:2" x14ac:dyDescent="0.2">
      <c r="A112" s="3">
        <v>1353.34</v>
      </c>
      <c r="B112" s="3">
        <v>4336.93</v>
      </c>
    </row>
    <row r="113" spans="1:2" x14ac:dyDescent="0.2">
      <c r="A113" s="3">
        <v>3224.58</v>
      </c>
      <c r="B113" s="3">
        <v>1601.52</v>
      </c>
    </row>
    <row r="114" spans="1:2" x14ac:dyDescent="0.2">
      <c r="A114" s="3">
        <v>4029.15</v>
      </c>
      <c r="B114" s="3">
        <v>2832.64</v>
      </c>
    </row>
    <row r="115" spans="1:2" x14ac:dyDescent="0.2">
      <c r="A115" s="3">
        <v>1430.33</v>
      </c>
      <c r="B115" s="3">
        <v>1518.18</v>
      </c>
    </row>
    <row r="116" spans="1:2" x14ac:dyDescent="0.2">
      <c r="A116" s="3">
        <v>4742.6499999999996</v>
      </c>
      <c r="B116" s="3">
        <v>379.43</v>
      </c>
    </row>
    <row r="117" spans="1:2" x14ac:dyDescent="0.2">
      <c r="A117" s="3">
        <v>5519.21</v>
      </c>
      <c r="B117" s="3">
        <v>6205.53</v>
      </c>
    </row>
    <row r="118" spans="1:2" x14ac:dyDescent="0.2">
      <c r="A118" s="3">
        <v>1456.62</v>
      </c>
      <c r="B118" s="3">
        <v>3784.47</v>
      </c>
    </row>
    <row r="119" spans="1:2" x14ac:dyDescent="0.2">
      <c r="A119" s="3">
        <v>35.729999999999997</v>
      </c>
      <c r="B119" s="3">
        <v>2732.37</v>
      </c>
    </row>
    <row r="120" spans="1:2" x14ac:dyDescent="0.2">
      <c r="A120" s="3">
        <v>2535.67</v>
      </c>
    </row>
    <row r="121" spans="1:2" x14ac:dyDescent="0.2">
      <c r="A121" s="3">
        <v>969.57</v>
      </c>
    </row>
    <row r="122" spans="1:2" x14ac:dyDescent="0.2">
      <c r="A122" s="3">
        <v>1291.8</v>
      </c>
    </row>
    <row r="123" spans="1:2" x14ac:dyDescent="0.2">
      <c r="A123" s="3">
        <v>2426.58</v>
      </c>
    </row>
    <row r="124" spans="1:2" x14ac:dyDescent="0.2">
      <c r="A124" s="3">
        <v>627.82000000000005</v>
      </c>
    </row>
    <row r="125" spans="1:2" x14ac:dyDescent="0.2">
      <c r="A125" s="3">
        <v>3743.36</v>
      </c>
    </row>
    <row r="126" spans="1:2" x14ac:dyDescent="0.2">
      <c r="A126" s="3">
        <v>4683.82</v>
      </c>
    </row>
    <row r="127" spans="1:2" x14ac:dyDescent="0.2">
      <c r="A127" s="3">
        <v>2863.6</v>
      </c>
    </row>
    <row r="128" spans="1:2" x14ac:dyDescent="0.2">
      <c r="A128" s="3">
        <v>1705.11</v>
      </c>
    </row>
    <row r="129" spans="1:1" x14ac:dyDescent="0.2">
      <c r="A129" s="3">
        <v>1108.32</v>
      </c>
    </row>
    <row r="130" spans="1:1" x14ac:dyDescent="0.2">
      <c r="A130" s="3">
        <v>1101.3699999999999</v>
      </c>
    </row>
    <row r="131" spans="1:1" x14ac:dyDescent="0.2">
      <c r="A131" s="3">
        <v>1119.42</v>
      </c>
    </row>
    <row r="132" spans="1:1" x14ac:dyDescent="0.2">
      <c r="A132" s="3">
        <v>3783.5</v>
      </c>
    </row>
    <row r="133" spans="1:1" x14ac:dyDescent="0.2">
      <c r="A133" s="3">
        <v>6712.45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sqref="A1:B133"/>
    </sheetView>
  </sheetViews>
  <sheetFormatPr baseColWidth="10" defaultColWidth="8.83203125" defaultRowHeight="15" x14ac:dyDescent="0.2"/>
  <cols>
    <col min="1" max="1" width="16" customWidth="1"/>
    <col min="3" max="3" width="15.5" customWidth="1"/>
    <col min="4" max="4" width="17.1640625" customWidth="1"/>
    <col min="5" max="5" width="14.5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25</v>
      </c>
    </row>
    <row r="2" spans="1:7" x14ac:dyDescent="0.2">
      <c r="A2" s="1" t="s">
        <v>6</v>
      </c>
      <c r="B2">
        <f>MIN('1. Raw Data'!B4:B251)</f>
        <v>18</v>
      </c>
      <c r="C2">
        <f>_xlfn.QUARTILE.INC('2.25 Churn0 '!B2:B133,1)</f>
        <v>29.75</v>
      </c>
      <c r="D2">
        <f>MEDIAN('2.25 Churn0 '!B2:B133)</f>
        <v>45</v>
      </c>
      <c r="E2">
        <f>_xlfn.QUARTILE.INC('2.25 Churn0 '!B2:B133, 3)</f>
        <v>57</v>
      </c>
      <c r="F2">
        <f>MAX('2.25 Churn0 '!B2:B133)</f>
        <v>69</v>
      </c>
      <c r="G2">
        <f>(E2-C2)/2</f>
        <v>13.625</v>
      </c>
    </row>
    <row r="3" spans="1:7" x14ac:dyDescent="0.2">
      <c r="A3" s="1" t="s">
        <v>7</v>
      </c>
      <c r="B3">
        <f>MIN('1. Raw Data'!D4:D251)</f>
        <v>1</v>
      </c>
      <c r="C3">
        <f>_xlfn.QUARTILE.INC('2.25 Churn0 '!D2:D133, 1)</f>
        <v>17</v>
      </c>
      <c r="D3">
        <f>MEDIAN('2.25 Churn0 '!D2:D133)</f>
        <v>39.5</v>
      </c>
      <c r="E3">
        <f>_xlfn.QUARTILE.INC('2.25 Churn0 '!D2:D133, 3)</f>
        <v>57.25</v>
      </c>
      <c r="F3">
        <f>MAX('2.25 Churn0 '!D2:D133)</f>
        <v>71</v>
      </c>
      <c r="G3">
        <f>(E3-C3)/2</f>
        <v>20.125</v>
      </c>
    </row>
    <row r="4" spans="1:7" x14ac:dyDescent="0.2">
      <c r="A4" s="1" t="s">
        <v>8</v>
      </c>
      <c r="B4">
        <f>MIN('1. Raw Data'!E4:E251)</f>
        <v>20.260000000000002</v>
      </c>
      <c r="C4">
        <f>_xlfn.QUARTILE.INC('2.25 Churn0 '!E2:E133, 1)</f>
        <v>53</v>
      </c>
      <c r="D4">
        <f>MEDIAN('2.25 Churn0 '!E2:E133)</f>
        <v>73.58</v>
      </c>
      <c r="E4">
        <f>_xlfn.QUARTILE.INC('2.25 Churn0 '!E2:E133, 3)</f>
        <v>93.695000000000007</v>
      </c>
      <c r="F4">
        <f>MAX('2.25 Churn0 '!E2:E133)</f>
        <v>118.63</v>
      </c>
      <c r="G4">
        <f>(E4-C4)/2</f>
        <v>20.347500000000004</v>
      </c>
    </row>
    <row r="5" spans="1:7" x14ac:dyDescent="0.2">
      <c r="A5" s="1" t="s">
        <v>9</v>
      </c>
      <c r="B5">
        <f>MIN('1. Raw Data'!H4:H251)</f>
        <v>0</v>
      </c>
      <c r="C5">
        <f>_xlfn.QUARTILE.INC('2.25 Churn0 '!H2:H133, 1)</f>
        <v>1</v>
      </c>
      <c r="D5">
        <f>MEDIAN('2.25 Churn0 '!H2:H133)</f>
        <v>2</v>
      </c>
      <c r="E5">
        <f>_xlfn.QUARTILE.INC('2.25 Churn0 '!H2:H133, 3)</f>
        <v>3</v>
      </c>
      <c r="F5">
        <f>MAX('2.25 Churn0 '!H2:H133)</f>
        <v>5</v>
      </c>
      <c r="G5">
        <f t="shared" ref="G5" si="0">(E5-C5)/2</f>
        <v>1</v>
      </c>
    </row>
    <row r="6" spans="1:7" x14ac:dyDescent="0.2">
      <c r="A6" s="1" t="s">
        <v>10</v>
      </c>
      <c r="B6">
        <f>MIN('1. Raw Data'!I4:I251)</f>
        <v>5.2</v>
      </c>
      <c r="C6">
        <f>_xlfn.QUARTILE.INC('2.25 Churn0 '!I2:I133, 1)</f>
        <v>23.5</v>
      </c>
      <c r="D6">
        <f>MEDIAN('2.25 Churn0 '!I2:I133)</f>
        <v>44.8</v>
      </c>
      <c r="E6">
        <f>_xlfn.QUARTILE.INC('2.25 Churn0 '!I2:I133, 3)</f>
        <v>73.475000000000009</v>
      </c>
      <c r="F6">
        <f>MAX('2.25 Churn0 '!I2:I133)</f>
        <v>99.2</v>
      </c>
      <c r="G6">
        <f>(E6-C6)/2</f>
        <v>24.987500000000004</v>
      </c>
    </row>
    <row r="7" spans="1:7" x14ac:dyDescent="0.2">
      <c r="A7" s="1" t="s">
        <v>11</v>
      </c>
      <c r="B7">
        <f>MIN('1. Raw Data'!J4:J251)</f>
        <v>1</v>
      </c>
      <c r="C7">
        <f>_xlfn.QUARTILE.INC('2.25 Churn0 '!J2:J133, 1)</f>
        <v>4</v>
      </c>
      <c r="D7">
        <f>MEDIAN('2.25 Churn0 '!J2:J133)</f>
        <v>6</v>
      </c>
      <c r="E7">
        <f>_xlfn.QUARTILE.INC('2.25 Churn0 '!J2:J133, 3)</f>
        <v>8</v>
      </c>
      <c r="F7">
        <f>MAX('2.25 Churn0 '!J2:J133)</f>
        <v>10</v>
      </c>
      <c r="G7">
        <f>(E7-C7)/2</f>
        <v>2</v>
      </c>
    </row>
    <row r="8" spans="1:7" x14ac:dyDescent="0.2">
      <c r="A8" s="1" t="s">
        <v>12</v>
      </c>
      <c r="B8">
        <f>MIN('1. Raw Data'!K4:K251)</f>
        <v>35.729999999999997</v>
      </c>
      <c r="C8">
        <f>_xlfn.QUARTILE.INC('2.25 Churn0 '!K2:K133, 1)</f>
        <v>1121.1375</v>
      </c>
      <c r="D8">
        <f>MEDIAN('2.25 Churn0 '!K2:K133)</f>
        <v>2197.9349999999999</v>
      </c>
      <c r="E8">
        <f>_xlfn.QUARTILE.INC('2.25 Churn0 '!K2:K133, 3)</f>
        <v>4159.16</v>
      </c>
      <c r="F8">
        <f>MAX('2.25 Churn0 '!K2:K133)</f>
        <v>7782.69</v>
      </c>
      <c r="G8">
        <f>(E8-C8)/2</f>
        <v>1519.01125</v>
      </c>
    </row>
  </sheetData>
  <pageMargins left="0.7" right="0.7" top="0.75" bottom="0.75" header="0.3" footer="0.3"/>
  <ignoredErrors>
    <ignoredError sqref="B4 B2:B3 B5:B8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activeCell="F39" sqref="F39"/>
    </sheetView>
  </sheetViews>
  <sheetFormatPr baseColWidth="10" defaultColWidth="8.83203125" defaultRowHeight="15" x14ac:dyDescent="0.2"/>
  <cols>
    <col min="1" max="1" width="14.33203125" customWidth="1"/>
    <col min="2" max="2" width="11.1640625" customWidth="1"/>
    <col min="3" max="3" width="14.83203125" customWidth="1"/>
    <col min="4" max="4" width="16.1640625" customWidth="1"/>
    <col min="5" max="5" width="14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25</v>
      </c>
    </row>
    <row r="2" spans="1:7" x14ac:dyDescent="0.2">
      <c r="A2" s="1" t="s">
        <v>6</v>
      </c>
      <c r="B2">
        <f>MIN('2.26 Churn1'!B2:B119)</f>
        <v>18</v>
      </c>
      <c r="C2">
        <f>_xlfn.QUARTILE.INC('2.26 Churn1'!B2:B119, 1)</f>
        <v>32</v>
      </c>
      <c r="D2">
        <f>MEDIAN('2.26 Churn1'!B2:B119)</f>
        <v>43</v>
      </c>
      <c r="E2">
        <f>_xlfn.QUARTILE.INC('2.26 Churn1'!B2:B119, 3)</f>
        <v>55.75</v>
      </c>
      <c r="F2">
        <f>MAX('2.26 Churn1'!B2:B119)</f>
        <v>69</v>
      </c>
      <c r="G2">
        <f>(E2-C2)/2</f>
        <v>11.875</v>
      </c>
    </row>
    <row r="3" spans="1:7" x14ac:dyDescent="0.2">
      <c r="A3" s="1" t="s">
        <v>7</v>
      </c>
      <c r="B3">
        <f>MIN('2.26 Churn1'!D2:D119)</f>
        <v>1</v>
      </c>
      <c r="C3">
        <f>_xlfn.QUARTILE.INC('2.26 Churn1'!D2:D119, 1)</f>
        <v>17.25</v>
      </c>
      <c r="D3">
        <f>MEDIAN('2.26 Churn1'!D2:D119)</f>
        <v>33.5</v>
      </c>
      <c r="E3">
        <f>_xlfn.QUARTILE.INC('2.26 Churn1'!D2:D119, 3)</f>
        <v>49</v>
      </c>
      <c r="F3">
        <f>MAX('2.26 Churn1'!D2:D119)</f>
        <v>71</v>
      </c>
      <c r="G3">
        <f t="shared" ref="G3:G8" si="0">(E3-C3)/2</f>
        <v>15.875</v>
      </c>
    </row>
    <row r="4" spans="1:7" x14ac:dyDescent="0.2">
      <c r="A4" s="1" t="s">
        <v>8</v>
      </c>
      <c r="B4">
        <f>MIN('2.26 Churn1'!E2:E119)</f>
        <v>20.53</v>
      </c>
      <c r="C4">
        <f>_xlfn.QUARTILE.INC('2.26 Churn1'!E2:E119, 1)</f>
        <v>48.5075</v>
      </c>
      <c r="D4">
        <f>MEDIAN('2.26 Churn1'!E2:E119)</f>
        <v>73.63</v>
      </c>
      <c r="E4">
        <f>_xlfn.QUARTILE.INC('2.26 Churn1'!E2:E119, 3)</f>
        <v>95.762500000000003</v>
      </c>
      <c r="F4">
        <f>MAX('2.26 Churn1'!E2:E119)</f>
        <v>119.77</v>
      </c>
      <c r="G4">
        <f t="shared" si="0"/>
        <v>23.627500000000001</v>
      </c>
    </row>
    <row r="5" spans="1:7" x14ac:dyDescent="0.2">
      <c r="A5" s="1" t="s">
        <v>9</v>
      </c>
      <c r="B5">
        <f>MIN('2.26 Churn1'!H2:H119)</f>
        <v>0</v>
      </c>
      <c r="C5">
        <f>_xlfn.QUARTILE.INC('2.26 Churn1'!H2:H119, 1)</f>
        <v>1</v>
      </c>
      <c r="D5">
        <f>MEDIAN('2.26 Churn1'!H2:H119)</f>
        <v>2</v>
      </c>
      <c r="E5">
        <f>_xlfn.QUARTILE.INC('2.26 Churn1'!H2:H119, 3)</f>
        <v>3</v>
      </c>
      <c r="F5">
        <f>MAX('2.26 Churn1'!H2:H119)</f>
        <v>6</v>
      </c>
      <c r="G5">
        <f t="shared" si="0"/>
        <v>1</v>
      </c>
    </row>
    <row r="6" spans="1:7" x14ac:dyDescent="0.2">
      <c r="A6" s="1" t="s">
        <v>10</v>
      </c>
      <c r="B6">
        <f>MIN('2.26 Churn1'!I2:I119)</f>
        <v>5.2</v>
      </c>
      <c r="C6">
        <f>_xlfn.QUARTILE.INC('2.26 Churn1'!I2:I119, 1)</f>
        <v>27.599999999999998</v>
      </c>
      <c r="D6">
        <f>MEDIAN('2.26 Churn1'!I2:I119)</f>
        <v>57.75</v>
      </c>
      <c r="E6">
        <f>_xlfn.QUARTILE.INC('2.26 Churn1'!I2:I119, 3)</f>
        <v>79.8</v>
      </c>
      <c r="F6">
        <f>MAX('2.26 Churn1'!I2:I119)</f>
        <v>99.7</v>
      </c>
      <c r="G6">
        <f t="shared" si="0"/>
        <v>26.1</v>
      </c>
    </row>
    <row r="7" spans="1:7" x14ac:dyDescent="0.2">
      <c r="A7" s="1" t="s">
        <v>11</v>
      </c>
      <c r="B7">
        <f>MIN('2.26 Churn1'!J2:J119)</f>
        <v>1</v>
      </c>
      <c r="C7">
        <f>_xlfn.QUARTILE.INC('2.26 Churn1'!J2:J119, 1)</f>
        <v>2</v>
      </c>
      <c r="D7">
        <f>MEDIAN('2.26 Churn1'!J2:J119)</f>
        <v>4</v>
      </c>
      <c r="E7">
        <f>_xlfn.QUARTILE.INC('2.26 Churn1'!J2:J119, 3)</f>
        <v>7</v>
      </c>
      <c r="F7">
        <f>MAX('2.26 Churn1'!J2:J119)</f>
        <v>10</v>
      </c>
      <c r="G7">
        <f t="shared" si="0"/>
        <v>2.5</v>
      </c>
    </row>
    <row r="8" spans="1:7" x14ac:dyDescent="0.2">
      <c r="A8" s="1" t="s">
        <v>12</v>
      </c>
      <c r="B8">
        <f>MIN('2.26 Churn1'!K2:K119)</f>
        <v>105.78</v>
      </c>
      <c r="C8">
        <f>_xlfn.QUARTILE.INC('2.26 Churn1'!K2:K119, 1)</f>
        <v>921.27</v>
      </c>
      <c r="D8">
        <f>MEDIAN('2.26 Churn1'!K2:K119)</f>
        <v>1943.2750000000001</v>
      </c>
      <c r="E8">
        <f>_xlfn.QUARTILE.INC('2.26 Churn1'!K2:K119, 3)</f>
        <v>3214.915</v>
      </c>
      <c r="F8">
        <f>MAX('2.26 Churn1'!K2:K119)</f>
        <v>7426.03</v>
      </c>
      <c r="G8">
        <f t="shared" si="0"/>
        <v>1146.8225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87617-A243-F24B-97DA-4A2600E9D5DF}">
  <dimension ref="A2:D12"/>
  <sheetViews>
    <sheetView workbookViewId="0">
      <selection sqref="A1:B133"/>
    </sheetView>
  </sheetViews>
  <sheetFormatPr baseColWidth="10" defaultRowHeight="15" x14ac:dyDescent="0.2"/>
  <cols>
    <col min="1" max="1" width="17.33203125" bestFit="1" customWidth="1"/>
    <col min="2" max="2" width="14.33203125" bestFit="1" customWidth="1"/>
  </cols>
  <sheetData>
    <row r="2" spans="1:4" x14ac:dyDescent="0.2">
      <c r="C2" s="53"/>
      <c r="D2" s="53"/>
    </row>
    <row r="3" spans="1:4" x14ac:dyDescent="0.2">
      <c r="A3" s="22" t="s">
        <v>82</v>
      </c>
      <c r="B3" t="s">
        <v>101</v>
      </c>
      <c r="C3" s="54"/>
      <c r="D3" s="53"/>
    </row>
    <row r="4" spans="1:4" x14ac:dyDescent="0.2">
      <c r="A4" s="23" t="s">
        <v>133</v>
      </c>
      <c r="B4" s="25">
        <v>0.41772151898734178</v>
      </c>
      <c r="C4" s="53"/>
      <c r="D4" s="53"/>
    </row>
    <row r="5" spans="1:4" x14ac:dyDescent="0.2">
      <c r="A5" s="23" t="s">
        <v>134</v>
      </c>
      <c r="B5" s="25">
        <v>0.49707602339181284</v>
      </c>
      <c r="C5" s="53"/>
      <c r="D5" s="53"/>
    </row>
    <row r="6" spans="1:4" x14ac:dyDescent="0.2">
      <c r="A6" s="24" t="s">
        <v>18</v>
      </c>
      <c r="B6" s="25">
        <v>0.44</v>
      </c>
      <c r="C6" s="53"/>
      <c r="D6" s="53"/>
    </row>
    <row r="7" spans="1:4" x14ac:dyDescent="0.2">
      <c r="A7" s="24" t="s">
        <v>19</v>
      </c>
      <c r="B7" s="25">
        <v>0.54166666666666663</v>
      </c>
      <c r="C7" s="53"/>
      <c r="D7" s="53"/>
    </row>
    <row r="8" spans="1:4" x14ac:dyDescent="0.2">
      <c r="A8" s="24" t="s">
        <v>20</v>
      </c>
      <c r="B8" s="25">
        <v>0.51546391752577314</v>
      </c>
      <c r="C8" s="53"/>
      <c r="D8" s="53"/>
    </row>
    <row r="9" spans="1:4" x14ac:dyDescent="0.2">
      <c r="A9" s="23" t="s">
        <v>83</v>
      </c>
      <c r="B9" s="25">
        <v>0.47199999999999998</v>
      </c>
      <c r="C9" s="53"/>
      <c r="D9" s="53"/>
    </row>
    <row r="10" spans="1:4" x14ac:dyDescent="0.2">
      <c r="C10" s="53"/>
      <c r="D10" s="53"/>
    </row>
    <row r="11" spans="1:4" x14ac:dyDescent="0.2">
      <c r="C11" s="53"/>
      <c r="D11" s="53"/>
    </row>
    <row r="12" spans="1:4" x14ac:dyDescent="0.2">
      <c r="C12" s="53"/>
      <c r="D12" s="53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17C5F-E569-F54F-B29C-7B43AEBCC056}">
  <dimension ref="A3:B10"/>
  <sheetViews>
    <sheetView workbookViewId="0">
      <selection sqref="A1:B133"/>
    </sheetView>
  </sheetViews>
  <sheetFormatPr baseColWidth="10" defaultRowHeight="15" x14ac:dyDescent="0.2"/>
  <cols>
    <col min="1" max="1" width="12.1640625" bestFit="1" customWidth="1"/>
    <col min="2" max="2" width="14.33203125" bestFit="1" customWidth="1"/>
  </cols>
  <sheetData>
    <row r="3" spans="1:2" x14ac:dyDescent="0.2">
      <c r="A3" s="22" t="s">
        <v>82</v>
      </c>
      <c r="B3" t="s">
        <v>101</v>
      </c>
    </row>
    <row r="4" spans="1:2" x14ac:dyDescent="0.2">
      <c r="A4" s="23" t="s">
        <v>133</v>
      </c>
      <c r="B4" s="25">
        <v>0.41772151898734178</v>
      </c>
    </row>
    <row r="5" spans="1:2" x14ac:dyDescent="0.2">
      <c r="A5" s="23" t="s">
        <v>134</v>
      </c>
      <c r="B5" s="25">
        <v>0.49707602339181284</v>
      </c>
    </row>
    <row r="6" spans="1:2" x14ac:dyDescent="0.2">
      <c r="A6" s="24" t="s">
        <v>135</v>
      </c>
      <c r="B6" s="25">
        <v>0.375</v>
      </c>
    </row>
    <row r="7" spans="1:2" x14ac:dyDescent="0.2">
      <c r="A7" s="24" t="s">
        <v>136</v>
      </c>
      <c r="B7" s="25">
        <v>0.48717948717948717</v>
      </c>
    </row>
    <row r="8" spans="1:2" x14ac:dyDescent="0.2">
      <c r="A8" s="24" t="s">
        <v>137</v>
      </c>
      <c r="B8" s="25">
        <v>0.54285714285714282</v>
      </c>
    </row>
    <row r="9" spans="1:2" x14ac:dyDescent="0.2">
      <c r="A9" s="24" t="s">
        <v>138</v>
      </c>
      <c r="B9" s="25">
        <v>0.54545454545454541</v>
      </c>
    </row>
    <row r="10" spans="1:2" x14ac:dyDescent="0.2">
      <c r="A10" s="23" t="s">
        <v>83</v>
      </c>
      <c r="B10" s="25">
        <v>0.47199999999999998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9760-BDB7-AA46-B9A8-A86D0A0EC9F5}">
  <dimension ref="A3:B10"/>
  <sheetViews>
    <sheetView workbookViewId="0">
      <selection sqref="A1:B133"/>
    </sheetView>
  </sheetViews>
  <sheetFormatPr baseColWidth="10" defaultRowHeight="15" x14ac:dyDescent="0.2"/>
  <cols>
    <col min="1" max="1" width="12.1640625" bestFit="1" customWidth="1"/>
    <col min="2" max="2" width="14.33203125" bestFit="1" customWidth="1"/>
  </cols>
  <sheetData>
    <row r="3" spans="1:2" x14ac:dyDescent="0.2">
      <c r="A3" s="22" t="s">
        <v>82</v>
      </c>
      <c r="B3" t="s">
        <v>101</v>
      </c>
    </row>
    <row r="4" spans="1:2" x14ac:dyDescent="0.2">
      <c r="A4" s="23" t="s">
        <v>133</v>
      </c>
      <c r="B4" s="25">
        <v>0.41772151898734178</v>
      </c>
    </row>
    <row r="5" spans="1:2" x14ac:dyDescent="0.2">
      <c r="A5" s="23" t="s">
        <v>134</v>
      </c>
      <c r="B5" s="25">
        <v>0.49707602339181284</v>
      </c>
    </row>
    <row r="6" spans="1:2" x14ac:dyDescent="0.2">
      <c r="A6" s="24" t="s">
        <v>139</v>
      </c>
      <c r="B6" s="25">
        <v>0.55000000000000004</v>
      </c>
    </row>
    <row r="7" spans="1:2" x14ac:dyDescent="0.2">
      <c r="A7" s="24" t="s">
        <v>140</v>
      </c>
      <c r="B7" s="25">
        <v>0.50980392156862742</v>
      </c>
    </row>
    <row r="8" spans="1:2" x14ac:dyDescent="0.2">
      <c r="A8" s="24" t="s">
        <v>141</v>
      </c>
      <c r="B8" s="25">
        <v>0.48780487804878048</v>
      </c>
    </row>
    <row r="9" spans="1:2" x14ac:dyDescent="0.2">
      <c r="A9" s="24" t="s">
        <v>142</v>
      </c>
      <c r="B9" s="25">
        <v>0.47457627118644069</v>
      </c>
    </row>
    <row r="10" spans="1:2" x14ac:dyDescent="0.2">
      <c r="A10" s="23" t="s">
        <v>83</v>
      </c>
      <c r="B10" s="25">
        <v>0.47199999999999998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220E-A6E9-054B-90AA-196E2B685217}">
  <dimension ref="A3:B10"/>
  <sheetViews>
    <sheetView workbookViewId="0">
      <selection sqref="A1:B133"/>
    </sheetView>
  </sheetViews>
  <sheetFormatPr baseColWidth="10" defaultRowHeight="15" x14ac:dyDescent="0.2"/>
  <cols>
    <col min="1" max="1" width="12.1640625" bestFit="1" customWidth="1"/>
    <col min="2" max="2" width="14.33203125" bestFit="1" customWidth="1"/>
  </cols>
  <sheetData>
    <row r="3" spans="1:2" x14ac:dyDescent="0.2">
      <c r="A3" s="22" t="s">
        <v>82</v>
      </c>
      <c r="B3" t="s">
        <v>101</v>
      </c>
    </row>
    <row r="4" spans="1:2" x14ac:dyDescent="0.2">
      <c r="A4" s="23" t="s">
        <v>133</v>
      </c>
      <c r="B4" s="25">
        <v>0.41772151898734178</v>
      </c>
    </row>
    <row r="5" spans="1:2" x14ac:dyDescent="0.2">
      <c r="A5" s="23" t="s">
        <v>134</v>
      </c>
      <c r="B5" s="25">
        <v>0.49707602339181284</v>
      </c>
    </row>
    <row r="6" spans="1:2" x14ac:dyDescent="0.2">
      <c r="A6" s="24" t="s">
        <v>143</v>
      </c>
      <c r="B6" s="25">
        <v>0.5</v>
      </c>
    </row>
    <row r="7" spans="1:2" x14ac:dyDescent="0.2">
      <c r="A7" s="24" t="s">
        <v>144</v>
      </c>
      <c r="B7" s="25">
        <v>0.58333333333333337</v>
      </c>
    </row>
    <row r="8" spans="1:2" x14ac:dyDescent="0.2">
      <c r="A8" s="24" t="s">
        <v>145</v>
      </c>
      <c r="B8" s="25">
        <v>0.42857142857142855</v>
      </c>
    </row>
    <row r="9" spans="1:2" x14ac:dyDescent="0.2">
      <c r="A9" s="24" t="s">
        <v>146</v>
      </c>
      <c r="B9" s="25">
        <v>0.48648648648648651</v>
      </c>
    </row>
    <row r="10" spans="1:2" x14ac:dyDescent="0.2">
      <c r="A10" s="23" t="s">
        <v>83</v>
      </c>
      <c r="B10" s="25">
        <v>0.47199999999999998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0E97-609A-A441-8CA7-441C5EBF0AE5}">
  <dimension ref="A3:B9"/>
  <sheetViews>
    <sheetView workbookViewId="0">
      <selection activeCell="G31" sqref="G31"/>
    </sheetView>
  </sheetViews>
  <sheetFormatPr baseColWidth="10" defaultRowHeight="15" x14ac:dyDescent="0.2"/>
  <cols>
    <col min="1" max="1" width="12.1640625" bestFit="1" customWidth="1"/>
    <col min="2" max="2" width="14.33203125" bestFit="1" customWidth="1"/>
  </cols>
  <sheetData>
    <row r="3" spans="1:2" x14ac:dyDescent="0.2">
      <c r="A3" s="22" t="s">
        <v>82</v>
      </c>
      <c r="B3" t="s">
        <v>101</v>
      </c>
    </row>
    <row r="4" spans="1:2" x14ac:dyDescent="0.2">
      <c r="A4" s="23" t="s">
        <v>133</v>
      </c>
      <c r="B4" s="25">
        <v>0.41772151898734178</v>
      </c>
    </row>
    <row r="5" spans="1:2" x14ac:dyDescent="0.2">
      <c r="A5" s="23" t="s">
        <v>134</v>
      </c>
      <c r="B5" s="25">
        <v>0.49707602339181284</v>
      </c>
    </row>
    <row r="6" spans="1:2" x14ac:dyDescent="0.2">
      <c r="A6" s="24" t="s">
        <v>147</v>
      </c>
      <c r="B6" s="25">
        <v>0.625</v>
      </c>
    </row>
    <row r="7" spans="1:2" x14ac:dyDescent="0.2">
      <c r="A7" s="24" t="s">
        <v>148</v>
      </c>
      <c r="B7" s="25">
        <v>0.45833333333333331</v>
      </c>
    </row>
    <row r="8" spans="1:2" x14ac:dyDescent="0.2">
      <c r="A8" s="24" t="s">
        <v>149</v>
      </c>
      <c r="B8" s="25">
        <v>0.41791044776119401</v>
      </c>
    </row>
    <row r="9" spans="1:2" x14ac:dyDescent="0.2">
      <c r="A9" s="23" t="s">
        <v>83</v>
      </c>
      <c r="B9" s="25">
        <v>0.47199999999999998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3380-F09D-B04A-8894-B68F45DAFB41}">
  <dimension ref="A3:B6"/>
  <sheetViews>
    <sheetView workbookViewId="0">
      <selection sqref="A1:B133"/>
    </sheetView>
  </sheetViews>
  <sheetFormatPr baseColWidth="10" defaultRowHeight="15" x14ac:dyDescent="0.2"/>
  <cols>
    <col min="1" max="1" width="12.1640625" bestFit="1" customWidth="1"/>
    <col min="2" max="2" width="14.33203125" bestFit="1" customWidth="1"/>
  </cols>
  <sheetData>
    <row r="3" spans="1:2" x14ac:dyDescent="0.2">
      <c r="A3" s="22" t="s">
        <v>82</v>
      </c>
      <c r="B3" t="s">
        <v>101</v>
      </c>
    </row>
    <row r="4" spans="1:2" x14ac:dyDescent="0.2">
      <c r="A4" s="23" t="s">
        <v>133</v>
      </c>
      <c r="B4">
        <v>0.41772151898734178</v>
      </c>
    </row>
    <row r="5" spans="1:2" x14ac:dyDescent="0.2">
      <c r="A5" s="23" t="s">
        <v>134</v>
      </c>
      <c r="B5">
        <v>0.49707602339181284</v>
      </c>
    </row>
    <row r="6" spans="1:2" x14ac:dyDescent="0.2">
      <c r="A6" s="23" t="s">
        <v>83</v>
      </c>
      <c r="B6">
        <v>0.47199999999999998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1. Raw Data</vt:lpstr>
      <vt:lpstr>2. Descriptive</vt:lpstr>
      <vt:lpstr>3. Predictive</vt:lpstr>
      <vt:lpstr>2.1 Regression</vt:lpstr>
      <vt:lpstr>2.2 Pivot Churn rate</vt:lpstr>
      <vt:lpstr>3.1 Classifer</vt:lpstr>
      <vt:lpstr>3.2 Thresholds</vt:lpstr>
      <vt:lpstr>3.3 Calibration</vt:lpstr>
      <vt:lpstr>2.3 Tenure &lt;&gt; Sat</vt:lpstr>
      <vt:lpstr>2.4 Sat &lt;&gt; MonthlyCharge</vt:lpstr>
      <vt:lpstr>2.5 Payment&lt;&gt;Churn</vt:lpstr>
      <vt:lpstr>2.6 Age_Churn</vt:lpstr>
      <vt:lpstr>2.7 SatChurn</vt:lpstr>
      <vt:lpstr>2.8 Diagnostic - Tenure, Sat</vt:lpstr>
      <vt:lpstr>2.9Diagnostic - MonthlyQ,UsageQ</vt:lpstr>
      <vt:lpstr>2.10 Diagnostic-Contractype</vt:lpstr>
      <vt:lpstr>2.11 Usage &lt;&gt; Sat</vt:lpstr>
      <vt:lpstr>2.12 Support Ticket &lt;&gt; Sat</vt:lpstr>
      <vt:lpstr>2.13 Tenure &lt;&gt; MonthlyCharges</vt:lpstr>
      <vt:lpstr>2.14 Age &lt;&gt; SatisfactionScore</vt:lpstr>
      <vt:lpstr>2. 15 Tickets MonthlyCharges</vt:lpstr>
      <vt:lpstr>2.16AgeChurn</vt:lpstr>
      <vt:lpstr>2.17 TenureChurn</vt:lpstr>
      <vt:lpstr>2.18 Tenure &lt;&gt; Churn</vt:lpstr>
      <vt:lpstr>2.19 MonthlyChurnST</vt:lpstr>
      <vt:lpstr>2.20 UsageChurnST</vt:lpstr>
      <vt:lpstr>2.21 MonthlychargeChurn</vt:lpstr>
      <vt:lpstr>2.22 SupportticketChurn</vt:lpstr>
      <vt:lpstr>2.23 UsageChurn</vt:lpstr>
      <vt:lpstr>2.24 SasScoreChurn</vt:lpstr>
      <vt:lpstr>2.25 Churn0 </vt:lpstr>
      <vt:lpstr>2.26 Churn1</vt:lpstr>
      <vt:lpstr>2.27 SpendChurn</vt:lpstr>
      <vt:lpstr>2.28 FiveNumber_Churn0</vt:lpstr>
      <vt:lpstr>2.29 FiveNumber_Churn1</vt:lpstr>
      <vt:lpstr>3.4 Predict - ContractType</vt:lpstr>
      <vt:lpstr>3.5 Predict - Tenure</vt:lpstr>
      <vt:lpstr>3.6 Predict - monthly</vt:lpstr>
      <vt:lpstr>3.7 Predict - Usage</vt:lpstr>
      <vt:lpstr>3.8 Predict - Sat</vt:lpstr>
      <vt:lpstr>3.9 Train Churn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 Tuyet Nhung Hoang 2025 (N1432180)</cp:lastModifiedBy>
  <dcterms:created xsi:type="dcterms:W3CDTF">2025-10-17T22:41:26Z</dcterms:created>
  <dcterms:modified xsi:type="dcterms:W3CDTF">2026-06-01T19:00:01Z</dcterms:modified>
</cp:coreProperties>
</file>